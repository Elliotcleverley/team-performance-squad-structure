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anorwich-my.sharepoint.com/personal/hjz23bmu_uea_ac_uk/Documents/Universitiy Year 3/Sport/Project 2/My work/"/>
    </mc:Choice>
  </mc:AlternateContent>
  <xr:revisionPtr revIDLastSave="219" documentId="14_{EF408E90-DB27-9A47-88F1-06647A161535}" xr6:coauthVersionLast="47" xr6:coauthVersionMax="47" xr10:uidLastSave="{8140CA98-ACEE-F346-81AA-AC50093C0E60}"/>
  <bookViews>
    <workbookView xWindow="0" yWindow="760" windowWidth="34200" windowHeight="21380" activeTab="7" xr2:uid="{E778DF9B-D296-E344-9F74-190D77ED9CB5}"/>
  </bookViews>
  <sheets>
    <sheet name="Stata output" sheetId="20" r:id="rId1"/>
    <sheet name="Figure 1 and Figure 2" sheetId="27" r:id="rId2"/>
    <sheet name="13 14" sheetId="2" r:id="rId3"/>
    <sheet name="14 15" sheetId="3" r:id="rId4"/>
    <sheet name="15 16" sheetId="4" r:id="rId5"/>
    <sheet name="16 17" sheetId="5" r:id="rId6"/>
    <sheet name="17 18" sheetId="6" r:id="rId7"/>
    <sheet name="13 14 HHI" sheetId="22" r:id="rId8"/>
    <sheet name="14 15 HHI" sheetId="23" r:id="rId9"/>
    <sheet name="15 16 HHI" sheetId="24" r:id="rId10"/>
    <sheet name="16 17 HHI" sheetId="25" r:id="rId11"/>
    <sheet name="17 18 HHI" sheetId="26" r:id="rId12"/>
    <sheet name="13 14 Gini" sheetId="15" r:id="rId13"/>
    <sheet name="14 15 Gini" sheetId="16" r:id="rId14"/>
    <sheet name="15 16 Gini" sheetId="17" r:id="rId15"/>
    <sheet name="16 17 Gini" sheetId="18" r:id="rId16"/>
    <sheet name="17 18 Gini" sheetId="19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2" l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" i="6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AH3" i="22"/>
  <c r="AH4" i="22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" i="22"/>
  <c r="AG13" i="22"/>
  <c r="AG11" i="22"/>
  <c r="AG5" i="22"/>
  <c r="AG21" i="22"/>
  <c r="AG20" i="22"/>
  <c r="AG19" i="22"/>
  <c r="AG18" i="22"/>
  <c r="AG17" i="22"/>
  <c r="AG16" i="22"/>
  <c r="AG15" i="22"/>
  <c r="AG14" i="22"/>
  <c r="AG12" i="22"/>
  <c r="AG10" i="22"/>
  <c r="AG9" i="22"/>
  <c r="AG8" i="22"/>
  <c r="AG7" i="22"/>
  <c r="AG6" i="22"/>
  <c r="AG4" i="22"/>
  <c r="AG3" i="22"/>
  <c r="AG2" i="22"/>
  <c r="AD3" i="26"/>
  <c r="AD4" i="26"/>
  <c r="AD5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" i="26"/>
  <c r="AC3" i="26"/>
  <c r="AC4" i="26"/>
  <c r="AC5" i="26"/>
  <c r="AC6" i="26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" i="26"/>
  <c r="AH5" i="25"/>
  <c r="AH3" i="25"/>
  <c r="AH4" i="25"/>
  <c r="AH6" i="25"/>
  <c r="AH7" i="25"/>
  <c r="AH8" i="25"/>
  <c r="AH9" i="25"/>
  <c r="AH10" i="25"/>
  <c r="AH11" i="25"/>
  <c r="AH12" i="25"/>
  <c r="AH13" i="25"/>
  <c r="AH14" i="25"/>
  <c r="AH15" i="25"/>
  <c r="AH16" i="25"/>
  <c r="AH17" i="25"/>
  <c r="AH18" i="25"/>
  <c r="AH19" i="25"/>
  <c r="AH20" i="25"/>
  <c r="AH21" i="25"/>
  <c r="AH2" i="25"/>
  <c r="AG8" i="25"/>
  <c r="AG21" i="25"/>
  <c r="AG20" i="25"/>
  <c r="AG19" i="25"/>
  <c r="AG18" i="25"/>
  <c r="AG17" i="25"/>
  <c r="AG16" i="25"/>
  <c r="AG15" i="25"/>
  <c r="AG14" i="25"/>
  <c r="AG13" i="25"/>
  <c r="AG12" i="25"/>
  <c r="AG11" i="25"/>
  <c r="AG10" i="25"/>
  <c r="AG9" i="25"/>
  <c r="AG7" i="25"/>
  <c r="AG6" i="25"/>
  <c r="AG5" i="25"/>
  <c r="AG4" i="25"/>
  <c r="AG3" i="25"/>
  <c r="AG2" i="25"/>
  <c r="AG20" i="24"/>
  <c r="AG3" i="24"/>
  <c r="AG4" i="24"/>
  <c r="AG5" i="24"/>
  <c r="AG6" i="24"/>
  <c r="AG7" i="24"/>
  <c r="AG8" i="24"/>
  <c r="AG9" i="24"/>
  <c r="AG10" i="24"/>
  <c r="AG11" i="24"/>
  <c r="AG12" i="24"/>
  <c r="AG13" i="24"/>
  <c r="AG14" i="24"/>
  <c r="AG15" i="24"/>
  <c r="AG16" i="24"/>
  <c r="AG17" i="24"/>
  <c r="AG18" i="24"/>
  <c r="AG19" i="24"/>
  <c r="AG21" i="24"/>
  <c r="AG2" i="24"/>
  <c r="AF17" i="24"/>
  <c r="AF21" i="24"/>
  <c r="AF20" i="24"/>
  <c r="AF19" i="24"/>
  <c r="AF18" i="24"/>
  <c r="AF16" i="24"/>
  <c r="AF15" i="24"/>
  <c r="AF14" i="24"/>
  <c r="AF13" i="24"/>
  <c r="AF12" i="24"/>
  <c r="AF11" i="24"/>
  <c r="AF10" i="24"/>
  <c r="AF9" i="24"/>
  <c r="AF8" i="24"/>
  <c r="AF7" i="24"/>
  <c r="AF6" i="24"/>
  <c r="AF5" i="24"/>
  <c r="AF4" i="24"/>
  <c r="AF3" i="24"/>
  <c r="AF2" i="24"/>
  <c r="AA3" i="23"/>
  <c r="AA4" i="23"/>
  <c r="AA5" i="23"/>
  <c r="AA6" i="23"/>
  <c r="AA7" i="23"/>
  <c r="AA8" i="23"/>
  <c r="AA9" i="23"/>
  <c r="AA10" i="23"/>
  <c r="AA11" i="23"/>
  <c r="AA12" i="23"/>
  <c r="AA13" i="23"/>
  <c r="AA14" i="23"/>
  <c r="AA15" i="23"/>
  <c r="AA16" i="23"/>
  <c r="AA17" i="23"/>
  <c r="AA18" i="23"/>
  <c r="AA19" i="23"/>
  <c r="AA20" i="23"/>
  <c r="AA21" i="23"/>
  <c r="AA2" i="23"/>
  <c r="Z13" i="23"/>
  <c r="Z21" i="23"/>
  <c r="Z20" i="23"/>
  <c r="Z19" i="23"/>
  <c r="Z18" i="23"/>
  <c r="Z17" i="23"/>
  <c r="Z16" i="23"/>
  <c r="Z15" i="23"/>
  <c r="Z14" i="23"/>
  <c r="Z12" i="23"/>
  <c r="Z11" i="23"/>
  <c r="Z10" i="23"/>
  <c r="Z9" i="23"/>
  <c r="Z8" i="23"/>
  <c r="Z7" i="23"/>
  <c r="Z6" i="23"/>
  <c r="Z5" i="23"/>
  <c r="Z4" i="23"/>
  <c r="Z3" i="23"/>
  <c r="Z2" i="23"/>
  <c r="F47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6" i="26"/>
  <c r="S55" i="26"/>
  <c r="H46" i="26"/>
  <c r="I46" i="26"/>
  <c r="J46" i="26"/>
  <c r="K46" i="26"/>
  <c r="L46" i="26"/>
  <c r="M46" i="26"/>
  <c r="N46" i="26"/>
  <c r="O46" i="26"/>
  <c r="P46" i="26"/>
  <c r="Q46" i="26"/>
  <c r="R46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H55" i="26"/>
  <c r="I55" i="26"/>
  <c r="J55" i="26"/>
  <c r="K55" i="26"/>
  <c r="L55" i="26"/>
  <c r="M55" i="26"/>
  <c r="N55" i="26"/>
  <c r="O55" i="26"/>
  <c r="P55" i="26"/>
  <c r="Q55" i="26"/>
  <c r="R55" i="26"/>
  <c r="T55" i="26"/>
  <c r="U55" i="26"/>
  <c r="V55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H57" i="26"/>
  <c r="I57" i="26"/>
  <c r="J57" i="26"/>
  <c r="K57" i="26"/>
  <c r="L57" i="26"/>
  <c r="M57" i="26"/>
  <c r="N57" i="26"/>
  <c r="O57" i="26"/>
  <c r="P57" i="26"/>
  <c r="Q57" i="26"/>
  <c r="R57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H63" i="26"/>
  <c r="I63" i="26"/>
  <c r="J63" i="26"/>
  <c r="K63" i="26"/>
  <c r="L63" i="26"/>
  <c r="M63" i="26"/>
  <c r="N63" i="26"/>
  <c r="O63" i="26"/>
  <c r="P63" i="26"/>
  <c r="Q63" i="26"/>
  <c r="R63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H65" i="26"/>
  <c r="I65" i="26"/>
  <c r="J65" i="26"/>
  <c r="K65" i="26"/>
  <c r="L65" i="26"/>
  <c r="M65" i="26"/>
  <c r="N65" i="26"/>
  <c r="O65" i="26"/>
  <c r="P65" i="26"/>
  <c r="Q65" i="26"/>
  <c r="G64" i="26"/>
  <c r="G65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46" i="26"/>
  <c r="F28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7" i="26"/>
  <c r="F26" i="26"/>
  <c r="F25" i="26"/>
  <c r="F24" i="26"/>
  <c r="H43" i="26"/>
  <c r="I43" i="26"/>
  <c r="J43" i="26"/>
  <c r="K43" i="26"/>
  <c r="L43" i="26"/>
  <c r="M43" i="26"/>
  <c r="N43" i="26"/>
  <c r="O43" i="26"/>
  <c r="P43" i="26"/>
  <c r="Q43" i="26"/>
  <c r="G43" i="26"/>
  <c r="H24" i="26"/>
  <c r="I24" i="26"/>
  <c r="J24" i="26"/>
  <c r="K24" i="26"/>
  <c r="L24" i="26"/>
  <c r="M24" i="26"/>
  <c r="N24" i="26"/>
  <c r="O24" i="26"/>
  <c r="P24" i="26"/>
  <c r="Q24" i="26"/>
  <c r="R24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H35" i="26"/>
  <c r="I35" i="26"/>
  <c r="J35" i="26"/>
  <c r="K35" i="26"/>
  <c r="L35" i="26"/>
  <c r="M35" i="26"/>
  <c r="N35" i="26"/>
  <c r="O35" i="26"/>
  <c r="P35" i="26"/>
  <c r="Q35" i="26"/>
  <c r="R35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H41" i="26"/>
  <c r="I41" i="26"/>
  <c r="J41" i="26"/>
  <c r="K41" i="26"/>
  <c r="L41" i="26"/>
  <c r="M41" i="26"/>
  <c r="N41" i="26"/>
  <c r="O41" i="26"/>
  <c r="P41" i="26"/>
  <c r="Q41" i="26"/>
  <c r="R41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24" i="26"/>
  <c r="C6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5" i="26"/>
  <c r="C4" i="26"/>
  <c r="C3" i="26"/>
  <c r="C2" i="26"/>
  <c r="F62" i="25"/>
  <c r="F61" i="25"/>
  <c r="F58" i="25"/>
  <c r="F52" i="25"/>
  <c r="F59" i="25"/>
  <c r="F65" i="25"/>
  <c r="F64" i="25"/>
  <c r="F63" i="25"/>
  <c r="F60" i="25"/>
  <c r="F57" i="25"/>
  <c r="F56" i="25"/>
  <c r="F55" i="25"/>
  <c r="F54" i="25"/>
  <c r="F53" i="25"/>
  <c r="F51" i="25"/>
  <c r="F50" i="25"/>
  <c r="F49" i="25"/>
  <c r="F48" i="25"/>
  <c r="F47" i="25"/>
  <c r="F46" i="25"/>
  <c r="I46" i="25"/>
  <c r="H46" i="25"/>
  <c r="J46" i="25"/>
  <c r="K46" i="25"/>
  <c r="L46" i="25"/>
  <c r="M46" i="25"/>
  <c r="N46" i="25"/>
  <c r="O46" i="25"/>
  <c r="P46" i="25"/>
  <c r="H47" i="25"/>
  <c r="I47" i="25"/>
  <c r="J47" i="25"/>
  <c r="K47" i="25"/>
  <c r="L47" i="25"/>
  <c r="M47" i="25"/>
  <c r="N47" i="25"/>
  <c r="O47" i="25"/>
  <c r="P47" i="25"/>
  <c r="Q47" i="25"/>
  <c r="R47" i="25"/>
  <c r="S47" i="25"/>
  <c r="T47" i="25"/>
  <c r="H48" i="25"/>
  <c r="I48" i="25"/>
  <c r="J48" i="25"/>
  <c r="K48" i="25"/>
  <c r="L48" i="25"/>
  <c r="M48" i="25"/>
  <c r="N48" i="25"/>
  <c r="O48" i="25"/>
  <c r="P48" i="25"/>
  <c r="Q48" i="25"/>
  <c r="R48" i="25"/>
  <c r="H49" i="25"/>
  <c r="I49" i="25"/>
  <c r="J49" i="25"/>
  <c r="K49" i="25"/>
  <c r="L49" i="25"/>
  <c r="M49" i="25"/>
  <c r="N49" i="25"/>
  <c r="O49" i="25"/>
  <c r="P49" i="25"/>
  <c r="Q49" i="25"/>
  <c r="R49" i="25"/>
  <c r="S49" i="25"/>
  <c r="T49" i="25"/>
  <c r="H50" i="25"/>
  <c r="I50" i="25"/>
  <c r="J50" i="25"/>
  <c r="K50" i="25"/>
  <c r="L50" i="25"/>
  <c r="M50" i="25"/>
  <c r="N50" i="25"/>
  <c r="O50" i="25"/>
  <c r="P50" i="25"/>
  <c r="Q50" i="25"/>
  <c r="R50" i="25"/>
  <c r="H51" i="25"/>
  <c r="I51" i="25"/>
  <c r="J51" i="25"/>
  <c r="K51" i="25"/>
  <c r="L51" i="25"/>
  <c r="M51" i="25"/>
  <c r="N51" i="25"/>
  <c r="O51" i="25"/>
  <c r="P51" i="25"/>
  <c r="Q51" i="25"/>
  <c r="R51" i="25"/>
  <c r="S51" i="25"/>
  <c r="T51" i="25"/>
  <c r="U51" i="25"/>
  <c r="V51" i="25"/>
  <c r="W51" i="25"/>
  <c r="H52" i="25"/>
  <c r="I52" i="25"/>
  <c r="J52" i="25"/>
  <c r="K52" i="25"/>
  <c r="L52" i="25"/>
  <c r="M52" i="25"/>
  <c r="N52" i="25"/>
  <c r="O52" i="25"/>
  <c r="P52" i="25"/>
  <c r="Q52" i="25"/>
  <c r="R52" i="25"/>
  <c r="S52" i="25"/>
  <c r="T52" i="25"/>
  <c r="U52" i="25"/>
  <c r="V52" i="25"/>
  <c r="W52" i="25"/>
  <c r="X52" i="25"/>
  <c r="H53" i="25"/>
  <c r="I53" i="25"/>
  <c r="J53" i="25"/>
  <c r="K53" i="25"/>
  <c r="L53" i="25"/>
  <c r="M53" i="25"/>
  <c r="N53" i="25"/>
  <c r="O53" i="25"/>
  <c r="P53" i="25"/>
  <c r="Q53" i="25"/>
  <c r="R53" i="25"/>
  <c r="S53" i="25"/>
  <c r="T53" i="25"/>
  <c r="U53" i="25"/>
  <c r="V53" i="25"/>
  <c r="W53" i="25"/>
  <c r="H54" i="25"/>
  <c r="I54" i="25"/>
  <c r="J54" i="25"/>
  <c r="K54" i="25"/>
  <c r="L54" i="25"/>
  <c r="M54" i="25"/>
  <c r="N54" i="25"/>
  <c r="O54" i="25"/>
  <c r="P54" i="25"/>
  <c r="Q54" i="25"/>
  <c r="H55" i="25"/>
  <c r="I55" i="25"/>
  <c r="J55" i="25"/>
  <c r="K55" i="25"/>
  <c r="L55" i="25"/>
  <c r="M55" i="25"/>
  <c r="N55" i="25"/>
  <c r="O55" i="25"/>
  <c r="P55" i="25"/>
  <c r="Q55" i="25"/>
  <c r="R55" i="25"/>
  <c r="H56" i="25"/>
  <c r="I56" i="25"/>
  <c r="J56" i="25"/>
  <c r="K56" i="25"/>
  <c r="L56" i="25"/>
  <c r="M56" i="25"/>
  <c r="N56" i="25"/>
  <c r="O56" i="25"/>
  <c r="P56" i="25"/>
  <c r="Q56" i="25"/>
  <c r="R56" i="25"/>
  <c r="S56" i="25"/>
  <c r="T56" i="25"/>
  <c r="U56" i="25"/>
  <c r="V56" i="25"/>
  <c r="W56" i="25"/>
  <c r="X56" i="25"/>
  <c r="Y56" i="25"/>
  <c r="Z56" i="25"/>
  <c r="H57" i="25"/>
  <c r="I57" i="25"/>
  <c r="J57" i="25"/>
  <c r="K57" i="25"/>
  <c r="L57" i="25"/>
  <c r="M57" i="25"/>
  <c r="N57" i="25"/>
  <c r="O57" i="25"/>
  <c r="P57" i="25"/>
  <c r="Q57" i="25"/>
  <c r="R57" i="25"/>
  <c r="S57" i="25"/>
  <c r="T57" i="25"/>
  <c r="U57" i="25"/>
  <c r="H58" i="25"/>
  <c r="I58" i="25"/>
  <c r="J58" i="25"/>
  <c r="K58" i="25"/>
  <c r="L58" i="25"/>
  <c r="M58" i="25"/>
  <c r="N58" i="25"/>
  <c r="O58" i="25"/>
  <c r="P58" i="25"/>
  <c r="Q58" i="25"/>
  <c r="R58" i="25"/>
  <c r="S58" i="25"/>
  <c r="T58" i="25"/>
  <c r="U58" i="25"/>
  <c r="V58" i="25"/>
  <c r="W58" i="25"/>
  <c r="H59" i="25"/>
  <c r="I59" i="25"/>
  <c r="J59" i="25"/>
  <c r="K59" i="25"/>
  <c r="L59" i="25"/>
  <c r="M59" i="25"/>
  <c r="N59" i="25"/>
  <c r="O59" i="25"/>
  <c r="P59" i="25"/>
  <c r="Q59" i="25"/>
  <c r="R59" i="25"/>
  <c r="S59" i="25"/>
  <c r="T59" i="25"/>
  <c r="U59" i="25"/>
  <c r="V59" i="25"/>
  <c r="W59" i="25"/>
  <c r="X59" i="25"/>
  <c r="H60" i="25"/>
  <c r="I60" i="25"/>
  <c r="J60" i="25"/>
  <c r="K60" i="25"/>
  <c r="L60" i="25"/>
  <c r="M60" i="25"/>
  <c r="N60" i="25"/>
  <c r="O60" i="25"/>
  <c r="P60" i="25"/>
  <c r="Q60" i="25"/>
  <c r="R60" i="25"/>
  <c r="S60" i="25"/>
  <c r="T60" i="25"/>
  <c r="U60" i="25"/>
  <c r="H61" i="25"/>
  <c r="I61" i="25"/>
  <c r="J61" i="25"/>
  <c r="K61" i="25"/>
  <c r="L61" i="25"/>
  <c r="M61" i="25"/>
  <c r="N61" i="25"/>
  <c r="O61" i="25"/>
  <c r="P61" i="25"/>
  <c r="Q61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46" i="25"/>
  <c r="F30" i="25"/>
  <c r="F26" i="25"/>
  <c r="F24" i="25"/>
  <c r="F43" i="25"/>
  <c r="F42" i="25"/>
  <c r="F41" i="25"/>
  <c r="F40" i="25"/>
  <c r="F39" i="25"/>
  <c r="F38" i="25"/>
  <c r="F37" i="25"/>
  <c r="F36" i="25"/>
  <c r="F35" i="25"/>
  <c r="F34" i="25"/>
  <c r="F33" i="25"/>
  <c r="F32" i="25"/>
  <c r="F31" i="25"/>
  <c r="F29" i="25"/>
  <c r="F28" i="25"/>
  <c r="F27" i="25"/>
  <c r="F25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4" i="25"/>
  <c r="C6" i="25"/>
  <c r="C5" i="25"/>
  <c r="C3" i="25"/>
  <c r="C2" i="25"/>
  <c r="C21" i="24"/>
  <c r="C20" i="24"/>
  <c r="C19" i="24"/>
  <c r="C17" i="24"/>
  <c r="C18" i="24"/>
  <c r="C16" i="24"/>
  <c r="C15" i="24"/>
  <c r="C14" i="24"/>
  <c r="C8" i="24"/>
  <c r="C13" i="24"/>
  <c r="C12" i="24"/>
  <c r="C11" i="24"/>
  <c r="C10" i="24"/>
  <c r="C9" i="24"/>
  <c r="C7" i="24"/>
  <c r="C6" i="24"/>
  <c r="C5" i="24"/>
  <c r="C4" i="24"/>
  <c r="C3" i="24"/>
  <c r="C2" i="24"/>
  <c r="C21" i="23"/>
  <c r="C2" i="23"/>
  <c r="C13" i="23"/>
  <c r="C20" i="23"/>
  <c r="C19" i="23"/>
  <c r="C18" i="23"/>
  <c r="C17" i="23"/>
  <c r="C16" i="23"/>
  <c r="C15" i="23"/>
  <c r="C14" i="23"/>
  <c r="C12" i="23"/>
  <c r="C11" i="23"/>
  <c r="C10" i="23"/>
  <c r="C9" i="23"/>
  <c r="C8" i="23"/>
  <c r="C7" i="23"/>
  <c r="C5" i="23"/>
  <c r="C6" i="23"/>
  <c r="C4" i="23"/>
  <c r="C3" i="23"/>
  <c r="C8" i="22"/>
  <c r="C13" i="22"/>
  <c r="C21" i="22"/>
  <c r="C20" i="22"/>
  <c r="C19" i="22"/>
  <c r="C18" i="22"/>
  <c r="C17" i="22"/>
  <c r="C16" i="22"/>
  <c r="C15" i="22"/>
  <c r="C14" i="22"/>
  <c r="C10" i="22"/>
  <c r="C12" i="22" a="1"/>
  <c r="C12" i="22" s="1"/>
  <c r="C11" i="22"/>
  <c r="L33" i="22" s="1"/>
  <c r="L55" i="22" s="1"/>
  <c r="C7" i="22"/>
  <c r="C9" i="22"/>
  <c r="C6" i="22"/>
  <c r="C5" i="22"/>
  <c r="C4" i="22"/>
  <c r="C3" i="22"/>
  <c r="C2" i="22"/>
  <c r="GQ5" i="19"/>
  <c r="GP5" i="19"/>
  <c r="GO5" i="19"/>
  <c r="GL7" i="19"/>
  <c r="GL8" i="19"/>
  <c r="GL9" i="19"/>
  <c r="GL10" i="19"/>
  <c r="GL11" i="19"/>
  <c r="GL12" i="19"/>
  <c r="GL13" i="19"/>
  <c r="GL14" i="19"/>
  <c r="GL15" i="19"/>
  <c r="GL16" i="19"/>
  <c r="GL17" i="19"/>
  <c r="GL18" i="19"/>
  <c r="GL19" i="19"/>
  <c r="GL20" i="19"/>
  <c r="GL21" i="19"/>
  <c r="GL22" i="19"/>
  <c r="GL23" i="19"/>
  <c r="GL24" i="19"/>
  <c r="GL25" i="19"/>
  <c r="GL26" i="19"/>
  <c r="GL27" i="19"/>
  <c r="GL28" i="19"/>
  <c r="GL29" i="19"/>
  <c r="GL30" i="19"/>
  <c r="GL31" i="19"/>
  <c r="GL32" i="19"/>
  <c r="GL33" i="19"/>
  <c r="GM7" i="19"/>
  <c r="GM8" i="19"/>
  <c r="GM9" i="19"/>
  <c r="GM10" i="19"/>
  <c r="GM11" i="19"/>
  <c r="GM12" i="19"/>
  <c r="GM13" i="19"/>
  <c r="GM14" i="19"/>
  <c r="GM15" i="19"/>
  <c r="GM16" i="19"/>
  <c r="GM17" i="19"/>
  <c r="GM18" i="19"/>
  <c r="GM19" i="19"/>
  <c r="GM20" i="19"/>
  <c r="GM21" i="19"/>
  <c r="GM22" i="19"/>
  <c r="GM23" i="19"/>
  <c r="GM24" i="19"/>
  <c r="GM25" i="19"/>
  <c r="GM26" i="19"/>
  <c r="GM27" i="19"/>
  <c r="GM28" i="19"/>
  <c r="GM29" i="19"/>
  <c r="GM30" i="19"/>
  <c r="GM31" i="19"/>
  <c r="GM32" i="19"/>
  <c r="GM33" i="19"/>
  <c r="GM6" i="19"/>
  <c r="GL6" i="19"/>
  <c r="GK6" i="19"/>
  <c r="GG5" i="19"/>
  <c r="GF5" i="19"/>
  <c r="GE5" i="19"/>
  <c r="GC7" i="19"/>
  <c r="GC8" i="19"/>
  <c r="GC9" i="19"/>
  <c r="GC10" i="19"/>
  <c r="GC11" i="19"/>
  <c r="GC12" i="19"/>
  <c r="GC13" i="19"/>
  <c r="GC14" i="19"/>
  <c r="GC15" i="19"/>
  <c r="GC16" i="19"/>
  <c r="GC17" i="19"/>
  <c r="GC18" i="19"/>
  <c r="GC19" i="19"/>
  <c r="GC20" i="19"/>
  <c r="GC21" i="19"/>
  <c r="GC22" i="19"/>
  <c r="GC23" i="19"/>
  <c r="GC24" i="19"/>
  <c r="GC25" i="19"/>
  <c r="GC26" i="19"/>
  <c r="GC27" i="19"/>
  <c r="GC28" i="19"/>
  <c r="GC29" i="19"/>
  <c r="GC30" i="19"/>
  <c r="GC31" i="19"/>
  <c r="GC32" i="19"/>
  <c r="GC33" i="19"/>
  <c r="GC34" i="19"/>
  <c r="GC35" i="19"/>
  <c r="GC36" i="19"/>
  <c r="GC37" i="19"/>
  <c r="GB7" i="19"/>
  <c r="GB8" i="19"/>
  <c r="GB9" i="19"/>
  <c r="GB10" i="19"/>
  <c r="GB11" i="19"/>
  <c r="GB12" i="19"/>
  <c r="GB13" i="19"/>
  <c r="GB14" i="19"/>
  <c r="GB15" i="19"/>
  <c r="GB16" i="19"/>
  <c r="GB17" i="19"/>
  <c r="GB18" i="19"/>
  <c r="GB19" i="19"/>
  <c r="GB20" i="19"/>
  <c r="GB21" i="19"/>
  <c r="GB22" i="19"/>
  <c r="GB23" i="19"/>
  <c r="GB24" i="19"/>
  <c r="GB25" i="19"/>
  <c r="GB26" i="19"/>
  <c r="GB27" i="19"/>
  <c r="GB28" i="19"/>
  <c r="GB29" i="19"/>
  <c r="GB30" i="19"/>
  <c r="GB31" i="19"/>
  <c r="GB32" i="19"/>
  <c r="GB33" i="19"/>
  <c r="GB34" i="19"/>
  <c r="GB35" i="19"/>
  <c r="GB36" i="19"/>
  <c r="GB37" i="19"/>
  <c r="GC6" i="19"/>
  <c r="GB6" i="19"/>
  <c r="GA6" i="19"/>
  <c r="FW5" i="19"/>
  <c r="FV5" i="19"/>
  <c r="FU5" i="19"/>
  <c r="FS7" i="19"/>
  <c r="FS8" i="19"/>
  <c r="FS9" i="19"/>
  <c r="FS10" i="19"/>
  <c r="FS11" i="19"/>
  <c r="FS12" i="19"/>
  <c r="FS13" i="19"/>
  <c r="FS14" i="19"/>
  <c r="FS15" i="19"/>
  <c r="FS16" i="19"/>
  <c r="FS17" i="19"/>
  <c r="FS18" i="19"/>
  <c r="FS19" i="19"/>
  <c r="FS20" i="19"/>
  <c r="FS21" i="19"/>
  <c r="FS22" i="19"/>
  <c r="FS23" i="19"/>
  <c r="FS24" i="19"/>
  <c r="FS25" i="19"/>
  <c r="FS26" i="19"/>
  <c r="FS27" i="19"/>
  <c r="FS28" i="19"/>
  <c r="FS29" i="19"/>
  <c r="FS30" i="19"/>
  <c r="FS31" i="19"/>
  <c r="FS32" i="19"/>
  <c r="FS33" i="19"/>
  <c r="FS34" i="19"/>
  <c r="FS35" i="19"/>
  <c r="FS36" i="19"/>
  <c r="FS37" i="19"/>
  <c r="FS38" i="19"/>
  <c r="FR7" i="19"/>
  <c r="FR8" i="19"/>
  <c r="FR9" i="19"/>
  <c r="FR10" i="19"/>
  <c r="FR11" i="19"/>
  <c r="FR12" i="19"/>
  <c r="FR13" i="19"/>
  <c r="FR14" i="19"/>
  <c r="FR15" i="19"/>
  <c r="FR16" i="19"/>
  <c r="FR17" i="19"/>
  <c r="FR18" i="19"/>
  <c r="FR19" i="19"/>
  <c r="FR20" i="19"/>
  <c r="FR21" i="19"/>
  <c r="FR22" i="19"/>
  <c r="FR23" i="19"/>
  <c r="FR24" i="19"/>
  <c r="FR25" i="19"/>
  <c r="FR26" i="19"/>
  <c r="FR27" i="19"/>
  <c r="FR28" i="19"/>
  <c r="FR29" i="19"/>
  <c r="FR30" i="19"/>
  <c r="FR31" i="19"/>
  <c r="FR32" i="19"/>
  <c r="FR33" i="19"/>
  <c r="FR34" i="19"/>
  <c r="FR35" i="19"/>
  <c r="FR36" i="19"/>
  <c r="FR37" i="19"/>
  <c r="FR38" i="19"/>
  <c r="FS6" i="19"/>
  <c r="FR6" i="19"/>
  <c r="FT34" i="19"/>
  <c r="FT35" i="19"/>
  <c r="FT38" i="19"/>
  <c r="FQ34" i="19"/>
  <c r="FQ35" i="19"/>
  <c r="FQ36" i="19"/>
  <c r="FQ37" i="19"/>
  <c r="FQ38" i="19"/>
  <c r="FQ6" i="19"/>
  <c r="FM5" i="19"/>
  <c r="FL5" i="19"/>
  <c r="FK5" i="19"/>
  <c r="FI7" i="19"/>
  <c r="FI8" i="19"/>
  <c r="FI9" i="19"/>
  <c r="FI10" i="19"/>
  <c r="FI11" i="19"/>
  <c r="FI12" i="19"/>
  <c r="FI13" i="19"/>
  <c r="FI14" i="19"/>
  <c r="FI15" i="19"/>
  <c r="FI16" i="19"/>
  <c r="FI17" i="19"/>
  <c r="FI18" i="19"/>
  <c r="FI19" i="19"/>
  <c r="FI20" i="19"/>
  <c r="FI21" i="19"/>
  <c r="FI22" i="19"/>
  <c r="FI23" i="19"/>
  <c r="FI24" i="19"/>
  <c r="FI25" i="19"/>
  <c r="FI26" i="19"/>
  <c r="FI27" i="19"/>
  <c r="FI28" i="19"/>
  <c r="FI29" i="19"/>
  <c r="FI30" i="19"/>
  <c r="FI31" i="19"/>
  <c r="FI32" i="19"/>
  <c r="FI33" i="19"/>
  <c r="FH7" i="19"/>
  <c r="FH8" i="19"/>
  <c r="FH9" i="19"/>
  <c r="FH10" i="19"/>
  <c r="FH11" i="19"/>
  <c r="FH12" i="19"/>
  <c r="FH13" i="19"/>
  <c r="FH14" i="19"/>
  <c r="FH15" i="19"/>
  <c r="FH16" i="19"/>
  <c r="FH17" i="19"/>
  <c r="FH18" i="19"/>
  <c r="FH19" i="19"/>
  <c r="FH20" i="19"/>
  <c r="FH21" i="19"/>
  <c r="FH22" i="19"/>
  <c r="FH23" i="19"/>
  <c r="FH24" i="19"/>
  <c r="FH25" i="19"/>
  <c r="FH26" i="19"/>
  <c r="FH27" i="19"/>
  <c r="FH28" i="19"/>
  <c r="FH29" i="19"/>
  <c r="FH30" i="19"/>
  <c r="FH31" i="19"/>
  <c r="FH32" i="19"/>
  <c r="FH33" i="19"/>
  <c r="FI6" i="19"/>
  <c r="FH6" i="19"/>
  <c r="FG6" i="19"/>
  <c r="FC5" i="19"/>
  <c r="FB5" i="19"/>
  <c r="FA5" i="19"/>
  <c r="EY39" i="19"/>
  <c r="EY38" i="19"/>
  <c r="EY37" i="19"/>
  <c r="EY36" i="19"/>
  <c r="EY35" i="19"/>
  <c r="EY34" i="19"/>
  <c r="EY33" i="19"/>
  <c r="EY32" i="19"/>
  <c r="EY31" i="19"/>
  <c r="EY30" i="19"/>
  <c r="EY29" i="19"/>
  <c r="EY28" i="19"/>
  <c r="EY27" i="19"/>
  <c r="EY26" i="19"/>
  <c r="EY25" i="19"/>
  <c r="EY24" i="19"/>
  <c r="EY23" i="19"/>
  <c r="EY22" i="19"/>
  <c r="EY21" i="19"/>
  <c r="EY20" i="19"/>
  <c r="EY19" i="19"/>
  <c r="EY18" i="19"/>
  <c r="EY17" i="19"/>
  <c r="EY16" i="19"/>
  <c r="EY15" i="19"/>
  <c r="EY14" i="19"/>
  <c r="EY13" i="19"/>
  <c r="EY12" i="19"/>
  <c r="EY11" i="19"/>
  <c r="EY10" i="19"/>
  <c r="EY9" i="19"/>
  <c r="EY8" i="19"/>
  <c r="EY7" i="19"/>
  <c r="EY6" i="19"/>
  <c r="EW6" i="19"/>
  <c r="ES5" i="19"/>
  <c r="ER5" i="19"/>
  <c r="EQ5" i="19"/>
  <c r="EO39" i="19"/>
  <c r="EO38" i="19"/>
  <c r="EO37" i="19"/>
  <c r="EO36" i="19"/>
  <c r="EO35" i="19"/>
  <c r="EO34" i="19"/>
  <c r="EO33" i="19"/>
  <c r="EO32" i="19"/>
  <c r="EO31" i="19"/>
  <c r="EO30" i="19"/>
  <c r="EO29" i="19"/>
  <c r="EO28" i="19"/>
  <c r="EO27" i="19"/>
  <c r="EO26" i="19"/>
  <c r="EO25" i="19"/>
  <c r="EO24" i="19"/>
  <c r="EO23" i="19"/>
  <c r="EO22" i="19"/>
  <c r="EO21" i="19"/>
  <c r="EO20" i="19"/>
  <c r="EO19" i="19"/>
  <c r="EO18" i="19"/>
  <c r="EO17" i="19"/>
  <c r="EO16" i="19"/>
  <c r="EO15" i="19"/>
  <c r="EO14" i="19"/>
  <c r="EO13" i="19"/>
  <c r="EO12" i="19"/>
  <c r="EO11" i="19"/>
  <c r="EO10" i="19"/>
  <c r="EO9" i="19"/>
  <c r="EO8" i="19"/>
  <c r="EO7" i="19"/>
  <c r="EO6" i="19"/>
  <c r="EM6" i="19"/>
  <c r="EI5" i="19"/>
  <c r="EH5" i="19"/>
  <c r="EG5" i="19"/>
  <c r="EE39" i="19"/>
  <c r="EE38" i="19"/>
  <c r="EE37" i="19"/>
  <c r="EE36" i="19"/>
  <c r="EE35" i="19"/>
  <c r="EE34" i="19"/>
  <c r="EE33" i="19"/>
  <c r="EE32" i="19"/>
  <c r="EE31" i="19"/>
  <c r="EE30" i="19"/>
  <c r="EE29" i="19"/>
  <c r="EE28" i="19"/>
  <c r="EE27" i="19"/>
  <c r="EE26" i="19"/>
  <c r="EE25" i="19"/>
  <c r="EE24" i="19"/>
  <c r="EE23" i="19"/>
  <c r="EE22" i="19"/>
  <c r="EE21" i="19"/>
  <c r="EE20" i="19"/>
  <c r="EE19" i="19"/>
  <c r="EE18" i="19"/>
  <c r="EE17" i="19"/>
  <c r="EE16" i="19"/>
  <c r="EE15" i="19"/>
  <c r="EE14" i="19"/>
  <c r="EE13" i="19"/>
  <c r="EE12" i="19"/>
  <c r="EE11" i="19"/>
  <c r="EE10" i="19"/>
  <c r="EE9" i="19"/>
  <c r="EE8" i="19"/>
  <c r="EE7" i="19"/>
  <c r="EE6" i="19"/>
  <c r="EC6" i="19"/>
  <c r="DY5" i="19"/>
  <c r="DX5" i="19"/>
  <c r="DW5" i="19"/>
  <c r="DU7" i="19"/>
  <c r="DU8" i="19"/>
  <c r="DU9" i="19"/>
  <c r="DU10" i="19"/>
  <c r="DU11" i="19"/>
  <c r="DU12" i="19"/>
  <c r="DU13" i="19"/>
  <c r="DU14" i="19"/>
  <c r="DU15" i="19"/>
  <c r="DU16" i="19"/>
  <c r="DU17" i="19"/>
  <c r="DU18" i="19"/>
  <c r="DU19" i="19"/>
  <c r="DU20" i="19"/>
  <c r="DU21" i="19"/>
  <c r="DU22" i="19"/>
  <c r="DU23" i="19"/>
  <c r="DU24" i="19"/>
  <c r="DU25" i="19"/>
  <c r="DU26" i="19"/>
  <c r="DU27" i="19"/>
  <c r="DU28" i="19"/>
  <c r="DU29" i="19"/>
  <c r="DU30" i="19"/>
  <c r="DU31" i="19"/>
  <c r="DU32" i="19"/>
  <c r="DU33" i="19"/>
  <c r="DU34" i="19"/>
  <c r="DU35" i="19"/>
  <c r="DU36" i="19"/>
  <c r="DU37" i="19"/>
  <c r="DU38" i="19"/>
  <c r="DU39" i="19"/>
  <c r="DT7" i="19"/>
  <c r="DT8" i="19"/>
  <c r="DT9" i="19"/>
  <c r="DT10" i="19"/>
  <c r="DT11" i="19"/>
  <c r="DT12" i="19"/>
  <c r="DT13" i="19"/>
  <c r="DT14" i="19"/>
  <c r="DT15" i="19"/>
  <c r="DT16" i="19"/>
  <c r="DT17" i="19"/>
  <c r="DT18" i="19"/>
  <c r="DT19" i="19"/>
  <c r="DT20" i="19"/>
  <c r="DT21" i="19"/>
  <c r="DT22" i="19"/>
  <c r="DT23" i="19"/>
  <c r="DT24" i="19"/>
  <c r="DT25" i="19"/>
  <c r="DT26" i="19"/>
  <c r="DT27" i="19"/>
  <c r="DT28" i="19"/>
  <c r="DT29" i="19"/>
  <c r="DT30" i="19"/>
  <c r="DT31" i="19"/>
  <c r="DT32" i="19"/>
  <c r="DT33" i="19"/>
  <c r="DT34" i="19"/>
  <c r="DT35" i="19"/>
  <c r="DT36" i="19"/>
  <c r="DT37" i="19"/>
  <c r="DT38" i="19"/>
  <c r="DT39" i="19"/>
  <c r="DT6" i="19"/>
  <c r="DU6" i="19"/>
  <c r="DV36" i="19"/>
  <c r="DV37" i="19"/>
  <c r="DV38" i="19"/>
  <c r="DV39" i="19"/>
  <c r="DS36" i="19"/>
  <c r="DS37" i="19"/>
  <c r="DS38" i="19"/>
  <c r="DS39" i="19"/>
  <c r="DS6" i="19"/>
  <c r="DO5" i="19"/>
  <c r="DN5" i="19"/>
  <c r="DM5" i="19"/>
  <c r="DK7" i="19"/>
  <c r="DK8" i="19"/>
  <c r="DK9" i="19"/>
  <c r="DK10" i="19"/>
  <c r="DK11" i="19"/>
  <c r="DK12" i="19"/>
  <c r="DK13" i="19"/>
  <c r="DK14" i="19"/>
  <c r="DK15" i="19"/>
  <c r="DK16" i="19"/>
  <c r="DK17" i="19"/>
  <c r="DK18" i="19"/>
  <c r="DK19" i="19"/>
  <c r="DK20" i="19"/>
  <c r="DK21" i="19"/>
  <c r="DK22" i="19"/>
  <c r="DK23" i="19"/>
  <c r="DK24" i="19"/>
  <c r="DK25" i="19"/>
  <c r="DK26" i="19"/>
  <c r="DK27" i="19"/>
  <c r="DK28" i="19"/>
  <c r="DK29" i="19"/>
  <c r="DK30" i="19"/>
  <c r="DK31" i="19"/>
  <c r="DK32" i="19"/>
  <c r="DK33" i="19"/>
  <c r="DK34" i="19"/>
  <c r="DK35" i="19"/>
  <c r="DJ7" i="19"/>
  <c r="DJ8" i="19"/>
  <c r="DJ9" i="19"/>
  <c r="DJ10" i="19"/>
  <c r="DJ11" i="19"/>
  <c r="DJ12" i="19"/>
  <c r="DJ13" i="19"/>
  <c r="DJ14" i="19"/>
  <c r="DJ15" i="19"/>
  <c r="DJ16" i="19"/>
  <c r="DJ17" i="19"/>
  <c r="DJ18" i="19"/>
  <c r="DJ19" i="19"/>
  <c r="DJ20" i="19"/>
  <c r="DJ21" i="19"/>
  <c r="DJ22" i="19"/>
  <c r="DJ23" i="19"/>
  <c r="DJ24" i="19"/>
  <c r="DJ25" i="19"/>
  <c r="DJ26" i="19"/>
  <c r="DJ27" i="19"/>
  <c r="DJ28" i="19"/>
  <c r="DJ29" i="19"/>
  <c r="DJ30" i="19"/>
  <c r="DJ31" i="19"/>
  <c r="DJ32" i="19"/>
  <c r="DJ33" i="19"/>
  <c r="DJ34" i="19"/>
  <c r="DJ35" i="19"/>
  <c r="DK6" i="19"/>
  <c r="DJ6" i="19"/>
  <c r="DI6" i="19"/>
  <c r="DE5" i="19"/>
  <c r="DD5" i="19"/>
  <c r="DC5" i="19"/>
  <c r="DA41" i="19"/>
  <c r="DA40" i="19"/>
  <c r="DA39" i="19"/>
  <c r="DA38" i="19"/>
  <c r="DA37" i="19"/>
  <c r="DA36" i="19"/>
  <c r="DA35" i="19"/>
  <c r="DA34" i="19"/>
  <c r="DA33" i="19"/>
  <c r="DA32" i="19"/>
  <c r="DA31" i="19"/>
  <c r="DA30" i="19"/>
  <c r="DA29" i="19"/>
  <c r="DA28" i="19"/>
  <c r="DA27" i="19"/>
  <c r="DA26" i="19"/>
  <c r="DA25" i="19"/>
  <c r="DA24" i="19"/>
  <c r="DA23" i="19"/>
  <c r="DA22" i="19"/>
  <c r="DA21" i="19"/>
  <c r="DA20" i="19"/>
  <c r="DA19" i="19"/>
  <c r="DA18" i="19"/>
  <c r="DA17" i="19"/>
  <c r="DA16" i="19"/>
  <c r="DA15" i="19"/>
  <c r="DA14" i="19"/>
  <c r="DA13" i="19"/>
  <c r="DA12" i="19"/>
  <c r="DA11" i="19"/>
  <c r="DA10" i="19"/>
  <c r="DA9" i="19"/>
  <c r="DA8" i="19"/>
  <c r="DA7" i="19"/>
  <c r="DA6" i="19"/>
  <c r="CY6" i="19"/>
  <c r="CU5" i="19"/>
  <c r="CT5" i="19"/>
  <c r="CS5" i="19"/>
  <c r="CQ7" i="19"/>
  <c r="CQ8" i="19"/>
  <c r="CQ9" i="19"/>
  <c r="CQ10" i="19"/>
  <c r="CQ11" i="19"/>
  <c r="CQ12" i="19"/>
  <c r="CQ13" i="19"/>
  <c r="CQ14" i="19"/>
  <c r="CQ15" i="19"/>
  <c r="CQ16" i="19"/>
  <c r="CQ17" i="19"/>
  <c r="CQ18" i="19"/>
  <c r="CQ19" i="19"/>
  <c r="CQ20" i="19"/>
  <c r="CQ21" i="19"/>
  <c r="CQ22" i="19"/>
  <c r="CQ23" i="19"/>
  <c r="CQ24" i="19"/>
  <c r="CQ25" i="19"/>
  <c r="CQ26" i="19"/>
  <c r="CQ27" i="19"/>
  <c r="CQ28" i="19"/>
  <c r="CQ29" i="19"/>
  <c r="CQ30" i="19"/>
  <c r="CQ31" i="19"/>
  <c r="CQ32" i="19"/>
  <c r="CQ33" i="19"/>
  <c r="CQ34" i="19"/>
  <c r="CQ35" i="19"/>
  <c r="CQ36" i="19"/>
  <c r="CQ37" i="19"/>
  <c r="CQ38" i="19"/>
  <c r="CQ39" i="19"/>
  <c r="CQ40" i="19"/>
  <c r="CQ41" i="19"/>
  <c r="CP7" i="19"/>
  <c r="CP8" i="19"/>
  <c r="CP9" i="19"/>
  <c r="CP10" i="19"/>
  <c r="CP11" i="19"/>
  <c r="CP12" i="19"/>
  <c r="CP13" i="19"/>
  <c r="CP14" i="19"/>
  <c r="CP15" i="19"/>
  <c r="CP16" i="19"/>
  <c r="CP17" i="19"/>
  <c r="CP18" i="19"/>
  <c r="CP19" i="19"/>
  <c r="CP20" i="19"/>
  <c r="CP21" i="19"/>
  <c r="CP22" i="19"/>
  <c r="CP23" i="19"/>
  <c r="CP24" i="19"/>
  <c r="CP25" i="19"/>
  <c r="CP26" i="19"/>
  <c r="CP27" i="19"/>
  <c r="CP28" i="19"/>
  <c r="CP29" i="19"/>
  <c r="CP30" i="19"/>
  <c r="CP31" i="19"/>
  <c r="CP32" i="19"/>
  <c r="CP33" i="19"/>
  <c r="CP34" i="19"/>
  <c r="CP35" i="19"/>
  <c r="CP36" i="19"/>
  <c r="CR37" i="19" s="1"/>
  <c r="CP37" i="19"/>
  <c r="CP38" i="19"/>
  <c r="CP39" i="19"/>
  <c r="CP40" i="19"/>
  <c r="CP41" i="19"/>
  <c r="CP6" i="19"/>
  <c r="CQ6" i="19"/>
  <c r="CR38" i="19"/>
  <c r="CR39" i="19"/>
  <c r="CR40" i="19"/>
  <c r="CR41" i="19"/>
  <c r="CO37" i="19"/>
  <c r="CO38" i="19"/>
  <c r="CO39" i="19"/>
  <c r="CO40" i="19"/>
  <c r="CO41" i="19"/>
  <c r="CO6" i="19"/>
  <c r="CK5" i="19"/>
  <c r="CJ5" i="19"/>
  <c r="CI5" i="19"/>
  <c r="CG7" i="19"/>
  <c r="CG8" i="19"/>
  <c r="CG9" i="19"/>
  <c r="CG10" i="19"/>
  <c r="CG11" i="19"/>
  <c r="CG12" i="19"/>
  <c r="CG13" i="19"/>
  <c r="CG14" i="19"/>
  <c r="CG15" i="19"/>
  <c r="CG16" i="19"/>
  <c r="CG17" i="19"/>
  <c r="CG18" i="19"/>
  <c r="CG19" i="19"/>
  <c r="CG20" i="19"/>
  <c r="CG21" i="19"/>
  <c r="CG22" i="19"/>
  <c r="CG23" i="19"/>
  <c r="CG24" i="19"/>
  <c r="CG25" i="19"/>
  <c r="CG26" i="19"/>
  <c r="CG27" i="19"/>
  <c r="CG28" i="19"/>
  <c r="CG29" i="19"/>
  <c r="CG30" i="19"/>
  <c r="CG31" i="19"/>
  <c r="CG32" i="19"/>
  <c r="CG33" i="19"/>
  <c r="CG34" i="19"/>
  <c r="CG35" i="19"/>
  <c r="CG36" i="19"/>
  <c r="CF7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G6" i="19"/>
  <c r="CF6" i="19"/>
  <c r="CE6" i="19"/>
  <c r="CA5" i="19"/>
  <c r="BZ5" i="19"/>
  <c r="BY5" i="19"/>
  <c r="BW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37" i="19"/>
  <c r="BW38" i="19"/>
  <c r="BW39" i="19"/>
  <c r="BW40" i="19"/>
  <c r="BW41" i="19"/>
  <c r="BW42" i="19"/>
  <c r="BW43" i="19"/>
  <c r="BW44" i="19"/>
  <c r="BV7" i="19"/>
  <c r="BV8" i="19"/>
  <c r="BV9" i="19"/>
  <c r="BV10" i="19"/>
  <c r="BV11" i="19"/>
  <c r="BV12" i="19"/>
  <c r="BV13" i="19"/>
  <c r="BV14" i="19"/>
  <c r="BV15" i="19"/>
  <c r="BV16" i="19"/>
  <c r="BV17" i="19"/>
  <c r="BV18" i="19"/>
  <c r="BV19" i="19"/>
  <c r="BV20" i="19"/>
  <c r="BV21" i="19"/>
  <c r="BV22" i="19"/>
  <c r="BV23" i="19"/>
  <c r="BV24" i="19"/>
  <c r="BV25" i="19"/>
  <c r="BV26" i="19"/>
  <c r="BV27" i="19"/>
  <c r="BV28" i="19"/>
  <c r="BV29" i="19"/>
  <c r="BV30" i="19"/>
  <c r="BV31" i="19"/>
  <c r="BV32" i="19"/>
  <c r="BV33" i="19"/>
  <c r="BV34" i="19"/>
  <c r="BV35" i="19"/>
  <c r="BV36" i="19"/>
  <c r="BV37" i="19"/>
  <c r="BV38" i="19"/>
  <c r="BV39" i="19"/>
  <c r="BV40" i="19"/>
  <c r="BV41" i="19"/>
  <c r="BV42" i="19"/>
  <c r="BV43" i="19"/>
  <c r="BV44" i="19"/>
  <c r="BW6" i="19"/>
  <c r="BV6" i="19"/>
  <c r="BX35" i="19"/>
  <c r="BX36" i="19"/>
  <c r="BX37" i="19"/>
  <c r="BX38" i="19"/>
  <c r="BX39" i="19"/>
  <c r="BX40" i="19"/>
  <c r="BX41" i="19"/>
  <c r="BX42" i="19"/>
  <c r="BX43" i="19"/>
  <c r="BX44" i="19"/>
  <c r="BU35" i="19"/>
  <c r="BU36" i="19"/>
  <c r="BU37" i="19"/>
  <c r="BU38" i="19"/>
  <c r="BU39" i="19"/>
  <c r="BU40" i="19"/>
  <c r="BU41" i="19"/>
  <c r="BU42" i="19"/>
  <c r="BU43" i="19"/>
  <c r="BU44" i="19"/>
  <c r="BU6" i="19"/>
  <c r="BQ5" i="19"/>
  <c r="BP5" i="19"/>
  <c r="BO5" i="19"/>
  <c r="BM7" i="19"/>
  <c r="BM8" i="19"/>
  <c r="BM9" i="19"/>
  <c r="BM10" i="19"/>
  <c r="BM11" i="19"/>
  <c r="BM12" i="19"/>
  <c r="BM13" i="19"/>
  <c r="BM14" i="19"/>
  <c r="BM15" i="19"/>
  <c r="BM16" i="19"/>
  <c r="BM17" i="19"/>
  <c r="BM18" i="19"/>
  <c r="BM19" i="19"/>
  <c r="BM20" i="19"/>
  <c r="BM21" i="19"/>
  <c r="BM22" i="19"/>
  <c r="BM23" i="19"/>
  <c r="BM24" i="19"/>
  <c r="BM25" i="19"/>
  <c r="BM26" i="19"/>
  <c r="BM27" i="19"/>
  <c r="BM28" i="19"/>
  <c r="BM29" i="19"/>
  <c r="BM30" i="19"/>
  <c r="BM31" i="19"/>
  <c r="BM32" i="19"/>
  <c r="BM33" i="19"/>
  <c r="BM34" i="19"/>
  <c r="BL7" i="19"/>
  <c r="BL8" i="19"/>
  <c r="BL9" i="19"/>
  <c r="BL10" i="19"/>
  <c r="BL11" i="19"/>
  <c r="BL12" i="19"/>
  <c r="BL13" i="19"/>
  <c r="BL14" i="19"/>
  <c r="BL15" i="19"/>
  <c r="BL16" i="19"/>
  <c r="BL17" i="19"/>
  <c r="BL18" i="19"/>
  <c r="BL19" i="19"/>
  <c r="BL20" i="19"/>
  <c r="BL21" i="19"/>
  <c r="BL22" i="19"/>
  <c r="BL23" i="19"/>
  <c r="BL24" i="19"/>
  <c r="BL25" i="19"/>
  <c r="BL26" i="19"/>
  <c r="BL27" i="19"/>
  <c r="BL28" i="19"/>
  <c r="BL29" i="19"/>
  <c r="BL30" i="19"/>
  <c r="BL31" i="19"/>
  <c r="BL32" i="19"/>
  <c r="BL33" i="19"/>
  <c r="BL34" i="19"/>
  <c r="BM6" i="19"/>
  <c r="BL6" i="19"/>
  <c r="BK6" i="19"/>
  <c r="BG5" i="19"/>
  <c r="BF5" i="19"/>
  <c r="BE5" i="19"/>
  <c r="BC7" i="19"/>
  <c r="BC8" i="19"/>
  <c r="BC9" i="19"/>
  <c r="BC10" i="19"/>
  <c r="BC11" i="19"/>
  <c r="BC12" i="19"/>
  <c r="BC13" i="19"/>
  <c r="BC14" i="19"/>
  <c r="BC15" i="19"/>
  <c r="BC16" i="19"/>
  <c r="BC17" i="19"/>
  <c r="BC18" i="19"/>
  <c r="BC19" i="19"/>
  <c r="BC20" i="19"/>
  <c r="BC21" i="19"/>
  <c r="BC22" i="19"/>
  <c r="BC23" i="19"/>
  <c r="BC24" i="19"/>
  <c r="BC25" i="19"/>
  <c r="BC26" i="19"/>
  <c r="BC27" i="19"/>
  <c r="BC28" i="19"/>
  <c r="BC29" i="19"/>
  <c r="BC30" i="19"/>
  <c r="BC31" i="19"/>
  <c r="BC32" i="19"/>
  <c r="BC33" i="19"/>
  <c r="BC34" i="19"/>
  <c r="BC35" i="19"/>
  <c r="BC36" i="19"/>
  <c r="BC37" i="19"/>
  <c r="BC38" i="19"/>
  <c r="BC39" i="19"/>
  <c r="BC40" i="19"/>
  <c r="BC41" i="19"/>
  <c r="BC42" i="19"/>
  <c r="BB7" i="19"/>
  <c r="BB8" i="19"/>
  <c r="BB9" i="19"/>
  <c r="BB10" i="19"/>
  <c r="BB11" i="19"/>
  <c r="BB12" i="19"/>
  <c r="BB13" i="19"/>
  <c r="BB14" i="19"/>
  <c r="BB15" i="19"/>
  <c r="BB16" i="19"/>
  <c r="BB17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B36" i="19"/>
  <c r="BB37" i="19"/>
  <c r="BB38" i="19"/>
  <c r="BB39" i="19"/>
  <c r="BB40" i="19"/>
  <c r="BB41" i="19"/>
  <c r="BB42" i="19"/>
  <c r="BC6" i="19"/>
  <c r="BB6" i="19"/>
  <c r="BA6" i="19"/>
  <c r="AW5" i="19"/>
  <c r="AV5" i="19"/>
  <c r="AU5" i="19"/>
  <c r="AS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41" i="19"/>
  <c r="AS42" i="19"/>
  <c r="AS43" i="19"/>
  <c r="AS44" i="19"/>
  <c r="AS45" i="19"/>
  <c r="AS46" i="19"/>
  <c r="AS47" i="19"/>
  <c r="AR7" i="19"/>
  <c r="AR8" i="19"/>
  <c r="AR9" i="19"/>
  <c r="AR10" i="19"/>
  <c r="AR11" i="19"/>
  <c r="AR12" i="19"/>
  <c r="AR13" i="19"/>
  <c r="AR14" i="19"/>
  <c r="AR15" i="19"/>
  <c r="AR16" i="19"/>
  <c r="AR17" i="19"/>
  <c r="AR18" i="19"/>
  <c r="AR19" i="19"/>
  <c r="AR20" i="19"/>
  <c r="AR21" i="19"/>
  <c r="AR22" i="19"/>
  <c r="AR23" i="19"/>
  <c r="AR24" i="19"/>
  <c r="AR25" i="19"/>
  <c r="AR26" i="19"/>
  <c r="AR27" i="19"/>
  <c r="AR28" i="19"/>
  <c r="AR29" i="19"/>
  <c r="AR30" i="19"/>
  <c r="AR31" i="19"/>
  <c r="AR32" i="19"/>
  <c r="AR33" i="19"/>
  <c r="AR34" i="19"/>
  <c r="AR35" i="19"/>
  <c r="AR36" i="19"/>
  <c r="AR37" i="19"/>
  <c r="AR38" i="19"/>
  <c r="AR39" i="19"/>
  <c r="AR40" i="19"/>
  <c r="AR41" i="19"/>
  <c r="AR42" i="19"/>
  <c r="AR43" i="19"/>
  <c r="AR44" i="19"/>
  <c r="AR45" i="19"/>
  <c r="AR46" i="19"/>
  <c r="AR47" i="19"/>
  <c r="AS6" i="19"/>
  <c r="AR6" i="19"/>
  <c r="AT39" i="19"/>
  <c r="AT40" i="19"/>
  <c r="AT41" i="19"/>
  <c r="AT42" i="19"/>
  <c r="AT43" i="19"/>
  <c r="AT44" i="19"/>
  <c r="AT45" i="19"/>
  <c r="AT46" i="19"/>
  <c r="AT47" i="19"/>
  <c r="AQ39" i="19"/>
  <c r="AQ40" i="19"/>
  <c r="AQ41" i="19"/>
  <c r="AQ42" i="19"/>
  <c r="AQ43" i="19"/>
  <c r="AQ44" i="19"/>
  <c r="AQ45" i="19"/>
  <c r="AQ46" i="19"/>
  <c r="AQ47" i="19"/>
  <c r="AQ6" i="19"/>
  <c r="AM5" i="19"/>
  <c r="AL5" i="19"/>
  <c r="AK5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3" i="19"/>
  <c r="AI34" i="19"/>
  <c r="AI35" i="19"/>
  <c r="AI36" i="19"/>
  <c r="AI37" i="19"/>
  <c r="AI38" i="19"/>
  <c r="AH7" i="19"/>
  <c r="AH8" i="19"/>
  <c r="AH9" i="19"/>
  <c r="AH10" i="19"/>
  <c r="AH11" i="19"/>
  <c r="AH12" i="19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H35" i="19"/>
  <c r="AH36" i="19"/>
  <c r="AH37" i="19"/>
  <c r="AH38" i="19"/>
  <c r="AI6" i="19"/>
  <c r="AH6" i="19"/>
  <c r="AJ36" i="19"/>
  <c r="AJ37" i="19"/>
  <c r="AJ38" i="19"/>
  <c r="AG36" i="19"/>
  <c r="AG37" i="19"/>
  <c r="AG38" i="19"/>
  <c r="AG6" i="19"/>
  <c r="AC5" i="19"/>
  <c r="AB5" i="19"/>
  <c r="AA5" i="19"/>
  <c r="Y7" i="19"/>
  <c r="Y8" i="19"/>
  <c r="Y9" i="19"/>
  <c r="Y10" i="19"/>
  <c r="Y11" i="19"/>
  <c r="Y12" i="19"/>
  <c r="Y13" i="19"/>
  <c r="Y14" i="19"/>
  <c r="Y15" i="19"/>
  <c r="Y16" i="19"/>
  <c r="Y17" i="19"/>
  <c r="Y18" i="19"/>
  <c r="Y19" i="19"/>
  <c r="Y20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34" i="19"/>
  <c r="Y35" i="19"/>
  <c r="X7" i="19"/>
  <c r="X8" i="19"/>
  <c r="X9" i="19"/>
  <c r="X10" i="19"/>
  <c r="X11" i="19"/>
  <c r="X12" i="19"/>
  <c r="X13" i="19"/>
  <c r="X14" i="19"/>
  <c r="X15" i="19"/>
  <c r="X16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X33" i="19"/>
  <c r="X34" i="19"/>
  <c r="X35" i="19"/>
  <c r="Y6" i="19"/>
  <c r="X6" i="19"/>
  <c r="W6" i="19"/>
  <c r="S5" i="19"/>
  <c r="R5" i="19"/>
  <c r="Q5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O6" i="19"/>
  <c r="N6" i="19"/>
  <c r="P35" i="19"/>
  <c r="P36" i="19"/>
  <c r="M35" i="19"/>
  <c r="M36" i="19"/>
  <c r="M37" i="19"/>
  <c r="M38" i="19"/>
  <c r="M6" i="19"/>
  <c r="GK14" i="18"/>
  <c r="GL15" i="18"/>
  <c r="GN13" i="18"/>
  <c r="GQ5" i="18"/>
  <c r="GP5" i="18"/>
  <c r="GO5" i="18"/>
  <c r="GM7" i="18"/>
  <c r="GM8" i="18"/>
  <c r="GM9" i="18"/>
  <c r="GM10" i="18"/>
  <c r="GM11" i="18"/>
  <c r="GM12" i="18"/>
  <c r="GM13" i="18"/>
  <c r="GM14" i="18"/>
  <c r="GM15" i="18"/>
  <c r="GM16" i="18"/>
  <c r="GM17" i="18"/>
  <c r="GM18" i="18"/>
  <c r="GM19" i="18"/>
  <c r="GM20" i="18"/>
  <c r="GM21" i="18"/>
  <c r="GM22" i="18"/>
  <c r="GM23" i="18"/>
  <c r="GM24" i="18"/>
  <c r="GM25" i="18"/>
  <c r="GM26" i="18"/>
  <c r="GM27" i="18"/>
  <c r="GM28" i="18"/>
  <c r="GM29" i="18"/>
  <c r="GM30" i="18"/>
  <c r="GM31" i="18"/>
  <c r="GM32" i="18"/>
  <c r="GM33" i="18"/>
  <c r="GM34" i="18"/>
  <c r="GM35" i="18"/>
  <c r="GM36" i="18"/>
  <c r="GM37" i="18"/>
  <c r="GM38" i="18"/>
  <c r="GL7" i="18"/>
  <c r="GL8" i="18"/>
  <c r="GL9" i="18"/>
  <c r="GL10" i="18"/>
  <c r="GL11" i="18"/>
  <c r="GL12" i="18"/>
  <c r="GL13" i="18"/>
  <c r="GL14" i="18"/>
  <c r="GL16" i="18"/>
  <c r="GL17" i="18"/>
  <c r="GL18" i="18"/>
  <c r="GL19" i="18"/>
  <c r="GL20" i="18"/>
  <c r="GL21" i="18"/>
  <c r="GL22" i="18"/>
  <c r="GL23" i="18"/>
  <c r="GL24" i="18"/>
  <c r="GL25" i="18"/>
  <c r="GL26" i="18"/>
  <c r="GL27" i="18"/>
  <c r="GL28" i="18"/>
  <c r="GL29" i="18"/>
  <c r="GL30" i="18"/>
  <c r="GL31" i="18"/>
  <c r="GL32" i="18"/>
  <c r="GL33" i="18"/>
  <c r="GL34" i="18"/>
  <c r="GL35" i="18"/>
  <c r="GL36" i="18"/>
  <c r="GL37" i="18"/>
  <c r="GL38" i="18"/>
  <c r="GM6" i="18"/>
  <c r="GL6" i="18"/>
  <c r="GK6" i="18"/>
  <c r="GG5" i="18"/>
  <c r="GF5" i="18"/>
  <c r="GE5" i="18"/>
  <c r="GC40" i="18"/>
  <c r="GC39" i="18"/>
  <c r="GC38" i="18"/>
  <c r="GC37" i="18"/>
  <c r="GC36" i="18"/>
  <c r="GC35" i="18"/>
  <c r="GC34" i="18"/>
  <c r="GC33" i="18"/>
  <c r="GC32" i="18"/>
  <c r="GC31" i="18"/>
  <c r="GC30" i="18"/>
  <c r="GC29" i="18"/>
  <c r="GC28" i="18"/>
  <c r="GC27" i="18"/>
  <c r="GC26" i="18"/>
  <c r="GC25" i="18"/>
  <c r="GC24" i="18"/>
  <c r="GC23" i="18"/>
  <c r="GC22" i="18"/>
  <c r="GC21" i="18"/>
  <c r="GC20" i="18"/>
  <c r="GC19" i="18"/>
  <c r="GC18" i="18"/>
  <c r="GC17" i="18"/>
  <c r="GC16" i="18"/>
  <c r="GC15" i="18"/>
  <c r="GC14" i="18"/>
  <c r="GC13" i="18"/>
  <c r="GC12" i="18"/>
  <c r="GC11" i="18"/>
  <c r="GC10" i="18"/>
  <c r="GC9" i="18"/>
  <c r="GC8" i="18"/>
  <c r="GC7" i="18"/>
  <c r="GC6" i="18"/>
  <c r="GA6" i="18"/>
  <c r="FW5" i="18"/>
  <c r="FV5" i="18"/>
  <c r="FU5" i="18"/>
  <c r="FS7" i="18"/>
  <c r="FS8" i="18"/>
  <c r="FS9" i="18"/>
  <c r="FS10" i="18"/>
  <c r="FS11" i="18"/>
  <c r="FS12" i="18"/>
  <c r="FS13" i="18"/>
  <c r="FS14" i="18"/>
  <c r="FS15" i="18"/>
  <c r="FS16" i="18"/>
  <c r="FS17" i="18"/>
  <c r="FS18" i="18"/>
  <c r="FS19" i="18"/>
  <c r="FS20" i="18"/>
  <c r="FS21" i="18"/>
  <c r="FS22" i="18"/>
  <c r="FS23" i="18"/>
  <c r="FS24" i="18"/>
  <c r="FS25" i="18"/>
  <c r="FS26" i="18"/>
  <c r="FS27" i="18"/>
  <c r="FS28" i="18"/>
  <c r="FS29" i="18"/>
  <c r="FS30" i="18"/>
  <c r="FS31" i="18"/>
  <c r="FS32" i="18"/>
  <c r="FS33" i="18"/>
  <c r="FS34" i="18"/>
  <c r="FS35" i="18"/>
  <c r="FS36" i="18"/>
  <c r="FS37" i="18"/>
  <c r="FS38" i="18"/>
  <c r="FS39" i="18"/>
  <c r="FS40" i="18"/>
  <c r="FR7" i="18"/>
  <c r="FR8" i="18"/>
  <c r="FR9" i="18"/>
  <c r="FR10" i="18"/>
  <c r="FR11" i="18"/>
  <c r="FR12" i="18"/>
  <c r="FR13" i="18"/>
  <c r="FR14" i="18"/>
  <c r="FR15" i="18"/>
  <c r="FR16" i="18"/>
  <c r="FR17" i="18"/>
  <c r="FR18" i="18"/>
  <c r="FR19" i="18"/>
  <c r="FR20" i="18"/>
  <c r="FR21" i="18"/>
  <c r="FR22" i="18"/>
  <c r="FR23" i="18"/>
  <c r="FR24" i="18"/>
  <c r="FR25" i="18"/>
  <c r="FR26" i="18"/>
  <c r="FR27" i="18"/>
  <c r="FR28" i="18"/>
  <c r="FR29" i="18"/>
  <c r="FR30" i="18"/>
  <c r="FR31" i="18"/>
  <c r="FR32" i="18"/>
  <c r="FR33" i="18"/>
  <c r="FR34" i="18"/>
  <c r="FR35" i="18"/>
  <c r="FR36" i="18"/>
  <c r="FR37" i="18"/>
  <c r="FR38" i="18"/>
  <c r="FR39" i="18"/>
  <c r="FR40" i="18"/>
  <c r="FS6" i="18"/>
  <c r="FR6" i="18"/>
  <c r="FQ6" i="18"/>
  <c r="FM5" i="18"/>
  <c r="FL5" i="18"/>
  <c r="FK5" i="18"/>
  <c r="FH7" i="18"/>
  <c r="FH8" i="18"/>
  <c r="FH9" i="18"/>
  <c r="FH10" i="18"/>
  <c r="FH11" i="18"/>
  <c r="FH12" i="18"/>
  <c r="FH13" i="18"/>
  <c r="FH14" i="18"/>
  <c r="FH15" i="18"/>
  <c r="FH16" i="18"/>
  <c r="FH17" i="18"/>
  <c r="FH18" i="18"/>
  <c r="FH19" i="18"/>
  <c r="FH20" i="18"/>
  <c r="FH21" i="18"/>
  <c r="FH22" i="18"/>
  <c r="FH23" i="18"/>
  <c r="FH24" i="18"/>
  <c r="FH25" i="18"/>
  <c r="FH26" i="18"/>
  <c r="FH27" i="18"/>
  <c r="FH28" i="18"/>
  <c r="FH29" i="18"/>
  <c r="FH30" i="18"/>
  <c r="FH31" i="18"/>
  <c r="FH32" i="18"/>
  <c r="FH33" i="18"/>
  <c r="FH34" i="18"/>
  <c r="FH35" i="18"/>
  <c r="FH36" i="18"/>
  <c r="FH37" i="18"/>
  <c r="FH38" i="18"/>
  <c r="FH39" i="18"/>
  <c r="FH40" i="18"/>
  <c r="FH41" i="18"/>
  <c r="FH42" i="18"/>
  <c r="FH43" i="18"/>
  <c r="FH44" i="18"/>
  <c r="FH45" i="18"/>
  <c r="FI7" i="18"/>
  <c r="FI8" i="18"/>
  <c r="FI9" i="18"/>
  <c r="FI10" i="18"/>
  <c r="FI11" i="18"/>
  <c r="FI12" i="18"/>
  <c r="FI13" i="18"/>
  <c r="FI14" i="18"/>
  <c r="FI15" i="18"/>
  <c r="FI16" i="18"/>
  <c r="FI17" i="18"/>
  <c r="FI18" i="18"/>
  <c r="FI19" i="18"/>
  <c r="FI20" i="18"/>
  <c r="FI21" i="18"/>
  <c r="FI22" i="18"/>
  <c r="FI23" i="18"/>
  <c r="FI24" i="18"/>
  <c r="FI25" i="18"/>
  <c r="FI26" i="18"/>
  <c r="FI27" i="18"/>
  <c r="FI28" i="18"/>
  <c r="FI29" i="18"/>
  <c r="FI30" i="18"/>
  <c r="FI31" i="18"/>
  <c r="FI32" i="18"/>
  <c r="FI33" i="18"/>
  <c r="FI34" i="18"/>
  <c r="FI35" i="18"/>
  <c r="FI36" i="18"/>
  <c r="FI37" i="18"/>
  <c r="FI38" i="18"/>
  <c r="FI39" i="18"/>
  <c r="FI40" i="18"/>
  <c r="FI41" i="18"/>
  <c r="FI42" i="18"/>
  <c r="FI43" i="18"/>
  <c r="FI44" i="18"/>
  <c r="FI45" i="18"/>
  <c r="FI6" i="18"/>
  <c r="FH6" i="18"/>
  <c r="FJ40" i="18"/>
  <c r="FJ41" i="18"/>
  <c r="FJ42" i="18"/>
  <c r="FJ43" i="18"/>
  <c r="FJ44" i="18"/>
  <c r="FJ45" i="18"/>
  <c r="FG40" i="18"/>
  <c r="FG41" i="18"/>
  <c r="FG42" i="18"/>
  <c r="FG43" i="18"/>
  <c r="FG44" i="18"/>
  <c r="FG45" i="18"/>
  <c r="FG6" i="18"/>
  <c r="FC5" i="18"/>
  <c r="FB5" i="18"/>
  <c r="FA5" i="18"/>
  <c r="EY7" i="18"/>
  <c r="EY8" i="18"/>
  <c r="EY9" i="18"/>
  <c r="EY10" i="18"/>
  <c r="EY11" i="18"/>
  <c r="EY12" i="18"/>
  <c r="EY13" i="18"/>
  <c r="EY14" i="18"/>
  <c r="EY15" i="18"/>
  <c r="EY16" i="18"/>
  <c r="EY17" i="18"/>
  <c r="EY18" i="18"/>
  <c r="EY19" i="18"/>
  <c r="EY20" i="18"/>
  <c r="EY21" i="18"/>
  <c r="EY22" i="18"/>
  <c r="EY23" i="18"/>
  <c r="EY24" i="18"/>
  <c r="EY25" i="18"/>
  <c r="EY26" i="18"/>
  <c r="EY27" i="18"/>
  <c r="EY28" i="18"/>
  <c r="EY29" i="18"/>
  <c r="EY30" i="18"/>
  <c r="EY31" i="18"/>
  <c r="EY32" i="18"/>
  <c r="EY33" i="18"/>
  <c r="EY34" i="18"/>
  <c r="EY35" i="18"/>
  <c r="EY36" i="18"/>
  <c r="EY37" i="18"/>
  <c r="EY38" i="18"/>
  <c r="EY39" i="18"/>
  <c r="EX7" i="18"/>
  <c r="EX8" i="18"/>
  <c r="EX9" i="18"/>
  <c r="EX10" i="18"/>
  <c r="EX11" i="18"/>
  <c r="EX12" i="18"/>
  <c r="EX13" i="18"/>
  <c r="EX14" i="18"/>
  <c r="EX15" i="18"/>
  <c r="EX16" i="18"/>
  <c r="EX17" i="18"/>
  <c r="EX18" i="18"/>
  <c r="EX19" i="18"/>
  <c r="EX20" i="18"/>
  <c r="EX21" i="18"/>
  <c r="EX22" i="18"/>
  <c r="EX23" i="18"/>
  <c r="EX24" i="18"/>
  <c r="EX25" i="18"/>
  <c r="EX26" i="18"/>
  <c r="EX27" i="18"/>
  <c r="EX28" i="18"/>
  <c r="EX29" i="18"/>
  <c r="EX30" i="18"/>
  <c r="EX31" i="18"/>
  <c r="EX32" i="18"/>
  <c r="EX33" i="18"/>
  <c r="EX34" i="18"/>
  <c r="EX35" i="18"/>
  <c r="EX36" i="18"/>
  <c r="EX37" i="18"/>
  <c r="EX38" i="18"/>
  <c r="EX39" i="18"/>
  <c r="EY6" i="18"/>
  <c r="EX6" i="18"/>
  <c r="EW6" i="18"/>
  <c r="ES5" i="18"/>
  <c r="ER5" i="18"/>
  <c r="EQ5" i="18"/>
  <c r="EO7" i="18"/>
  <c r="EO8" i="18"/>
  <c r="EO9" i="18"/>
  <c r="EO10" i="18"/>
  <c r="EO11" i="18"/>
  <c r="EO12" i="18"/>
  <c r="EO13" i="18"/>
  <c r="EO14" i="18"/>
  <c r="EO15" i="18"/>
  <c r="EO16" i="18"/>
  <c r="EO17" i="18"/>
  <c r="EO18" i="18"/>
  <c r="EO19" i="18"/>
  <c r="EO20" i="18"/>
  <c r="EO21" i="18"/>
  <c r="EO22" i="18"/>
  <c r="EO23" i="18"/>
  <c r="EO24" i="18"/>
  <c r="EO25" i="18"/>
  <c r="EO26" i="18"/>
  <c r="EO27" i="18"/>
  <c r="EO28" i="18"/>
  <c r="EO29" i="18"/>
  <c r="EO30" i="18"/>
  <c r="EO31" i="18"/>
  <c r="EO32" i="18"/>
  <c r="EO33" i="18"/>
  <c r="EO34" i="18"/>
  <c r="EO35" i="18"/>
  <c r="EO36" i="18"/>
  <c r="EO37" i="18"/>
  <c r="EO38" i="18"/>
  <c r="EO39" i="18"/>
  <c r="EO40" i="18"/>
  <c r="EO41" i="18"/>
  <c r="EN7" i="18"/>
  <c r="EN8" i="18"/>
  <c r="EN9" i="18"/>
  <c r="EN10" i="18"/>
  <c r="EN11" i="18"/>
  <c r="EN12" i="18"/>
  <c r="EN13" i="18"/>
  <c r="EN14" i="18"/>
  <c r="EN15" i="18"/>
  <c r="EN16" i="18"/>
  <c r="EN17" i="18"/>
  <c r="EN18" i="18"/>
  <c r="EN19" i="18"/>
  <c r="EN20" i="18"/>
  <c r="EN21" i="18"/>
  <c r="EN22" i="18"/>
  <c r="EN23" i="18"/>
  <c r="EN24" i="18"/>
  <c r="EN25" i="18"/>
  <c r="EN26" i="18"/>
  <c r="EN27" i="18"/>
  <c r="EN28" i="18"/>
  <c r="EN29" i="18"/>
  <c r="EN30" i="18"/>
  <c r="EN31" i="18"/>
  <c r="EN32" i="18"/>
  <c r="EN33" i="18"/>
  <c r="EN34" i="18"/>
  <c r="EN35" i="18"/>
  <c r="EN36" i="18"/>
  <c r="EN37" i="18"/>
  <c r="EN38" i="18"/>
  <c r="EN39" i="18"/>
  <c r="EN40" i="18"/>
  <c r="EN41" i="18"/>
  <c r="EO6" i="18"/>
  <c r="EN6" i="18"/>
  <c r="EM6" i="18"/>
  <c r="EI5" i="18"/>
  <c r="EH5" i="18"/>
  <c r="EG5" i="18"/>
  <c r="EE7" i="18"/>
  <c r="EE8" i="18"/>
  <c r="EE9" i="18"/>
  <c r="EE10" i="18"/>
  <c r="EE11" i="18"/>
  <c r="EE12" i="18"/>
  <c r="EE13" i="18"/>
  <c r="EE14" i="18"/>
  <c r="EE15" i="18"/>
  <c r="EE16" i="18"/>
  <c r="EE17" i="18"/>
  <c r="EE18" i="18"/>
  <c r="EE19" i="18"/>
  <c r="EE20" i="18"/>
  <c r="EE21" i="18"/>
  <c r="EE22" i="18"/>
  <c r="EE23" i="18"/>
  <c r="EE24" i="18"/>
  <c r="EE25" i="18"/>
  <c r="EE26" i="18"/>
  <c r="EE27" i="18"/>
  <c r="EE28" i="18"/>
  <c r="EE29" i="18"/>
  <c r="EE30" i="18"/>
  <c r="EE31" i="18"/>
  <c r="EE32" i="18"/>
  <c r="EE33" i="18"/>
  <c r="EE34" i="18"/>
  <c r="EE35" i="18"/>
  <c r="EE36" i="18"/>
  <c r="EE37" i="18"/>
  <c r="EE38" i="18"/>
  <c r="EE39" i="18"/>
  <c r="EE40" i="18"/>
  <c r="EE41" i="18"/>
  <c r="EE42" i="18"/>
  <c r="EE43" i="18"/>
  <c r="ED7" i="18"/>
  <c r="ED8" i="18"/>
  <c r="ED9" i="18"/>
  <c r="ED10" i="18"/>
  <c r="ED11" i="18"/>
  <c r="ED12" i="18"/>
  <c r="ED13" i="18"/>
  <c r="ED14" i="18"/>
  <c r="ED15" i="18"/>
  <c r="ED16" i="18"/>
  <c r="ED17" i="18"/>
  <c r="ED18" i="18"/>
  <c r="ED19" i="18"/>
  <c r="ED20" i="18"/>
  <c r="ED21" i="18"/>
  <c r="ED22" i="18"/>
  <c r="ED23" i="18"/>
  <c r="ED24" i="18"/>
  <c r="ED25" i="18"/>
  <c r="ED26" i="18"/>
  <c r="ED27" i="18"/>
  <c r="ED28" i="18"/>
  <c r="ED29" i="18"/>
  <c r="ED30" i="18"/>
  <c r="ED31" i="18"/>
  <c r="ED32" i="18"/>
  <c r="ED33" i="18"/>
  <c r="ED34" i="18"/>
  <c r="ED35" i="18"/>
  <c r="ED36" i="18"/>
  <c r="ED37" i="18"/>
  <c r="ED38" i="18"/>
  <c r="ED39" i="18"/>
  <c r="ED40" i="18"/>
  <c r="ED41" i="18"/>
  <c r="ED42" i="18"/>
  <c r="ED43" i="18"/>
  <c r="EE6" i="18"/>
  <c r="ED6" i="18"/>
  <c r="EF36" i="18"/>
  <c r="EF37" i="18"/>
  <c r="EF38" i="18"/>
  <c r="EF39" i="18"/>
  <c r="EF40" i="18"/>
  <c r="EF41" i="18"/>
  <c r="EF42" i="18"/>
  <c r="EF43" i="18"/>
  <c r="EC36" i="18"/>
  <c r="EC37" i="18"/>
  <c r="EC38" i="18"/>
  <c r="EC39" i="18"/>
  <c r="EC40" i="18"/>
  <c r="EC41" i="18"/>
  <c r="EC42" i="18"/>
  <c r="EC43" i="18"/>
  <c r="EC6" i="18"/>
  <c r="DY5" i="18"/>
  <c r="DX5" i="18"/>
  <c r="DW5" i="18"/>
  <c r="DU35" i="18"/>
  <c r="DU34" i="18"/>
  <c r="DU33" i="18"/>
  <c r="DU32" i="18"/>
  <c r="DU31" i="18"/>
  <c r="DU30" i="18"/>
  <c r="DU29" i="18"/>
  <c r="DU28" i="18"/>
  <c r="DU27" i="18"/>
  <c r="DU26" i="18"/>
  <c r="DU25" i="18"/>
  <c r="DU24" i="18"/>
  <c r="DU23" i="18"/>
  <c r="DU22" i="18"/>
  <c r="DU21" i="18"/>
  <c r="DU20" i="18"/>
  <c r="DU19" i="18"/>
  <c r="DU18" i="18"/>
  <c r="DU17" i="18"/>
  <c r="DU16" i="18"/>
  <c r="DU15" i="18"/>
  <c r="DU14" i="18"/>
  <c r="DU13" i="18"/>
  <c r="DU12" i="18"/>
  <c r="DU11" i="18"/>
  <c r="DU10" i="18"/>
  <c r="DU9" i="18"/>
  <c r="DU8" i="18"/>
  <c r="DU7" i="18"/>
  <c r="DU6" i="18"/>
  <c r="DS6" i="18"/>
  <c r="DO5" i="18"/>
  <c r="DN5" i="18"/>
  <c r="DM5" i="18"/>
  <c r="DK7" i="18"/>
  <c r="DK8" i="18"/>
  <c r="DK9" i="18"/>
  <c r="DK10" i="18"/>
  <c r="DK11" i="18"/>
  <c r="DK12" i="18"/>
  <c r="DK13" i="18"/>
  <c r="DK14" i="18"/>
  <c r="DK15" i="18"/>
  <c r="DK16" i="18"/>
  <c r="DK17" i="18"/>
  <c r="DK18" i="18"/>
  <c r="DK19" i="18"/>
  <c r="DK20" i="18"/>
  <c r="DK21" i="18"/>
  <c r="DK22" i="18"/>
  <c r="DK23" i="18"/>
  <c r="DK24" i="18"/>
  <c r="DK25" i="18"/>
  <c r="DK26" i="18"/>
  <c r="DK27" i="18"/>
  <c r="DK28" i="18"/>
  <c r="DK29" i="18"/>
  <c r="DK30" i="18"/>
  <c r="DK31" i="18"/>
  <c r="DK32" i="18"/>
  <c r="DK33" i="18"/>
  <c r="DK34" i="18"/>
  <c r="DK35" i="18"/>
  <c r="DJ7" i="18"/>
  <c r="DJ8" i="18"/>
  <c r="DJ9" i="18"/>
  <c r="DJ10" i="18"/>
  <c r="DJ11" i="18"/>
  <c r="DJ12" i="18"/>
  <c r="DJ13" i="18"/>
  <c r="DJ14" i="18"/>
  <c r="DJ15" i="18"/>
  <c r="DJ16" i="18"/>
  <c r="DJ17" i="18"/>
  <c r="DJ18" i="18"/>
  <c r="DJ19" i="18"/>
  <c r="DJ20" i="18"/>
  <c r="DJ21" i="18"/>
  <c r="DJ22" i="18"/>
  <c r="DJ23" i="18"/>
  <c r="DJ24" i="18"/>
  <c r="DJ25" i="18"/>
  <c r="DJ26" i="18"/>
  <c r="DJ27" i="18"/>
  <c r="DJ28" i="18"/>
  <c r="DJ29" i="18"/>
  <c r="DJ30" i="18"/>
  <c r="DJ31" i="18"/>
  <c r="DJ32" i="18"/>
  <c r="DJ33" i="18"/>
  <c r="DJ34" i="18"/>
  <c r="DJ35" i="18"/>
  <c r="DK6" i="18"/>
  <c r="DJ6" i="18"/>
  <c r="DI6" i="18"/>
  <c r="DE5" i="18"/>
  <c r="DD5" i="18"/>
  <c r="DC5" i="18"/>
  <c r="DA7" i="18"/>
  <c r="DA8" i="18"/>
  <c r="DA9" i="18"/>
  <c r="DA10" i="18"/>
  <c r="DA11" i="18"/>
  <c r="DA12" i="18"/>
  <c r="DA13" i="18"/>
  <c r="DA14" i="18"/>
  <c r="DA15" i="18"/>
  <c r="DA16" i="18"/>
  <c r="DA17" i="18"/>
  <c r="DA18" i="18"/>
  <c r="DA19" i="18"/>
  <c r="DA20" i="18"/>
  <c r="DA21" i="18"/>
  <c r="DA22" i="18"/>
  <c r="DA23" i="18"/>
  <c r="DA24" i="18"/>
  <c r="DA25" i="18"/>
  <c r="DA26" i="18"/>
  <c r="DA27" i="18"/>
  <c r="DA28" i="18"/>
  <c r="DA29" i="18"/>
  <c r="DA30" i="18"/>
  <c r="DA31" i="18"/>
  <c r="DA32" i="18"/>
  <c r="DA33" i="18"/>
  <c r="DA34" i="18"/>
  <c r="DA35" i="18"/>
  <c r="DA36" i="18"/>
  <c r="DA37" i="18"/>
  <c r="DA38" i="18"/>
  <c r="DA39" i="18"/>
  <c r="DA40" i="18"/>
  <c r="DA41" i="18"/>
  <c r="DA42" i="18"/>
  <c r="CZ7" i="18"/>
  <c r="CZ8" i="18"/>
  <c r="CZ9" i="18"/>
  <c r="CZ10" i="18"/>
  <c r="CZ11" i="18"/>
  <c r="CZ12" i="18"/>
  <c r="CZ13" i="18"/>
  <c r="CZ14" i="18"/>
  <c r="CZ15" i="18"/>
  <c r="CZ16" i="18"/>
  <c r="CZ17" i="18"/>
  <c r="CZ18" i="18"/>
  <c r="CZ19" i="18"/>
  <c r="CZ20" i="18"/>
  <c r="CZ21" i="18"/>
  <c r="CZ22" i="18"/>
  <c r="CZ23" i="18"/>
  <c r="CZ24" i="18"/>
  <c r="CZ25" i="18"/>
  <c r="CZ26" i="18"/>
  <c r="CZ27" i="18"/>
  <c r="CZ28" i="18"/>
  <c r="CZ29" i="18"/>
  <c r="CZ30" i="18"/>
  <c r="CZ31" i="18"/>
  <c r="CZ32" i="18"/>
  <c r="CZ33" i="18"/>
  <c r="CZ34" i="18"/>
  <c r="CZ35" i="18"/>
  <c r="CZ36" i="18"/>
  <c r="CZ37" i="18"/>
  <c r="CZ38" i="18"/>
  <c r="CZ39" i="18"/>
  <c r="CZ40" i="18"/>
  <c r="CZ41" i="18"/>
  <c r="CZ42" i="18"/>
  <c r="DA6" i="18"/>
  <c r="CZ6" i="18"/>
  <c r="DB40" i="18"/>
  <c r="DB41" i="18"/>
  <c r="DB42" i="18"/>
  <c r="CY38" i="18"/>
  <c r="CY39" i="18"/>
  <c r="CY40" i="18" s="1"/>
  <c r="CY41" i="18" s="1"/>
  <c r="CY42" i="18" s="1"/>
  <c r="CY6" i="18"/>
  <c r="CU5" i="18"/>
  <c r="CT5" i="18"/>
  <c r="CS5" i="18"/>
  <c r="CQ7" i="18"/>
  <c r="CQ8" i="18"/>
  <c r="CQ9" i="18"/>
  <c r="CQ10" i="18"/>
  <c r="CQ11" i="18"/>
  <c r="CQ12" i="18"/>
  <c r="CQ13" i="18"/>
  <c r="CQ14" i="18"/>
  <c r="CQ15" i="18"/>
  <c r="CQ16" i="18"/>
  <c r="CQ17" i="18"/>
  <c r="CQ18" i="18"/>
  <c r="CQ19" i="18"/>
  <c r="CQ20" i="18"/>
  <c r="CQ21" i="18"/>
  <c r="CQ22" i="18"/>
  <c r="CQ23" i="18"/>
  <c r="CQ24" i="18"/>
  <c r="CQ25" i="18"/>
  <c r="CQ26" i="18"/>
  <c r="CQ27" i="18"/>
  <c r="CQ28" i="18"/>
  <c r="CQ29" i="18"/>
  <c r="CQ30" i="18"/>
  <c r="CP7" i="18"/>
  <c r="CP8" i="18"/>
  <c r="CP9" i="18"/>
  <c r="CP10" i="18"/>
  <c r="CP11" i="18"/>
  <c r="CP12" i="18"/>
  <c r="CP13" i="18"/>
  <c r="CP14" i="18"/>
  <c r="CP15" i="18"/>
  <c r="CP16" i="18"/>
  <c r="CP17" i="18"/>
  <c r="CP18" i="18"/>
  <c r="CP19" i="18"/>
  <c r="CP20" i="18"/>
  <c r="CP21" i="18"/>
  <c r="CP22" i="18"/>
  <c r="CP23" i="18"/>
  <c r="CP24" i="18"/>
  <c r="CP25" i="18"/>
  <c r="CP26" i="18"/>
  <c r="CP27" i="18"/>
  <c r="CP28" i="18"/>
  <c r="CP29" i="18"/>
  <c r="CP30" i="18"/>
  <c r="CQ6" i="18"/>
  <c r="CP6" i="18"/>
  <c r="CO6" i="18"/>
  <c r="CK5" i="18"/>
  <c r="CJ5" i="18"/>
  <c r="CI5" i="18"/>
  <c r="CG7" i="18"/>
  <c r="CG8" i="18"/>
  <c r="CG9" i="18"/>
  <c r="CG10" i="18"/>
  <c r="CG11" i="18"/>
  <c r="CG12" i="18"/>
  <c r="CG13" i="18"/>
  <c r="CG14" i="18"/>
  <c r="CG15" i="18"/>
  <c r="CG16" i="18"/>
  <c r="CG17" i="18"/>
  <c r="CG18" i="18"/>
  <c r="CG19" i="18"/>
  <c r="CG20" i="18"/>
  <c r="CG21" i="18"/>
  <c r="CG22" i="18"/>
  <c r="CG23" i="18"/>
  <c r="CG24" i="18"/>
  <c r="CG25" i="18"/>
  <c r="CG26" i="18"/>
  <c r="CG27" i="18"/>
  <c r="CG28" i="18"/>
  <c r="CG29" i="18"/>
  <c r="CG30" i="18"/>
  <c r="CG31" i="18"/>
  <c r="CG32" i="18"/>
  <c r="CG33" i="18"/>
  <c r="CG34" i="18"/>
  <c r="CG35" i="18"/>
  <c r="CG36" i="18"/>
  <c r="CG37" i="18"/>
  <c r="CF7" i="18"/>
  <c r="CF8" i="18"/>
  <c r="CF9" i="18"/>
  <c r="CF10" i="18"/>
  <c r="CF11" i="18"/>
  <c r="CF12" i="18"/>
  <c r="CF13" i="18"/>
  <c r="CF14" i="18"/>
  <c r="CF15" i="18"/>
  <c r="CF16" i="18"/>
  <c r="CF17" i="18"/>
  <c r="CF18" i="18"/>
  <c r="CF19" i="18"/>
  <c r="CF20" i="18"/>
  <c r="CF21" i="18"/>
  <c r="CF22" i="18"/>
  <c r="CF23" i="18"/>
  <c r="CF24" i="18"/>
  <c r="CF25" i="18"/>
  <c r="CF26" i="18"/>
  <c r="CF27" i="18"/>
  <c r="CF28" i="18"/>
  <c r="CF29" i="18"/>
  <c r="CF30" i="18"/>
  <c r="CF31" i="18"/>
  <c r="CF32" i="18"/>
  <c r="CF33" i="18"/>
  <c r="CF34" i="18"/>
  <c r="CF35" i="18"/>
  <c r="CF36" i="18"/>
  <c r="CF37" i="18"/>
  <c r="CG6" i="18"/>
  <c r="CF6" i="18"/>
  <c r="CE6" i="18"/>
  <c r="CA5" i="18"/>
  <c r="BZ5" i="18"/>
  <c r="BY5" i="18"/>
  <c r="BW7" i="18"/>
  <c r="BW8" i="18"/>
  <c r="BW9" i="18"/>
  <c r="BW10" i="18"/>
  <c r="BW11" i="18"/>
  <c r="BW12" i="18"/>
  <c r="BW13" i="18"/>
  <c r="BW14" i="18"/>
  <c r="BW15" i="18"/>
  <c r="BW16" i="18"/>
  <c r="BW17" i="18"/>
  <c r="BW18" i="18"/>
  <c r="BW19" i="18"/>
  <c r="BW20" i="18"/>
  <c r="BW21" i="18"/>
  <c r="BW22" i="18"/>
  <c r="BW23" i="18"/>
  <c r="BW24" i="18"/>
  <c r="BW25" i="18"/>
  <c r="BW26" i="18"/>
  <c r="BW27" i="18"/>
  <c r="BW28" i="18"/>
  <c r="BW29" i="18"/>
  <c r="BW30" i="18"/>
  <c r="BW31" i="18"/>
  <c r="BW32" i="18"/>
  <c r="BW33" i="18"/>
  <c r="BW34" i="18"/>
  <c r="BW35" i="18"/>
  <c r="BW36" i="18"/>
  <c r="BW37" i="18"/>
  <c r="BW38" i="18"/>
  <c r="BV7" i="18"/>
  <c r="BV8" i="18"/>
  <c r="BV9" i="18"/>
  <c r="BV10" i="18"/>
  <c r="BV11" i="18"/>
  <c r="BV12" i="18"/>
  <c r="BV13" i="18"/>
  <c r="BV14" i="18"/>
  <c r="BV15" i="18"/>
  <c r="BV16" i="18"/>
  <c r="BV17" i="18"/>
  <c r="BV18" i="18"/>
  <c r="BV19" i="18"/>
  <c r="BV20" i="18"/>
  <c r="BV21" i="18"/>
  <c r="BV22" i="18"/>
  <c r="BV23" i="18"/>
  <c r="BV24" i="18"/>
  <c r="BV25" i="18"/>
  <c r="BV26" i="18"/>
  <c r="BV27" i="18"/>
  <c r="BV28" i="18"/>
  <c r="BV29" i="18"/>
  <c r="BV30" i="18"/>
  <c r="BV31" i="18"/>
  <c r="BV32" i="18"/>
  <c r="BV33" i="18"/>
  <c r="BV34" i="18"/>
  <c r="BV35" i="18"/>
  <c r="BV36" i="18"/>
  <c r="BV37" i="18"/>
  <c r="BV38" i="18"/>
  <c r="BW6" i="18"/>
  <c r="BV6" i="18"/>
  <c r="BU6" i="18"/>
  <c r="BQ5" i="18"/>
  <c r="BP5" i="18"/>
  <c r="BO5" i="18"/>
  <c r="BM7" i="18"/>
  <c r="BM8" i="18"/>
  <c r="BM9" i="18"/>
  <c r="BM10" i="18"/>
  <c r="BM11" i="18"/>
  <c r="BM12" i="18"/>
  <c r="BM13" i="18"/>
  <c r="BM14" i="18"/>
  <c r="BM15" i="18"/>
  <c r="BM16" i="18"/>
  <c r="BM17" i="18"/>
  <c r="BM18" i="18"/>
  <c r="BM19" i="18"/>
  <c r="BM20" i="18"/>
  <c r="BM21" i="18"/>
  <c r="BM22" i="18"/>
  <c r="BM23" i="18"/>
  <c r="BM24" i="18"/>
  <c r="BM25" i="18"/>
  <c r="BM26" i="18"/>
  <c r="BM27" i="18"/>
  <c r="BM28" i="18"/>
  <c r="BM29" i="18"/>
  <c r="BM30" i="18"/>
  <c r="BM31" i="18"/>
  <c r="BM32" i="18"/>
  <c r="BM33" i="18"/>
  <c r="BM34" i="18"/>
  <c r="BM35" i="18"/>
  <c r="BM36" i="18"/>
  <c r="BM37" i="18"/>
  <c r="BM38" i="18"/>
  <c r="BM39" i="18"/>
  <c r="BM40" i="18"/>
  <c r="BM41" i="18"/>
  <c r="BM42" i="18"/>
  <c r="BL7" i="18"/>
  <c r="BL8" i="18"/>
  <c r="BL9" i="18"/>
  <c r="BL10" i="18"/>
  <c r="BL11" i="18"/>
  <c r="BL12" i="18"/>
  <c r="BL13" i="18"/>
  <c r="BL14" i="18"/>
  <c r="BL15" i="18"/>
  <c r="BL16" i="18"/>
  <c r="BL17" i="18"/>
  <c r="BL18" i="18"/>
  <c r="BL19" i="18"/>
  <c r="BL20" i="18"/>
  <c r="BL21" i="18"/>
  <c r="BL22" i="18"/>
  <c r="BL23" i="18"/>
  <c r="BL24" i="18"/>
  <c r="BL25" i="18"/>
  <c r="BL26" i="18"/>
  <c r="BL27" i="18"/>
  <c r="BL28" i="18"/>
  <c r="BL29" i="18"/>
  <c r="BL30" i="18"/>
  <c r="BL31" i="18"/>
  <c r="BL32" i="18"/>
  <c r="BL33" i="18"/>
  <c r="BL34" i="18"/>
  <c r="BL35" i="18"/>
  <c r="BL36" i="18"/>
  <c r="BL37" i="18"/>
  <c r="BL38" i="18"/>
  <c r="BL39" i="18"/>
  <c r="BL40" i="18"/>
  <c r="BL41" i="18"/>
  <c r="BL42" i="18"/>
  <c r="BM6" i="18"/>
  <c r="BL6" i="18"/>
  <c r="BN42" i="18"/>
  <c r="BN41" i="18"/>
  <c r="BK41" i="18"/>
  <c r="BK42" i="18"/>
  <c r="BK6" i="18"/>
  <c r="BK7" i="18" s="1"/>
  <c r="BG5" i="18"/>
  <c r="BF5" i="18"/>
  <c r="BE5" i="18"/>
  <c r="BC7" i="18"/>
  <c r="BC8" i="18"/>
  <c r="BC9" i="18"/>
  <c r="BC10" i="18"/>
  <c r="BC11" i="18"/>
  <c r="BC12" i="18"/>
  <c r="BC13" i="18"/>
  <c r="BC14" i="18"/>
  <c r="BC15" i="18"/>
  <c r="BC16" i="18"/>
  <c r="BC17" i="18"/>
  <c r="BC18" i="18"/>
  <c r="BC19" i="18"/>
  <c r="BC20" i="18"/>
  <c r="BC21" i="18"/>
  <c r="BC22" i="18"/>
  <c r="BC23" i="18"/>
  <c r="BC24" i="18"/>
  <c r="BC25" i="18"/>
  <c r="BC26" i="18"/>
  <c r="BC27" i="18"/>
  <c r="BC28" i="18"/>
  <c r="BC29" i="18"/>
  <c r="BC30" i="18"/>
  <c r="BC31" i="18"/>
  <c r="BC32" i="18"/>
  <c r="BC33" i="18"/>
  <c r="BC34" i="18"/>
  <c r="BC35" i="18"/>
  <c r="BC36" i="18"/>
  <c r="BC37" i="18"/>
  <c r="BC38" i="18"/>
  <c r="BC39" i="18"/>
  <c r="BC40" i="18"/>
  <c r="BB7" i="18"/>
  <c r="BB8" i="18"/>
  <c r="BB9" i="18"/>
  <c r="BB10" i="18"/>
  <c r="BB11" i="18"/>
  <c r="BB12" i="18"/>
  <c r="BB13" i="18"/>
  <c r="BB14" i="18"/>
  <c r="BB15" i="18"/>
  <c r="BB16" i="18"/>
  <c r="BB17" i="18"/>
  <c r="BB18" i="18"/>
  <c r="BB19" i="18"/>
  <c r="BB20" i="18"/>
  <c r="BB21" i="18"/>
  <c r="BB22" i="18"/>
  <c r="BB23" i="18"/>
  <c r="BB24" i="18"/>
  <c r="BB25" i="18"/>
  <c r="BB26" i="18"/>
  <c r="BB27" i="18"/>
  <c r="BB28" i="18"/>
  <c r="BB29" i="18"/>
  <c r="BB30" i="18"/>
  <c r="BB31" i="18"/>
  <c r="BB32" i="18"/>
  <c r="BB33" i="18"/>
  <c r="BB34" i="18"/>
  <c r="BB35" i="18"/>
  <c r="BB36" i="18"/>
  <c r="BB37" i="18"/>
  <c r="BB38" i="18"/>
  <c r="BB39" i="18"/>
  <c r="BB40" i="18"/>
  <c r="BC6" i="18"/>
  <c r="BB6" i="18"/>
  <c r="BA6" i="18"/>
  <c r="AW5" i="18"/>
  <c r="AV5" i="18"/>
  <c r="AU5" i="18"/>
  <c r="AS7" i="18"/>
  <c r="AS8" i="18"/>
  <c r="AS9" i="18"/>
  <c r="AS10" i="18"/>
  <c r="AS11" i="18"/>
  <c r="AS12" i="18"/>
  <c r="AS13" i="18"/>
  <c r="AS14" i="18"/>
  <c r="AS15" i="18"/>
  <c r="AS16" i="18"/>
  <c r="AS17" i="18"/>
  <c r="AS18" i="18"/>
  <c r="AS19" i="18"/>
  <c r="AS20" i="18"/>
  <c r="AS21" i="18"/>
  <c r="AS22" i="18"/>
  <c r="AS23" i="18"/>
  <c r="AS24" i="18"/>
  <c r="AS25" i="18"/>
  <c r="AS26" i="18"/>
  <c r="AS27" i="18"/>
  <c r="AS28" i="18"/>
  <c r="AS29" i="18"/>
  <c r="AS30" i="18"/>
  <c r="AS31" i="18"/>
  <c r="AS32" i="18"/>
  <c r="AS33" i="18"/>
  <c r="AS34" i="18"/>
  <c r="AS35" i="18"/>
  <c r="AS36" i="18"/>
  <c r="AS37" i="18"/>
  <c r="AS38" i="18"/>
  <c r="AS39" i="18"/>
  <c r="AS40" i="18"/>
  <c r="AS41" i="18"/>
  <c r="AS42" i="18"/>
  <c r="AR7" i="18"/>
  <c r="AR8" i="18"/>
  <c r="AR9" i="18"/>
  <c r="AR10" i="18"/>
  <c r="AR11" i="18"/>
  <c r="AR12" i="18"/>
  <c r="AR13" i="18"/>
  <c r="AR14" i="18"/>
  <c r="AR15" i="18"/>
  <c r="AR16" i="18"/>
  <c r="AR17" i="18"/>
  <c r="AR18" i="18"/>
  <c r="AR19" i="18"/>
  <c r="AR20" i="18"/>
  <c r="AR21" i="18"/>
  <c r="AR22" i="18"/>
  <c r="AR23" i="18"/>
  <c r="AR24" i="18"/>
  <c r="AR25" i="18"/>
  <c r="AR26" i="18"/>
  <c r="AR27" i="18"/>
  <c r="AR28" i="18"/>
  <c r="AR29" i="18"/>
  <c r="AR30" i="18"/>
  <c r="AR31" i="18"/>
  <c r="AR32" i="18"/>
  <c r="AR33" i="18"/>
  <c r="AR34" i="18"/>
  <c r="AR35" i="18"/>
  <c r="AR36" i="18"/>
  <c r="AR37" i="18"/>
  <c r="AR38" i="18"/>
  <c r="AR39" i="18"/>
  <c r="AR40" i="18"/>
  <c r="AR41" i="18"/>
  <c r="AR42" i="18"/>
  <c r="AS6" i="18"/>
  <c r="AR6" i="18"/>
  <c r="AT42" i="18"/>
  <c r="AQ42" i="18"/>
  <c r="AQ6" i="18"/>
  <c r="AM5" i="18"/>
  <c r="AL5" i="18"/>
  <c r="AK5" i="18"/>
  <c r="AI7" i="18"/>
  <c r="AI8" i="18"/>
  <c r="AI9" i="18"/>
  <c r="AI10" i="18"/>
  <c r="AI11" i="18"/>
  <c r="AI12" i="18"/>
  <c r="AI13" i="18"/>
  <c r="AI14" i="18"/>
  <c r="AI15" i="18"/>
  <c r="AI16" i="18"/>
  <c r="AI17" i="18"/>
  <c r="AI18" i="18"/>
  <c r="AI19" i="18"/>
  <c r="AI20" i="18"/>
  <c r="AI21" i="18"/>
  <c r="AI22" i="18"/>
  <c r="AI23" i="18"/>
  <c r="AI24" i="18"/>
  <c r="AI25" i="18"/>
  <c r="AI26" i="18"/>
  <c r="AI27" i="18"/>
  <c r="AI28" i="18"/>
  <c r="AI29" i="18"/>
  <c r="AI30" i="18"/>
  <c r="AI31" i="18"/>
  <c r="AI32" i="18"/>
  <c r="AI33" i="18"/>
  <c r="AI34" i="18"/>
  <c r="AI35" i="18"/>
  <c r="AI36" i="18"/>
  <c r="AI37" i="18"/>
  <c r="AI38" i="18"/>
  <c r="AI39" i="18"/>
  <c r="AI40" i="18"/>
  <c r="AI41" i="18"/>
  <c r="AI6" i="18"/>
  <c r="AH7" i="18"/>
  <c r="AH8" i="18"/>
  <c r="AH9" i="18"/>
  <c r="AH10" i="18"/>
  <c r="AH11" i="18"/>
  <c r="AH12" i="18"/>
  <c r="AH13" i="18"/>
  <c r="AH14" i="18"/>
  <c r="AH15" i="18"/>
  <c r="AH16" i="18"/>
  <c r="AH17" i="18"/>
  <c r="AH18" i="18"/>
  <c r="AH19" i="18"/>
  <c r="AH20" i="18"/>
  <c r="AH21" i="18"/>
  <c r="AH22" i="18"/>
  <c r="AH23" i="18"/>
  <c r="AH24" i="18"/>
  <c r="AH25" i="18"/>
  <c r="AH26" i="18"/>
  <c r="AH27" i="18"/>
  <c r="AH28" i="18"/>
  <c r="AH29" i="18"/>
  <c r="AH30" i="18"/>
  <c r="AH31" i="18"/>
  <c r="AH32" i="18"/>
  <c r="AH33" i="18"/>
  <c r="AH34" i="18"/>
  <c r="AH35" i="18"/>
  <c r="AH36" i="18"/>
  <c r="AH37" i="18"/>
  <c r="AH38" i="18"/>
  <c r="AH39" i="18"/>
  <c r="AH40" i="18"/>
  <c r="AH41" i="18"/>
  <c r="AH6" i="18"/>
  <c r="AJ39" i="18"/>
  <c r="AJ40" i="18"/>
  <c r="AJ41" i="18"/>
  <c r="AG39" i="18"/>
  <c r="AG40" i="18"/>
  <c r="AG41" i="18"/>
  <c r="AG6" i="18"/>
  <c r="AC5" i="18"/>
  <c r="AB5" i="18"/>
  <c r="AA5" i="18"/>
  <c r="Y38" i="18"/>
  <c r="Y37" i="18"/>
  <c r="Y36" i="18"/>
  <c r="Y35" i="18"/>
  <c r="Y34" i="18"/>
  <c r="Y33" i="18"/>
  <c r="Y32" i="18"/>
  <c r="Y31" i="18"/>
  <c r="Y30" i="18"/>
  <c r="Y29" i="18"/>
  <c r="Y28" i="18"/>
  <c r="Y27" i="18"/>
  <c r="Y26" i="18"/>
  <c r="Y25" i="18"/>
  <c r="Y24" i="18"/>
  <c r="Y23" i="18"/>
  <c r="Y22" i="18"/>
  <c r="Y21" i="18"/>
  <c r="Y20" i="18"/>
  <c r="Y19" i="18"/>
  <c r="Y18" i="18"/>
  <c r="Y17" i="18"/>
  <c r="Y16" i="18"/>
  <c r="Y15" i="18"/>
  <c r="Y14" i="18"/>
  <c r="Y13" i="18"/>
  <c r="Y12" i="18"/>
  <c r="Y11" i="18"/>
  <c r="Y10" i="18"/>
  <c r="Y9" i="18"/>
  <c r="Y8" i="18"/>
  <c r="Y7" i="18"/>
  <c r="Y6" i="18"/>
  <c r="W6" i="18"/>
  <c r="S5" i="18"/>
  <c r="R5" i="18"/>
  <c r="Q5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6" i="18"/>
  <c r="N6" i="18"/>
  <c r="M6" i="18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6" i="19"/>
  <c r="C6" i="19"/>
  <c r="I5" i="18"/>
  <c r="H5" i="18"/>
  <c r="G5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6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7" i="18"/>
  <c r="C6" i="18"/>
  <c r="GQ5" i="17"/>
  <c r="GP5" i="17"/>
  <c r="GO5" i="17"/>
  <c r="GM7" i="17"/>
  <c r="GM8" i="17"/>
  <c r="GM9" i="17"/>
  <c r="GM10" i="17"/>
  <c r="GM11" i="17"/>
  <c r="GM12" i="17"/>
  <c r="GM13" i="17"/>
  <c r="GM14" i="17"/>
  <c r="GM15" i="17"/>
  <c r="GM16" i="17"/>
  <c r="GM17" i="17"/>
  <c r="GM18" i="17"/>
  <c r="GM19" i="17"/>
  <c r="GM20" i="17"/>
  <c r="GM21" i="17"/>
  <c r="GM22" i="17"/>
  <c r="GM23" i="17"/>
  <c r="GM24" i="17"/>
  <c r="GM25" i="17"/>
  <c r="GM26" i="17"/>
  <c r="GM27" i="17"/>
  <c r="GM28" i="17"/>
  <c r="GM29" i="17"/>
  <c r="GM30" i="17"/>
  <c r="GM31" i="17"/>
  <c r="GM32" i="17"/>
  <c r="GM33" i="17"/>
  <c r="GM34" i="17"/>
  <c r="GM35" i="17"/>
  <c r="GM36" i="17"/>
  <c r="GM37" i="17"/>
  <c r="GM38" i="17"/>
  <c r="GM39" i="17"/>
  <c r="GL7" i="17"/>
  <c r="GL8" i="17"/>
  <c r="GL9" i="17"/>
  <c r="GL10" i="17"/>
  <c r="GL11" i="17"/>
  <c r="GL12" i="17"/>
  <c r="GL13" i="17"/>
  <c r="GL14" i="17"/>
  <c r="GL15" i="17"/>
  <c r="GL16" i="17"/>
  <c r="GL17" i="17"/>
  <c r="GL18" i="17"/>
  <c r="GL19" i="17"/>
  <c r="GL20" i="17"/>
  <c r="GL21" i="17"/>
  <c r="GL22" i="17"/>
  <c r="GL23" i="17"/>
  <c r="GL24" i="17"/>
  <c r="GL25" i="17"/>
  <c r="GL26" i="17"/>
  <c r="GL27" i="17"/>
  <c r="GL28" i="17"/>
  <c r="GL29" i="17"/>
  <c r="GL30" i="17"/>
  <c r="GL31" i="17"/>
  <c r="GL32" i="17"/>
  <c r="GL33" i="17"/>
  <c r="GL34" i="17"/>
  <c r="GL35" i="17"/>
  <c r="GL36" i="17"/>
  <c r="GL37" i="17"/>
  <c r="GL38" i="17"/>
  <c r="GL39" i="17"/>
  <c r="GM6" i="17"/>
  <c r="GL6" i="17"/>
  <c r="GK6" i="17"/>
  <c r="GG5" i="17"/>
  <c r="GF5" i="17"/>
  <c r="GE5" i="17"/>
  <c r="GC7" i="17"/>
  <c r="GC8" i="17"/>
  <c r="GC9" i="17"/>
  <c r="GC10" i="17"/>
  <c r="GC11" i="17"/>
  <c r="GC12" i="17"/>
  <c r="GC13" i="17"/>
  <c r="GC14" i="17"/>
  <c r="GC15" i="17"/>
  <c r="GC16" i="17"/>
  <c r="GC17" i="17"/>
  <c r="GC18" i="17"/>
  <c r="GC19" i="17"/>
  <c r="GC20" i="17"/>
  <c r="GC21" i="17"/>
  <c r="GC22" i="17"/>
  <c r="GC23" i="17"/>
  <c r="GC24" i="17"/>
  <c r="GC25" i="17"/>
  <c r="GC26" i="17"/>
  <c r="GC27" i="17"/>
  <c r="GC28" i="17"/>
  <c r="GC29" i="17"/>
  <c r="GC30" i="17"/>
  <c r="GC31" i="17"/>
  <c r="GC32" i="17"/>
  <c r="GC33" i="17"/>
  <c r="GC34" i="17"/>
  <c r="GC35" i="17"/>
  <c r="GC36" i="17"/>
  <c r="GC37" i="17"/>
  <c r="GC38" i="17"/>
  <c r="GC39" i="17"/>
  <c r="GC40" i="17"/>
  <c r="GC41" i="17"/>
  <c r="GC42" i="17"/>
  <c r="GC43" i="17"/>
  <c r="GC44" i="17"/>
  <c r="GC45" i="17"/>
  <c r="GC46" i="17"/>
  <c r="GB7" i="17"/>
  <c r="GB8" i="17"/>
  <c r="GB9" i="17"/>
  <c r="GB10" i="17"/>
  <c r="GB11" i="17"/>
  <c r="GB12" i="17"/>
  <c r="GB13" i="17"/>
  <c r="GB14" i="17"/>
  <c r="GB15" i="17"/>
  <c r="GB16" i="17"/>
  <c r="GB17" i="17"/>
  <c r="GB18" i="17"/>
  <c r="GB19" i="17"/>
  <c r="GB20" i="17"/>
  <c r="GB21" i="17"/>
  <c r="GB22" i="17"/>
  <c r="GB23" i="17"/>
  <c r="GB24" i="17"/>
  <c r="GB25" i="17"/>
  <c r="GB26" i="17"/>
  <c r="GB27" i="17"/>
  <c r="GB28" i="17"/>
  <c r="GB29" i="17"/>
  <c r="GB30" i="17"/>
  <c r="GB31" i="17"/>
  <c r="GB32" i="17"/>
  <c r="GB33" i="17"/>
  <c r="GB34" i="17"/>
  <c r="GB35" i="17"/>
  <c r="GB36" i="17"/>
  <c r="GB37" i="17"/>
  <c r="GB38" i="17"/>
  <c r="GB39" i="17"/>
  <c r="GB40" i="17"/>
  <c r="GB41" i="17"/>
  <c r="GB42" i="17"/>
  <c r="GB43" i="17"/>
  <c r="GB44" i="17"/>
  <c r="GB45" i="17"/>
  <c r="GB46" i="17"/>
  <c r="GC6" i="17"/>
  <c r="GB6" i="17"/>
  <c r="GD44" i="17"/>
  <c r="GD45" i="17"/>
  <c r="GD46" i="17"/>
  <c r="GA44" i="17"/>
  <c r="GA45" i="17"/>
  <c r="GA46" i="17"/>
  <c r="GA6" i="17"/>
  <c r="FW5" i="17"/>
  <c r="FV5" i="17"/>
  <c r="FU5" i="17"/>
  <c r="FS7" i="17"/>
  <c r="FS8" i="17"/>
  <c r="FS9" i="17"/>
  <c r="FS10" i="17"/>
  <c r="FS11" i="17"/>
  <c r="FS12" i="17"/>
  <c r="FS13" i="17"/>
  <c r="FS14" i="17"/>
  <c r="FS15" i="17"/>
  <c r="FS16" i="17"/>
  <c r="FS17" i="17"/>
  <c r="FS18" i="17"/>
  <c r="FS19" i="17"/>
  <c r="FS20" i="17"/>
  <c r="FS21" i="17"/>
  <c r="FS22" i="17"/>
  <c r="FS23" i="17"/>
  <c r="FS24" i="17"/>
  <c r="FS25" i="17"/>
  <c r="FS26" i="17"/>
  <c r="FS27" i="17"/>
  <c r="FS28" i="17"/>
  <c r="FS29" i="17"/>
  <c r="FS30" i="17"/>
  <c r="FS31" i="17"/>
  <c r="FS32" i="17"/>
  <c r="FS33" i="17"/>
  <c r="FS34" i="17"/>
  <c r="FS35" i="17"/>
  <c r="FS36" i="17"/>
  <c r="FS37" i="17"/>
  <c r="FS38" i="17"/>
  <c r="FS39" i="17"/>
  <c r="FS40" i="17"/>
  <c r="FS41" i="17"/>
  <c r="FS42" i="17"/>
  <c r="FS43" i="17"/>
  <c r="FS6" i="17"/>
  <c r="FR7" i="17"/>
  <c r="FR8" i="17"/>
  <c r="FR9" i="17"/>
  <c r="FR10" i="17"/>
  <c r="FR11" i="17"/>
  <c r="FR12" i="17"/>
  <c r="FR13" i="17"/>
  <c r="FR14" i="17"/>
  <c r="FR15" i="17"/>
  <c r="FR16" i="17"/>
  <c r="FR17" i="17"/>
  <c r="FR18" i="17"/>
  <c r="FR19" i="17"/>
  <c r="FR20" i="17"/>
  <c r="FR21" i="17"/>
  <c r="FR22" i="17"/>
  <c r="FR23" i="17"/>
  <c r="FR24" i="17"/>
  <c r="FR25" i="17"/>
  <c r="FR26" i="17"/>
  <c r="FR27" i="17"/>
  <c r="FR28" i="17"/>
  <c r="FR29" i="17"/>
  <c r="FR30" i="17"/>
  <c r="FR31" i="17"/>
  <c r="FR32" i="17"/>
  <c r="FR33" i="17"/>
  <c r="FR34" i="17"/>
  <c r="FR35" i="17"/>
  <c r="FR36" i="17"/>
  <c r="FR37" i="17"/>
  <c r="FR38" i="17"/>
  <c r="FR39" i="17"/>
  <c r="FR40" i="17"/>
  <c r="FR41" i="17"/>
  <c r="FR42" i="17"/>
  <c r="FR43" i="17"/>
  <c r="FR6" i="17"/>
  <c r="FT39" i="17"/>
  <c r="FT40" i="17"/>
  <c r="FT41" i="17"/>
  <c r="FT42" i="17"/>
  <c r="FT43" i="17"/>
  <c r="FQ39" i="17"/>
  <c r="FQ40" i="17"/>
  <c r="FQ41" i="17"/>
  <c r="FQ42" i="17"/>
  <c r="FQ43" i="17"/>
  <c r="FQ6" i="17"/>
  <c r="FM5" i="17"/>
  <c r="FL5" i="17"/>
  <c r="FK5" i="17"/>
  <c r="FI7" i="17"/>
  <c r="FI8" i="17"/>
  <c r="FI9" i="17"/>
  <c r="FI10" i="17"/>
  <c r="FI11" i="17"/>
  <c r="FI12" i="17"/>
  <c r="FI13" i="17"/>
  <c r="FI14" i="17"/>
  <c r="FI15" i="17"/>
  <c r="FI16" i="17"/>
  <c r="FI17" i="17"/>
  <c r="FI18" i="17"/>
  <c r="FI19" i="17"/>
  <c r="FI20" i="17"/>
  <c r="FI21" i="17"/>
  <c r="FI22" i="17"/>
  <c r="FI23" i="17"/>
  <c r="FI24" i="17"/>
  <c r="FI25" i="17"/>
  <c r="FI26" i="17"/>
  <c r="FI27" i="17"/>
  <c r="FI28" i="17"/>
  <c r="FI29" i="17"/>
  <c r="FI30" i="17"/>
  <c r="FI31" i="17"/>
  <c r="FI32" i="17"/>
  <c r="FI33" i="17"/>
  <c r="FI34" i="17"/>
  <c r="FI35" i="17"/>
  <c r="FI36" i="17"/>
  <c r="FI37" i="17"/>
  <c r="FI38" i="17"/>
  <c r="FH7" i="17"/>
  <c r="FH8" i="17"/>
  <c r="FH9" i="17"/>
  <c r="FH10" i="17"/>
  <c r="FH11" i="17"/>
  <c r="FH12" i="17"/>
  <c r="FH13" i="17"/>
  <c r="FH14" i="17"/>
  <c r="FH15" i="17"/>
  <c r="FH16" i="17"/>
  <c r="FH17" i="17"/>
  <c r="FH18" i="17"/>
  <c r="FH19" i="17"/>
  <c r="FH20" i="17"/>
  <c r="FH21" i="17"/>
  <c r="FH22" i="17"/>
  <c r="FH23" i="17"/>
  <c r="FH24" i="17"/>
  <c r="FH25" i="17"/>
  <c r="FH26" i="17"/>
  <c r="FH27" i="17"/>
  <c r="FH28" i="17"/>
  <c r="FH29" i="17"/>
  <c r="FH30" i="17"/>
  <c r="FH31" i="17"/>
  <c r="FH32" i="17"/>
  <c r="FH33" i="17"/>
  <c r="FH34" i="17"/>
  <c r="FH35" i="17"/>
  <c r="FH36" i="17"/>
  <c r="FH37" i="17"/>
  <c r="FH38" i="17"/>
  <c r="FI6" i="17"/>
  <c r="FH6" i="17"/>
  <c r="FG6" i="17"/>
  <c r="FC5" i="17"/>
  <c r="FB5" i="17"/>
  <c r="FA5" i="17"/>
  <c r="EY7" i="17"/>
  <c r="EY8" i="17"/>
  <c r="EY9" i="17"/>
  <c r="EY10" i="17"/>
  <c r="EY11" i="17"/>
  <c r="EY12" i="17"/>
  <c r="EY13" i="17"/>
  <c r="EY14" i="17"/>
  <c r="EY15" i="17"/>
  <c r="EY16" i="17"/>
  <c r="EY17" i="17"/>
  <c r="EY18" i="17"/>
  <c r="EY19" i="17"/>
  <c r="EY20" i="17"/>
  <c r="EY21" i="17"/>
  <c r="EY22" i="17"/>
  <c r="EY23" i="17"/>
  <c r="EY24" i="17"/>
  <c r="EY25" i="17"/>
  <c r="EY26" i="17"/>
  <c r="EY27" i="17"/>
  <c r="EY28" i="17"/>
  <c r="EY29" i="17"/>
  <c r="EY30" i="17"/>
  <c r="EY31" i="17"/>
  <c r="EY32" i="17"/>
  <c r="EY33" i="17"/>
  <c r="EY34" i="17"/>
  <c r="EY35" i="17"/>
  <c r="EY36" i="17"/>
  <c r="EY37" i="17"/>
  <c r="EY38" i="17"/>
  <c r="EY39" i="17"/>
  <c r="EY40" i="17"/>
  <c r="EY41" i="17"/>
  <c r="EY42" i="17"/>
  <c r="EY43" i="17"/>
  <c r="EY44" i="17"/>
  <c r="EX7" i="17"/>
  <c r="EX8" i="17"/>
  <c r="EX9" i="17"/>
  <c r="EX10" i="17"/>
  <c r="EX11" i="17"/>
  <c r="EX12" i="17"/>
  <c r="EX13" i="17"/>
  <c r="EX14" i="17"/>
  <c r="EX15" i="17"/>
  <c r="EX16" i="17"/>
  <c r="EX17" i="17"/>
  <c r="EX18" i="17"/>
  <c r="EX19" i="17"/>
  <c r="EX20" i="17"/>
  <c r="EX21" i="17"/>
  <c r="EX22" i="17"/>
  <c r="EX23" i="17"/>
  <c r="EX24" i="17"/>
  <c r="EX25" i="17"/>
  <c r="EX26" i="17"/>
  <c r="EX27" i="17"/>
  <c r="EX28" i="17"/>
  <c r="EX29" i="17"/>
  <c r="EX30" i="17"/>
  <c r="EX31" i="17"/>
  <c r="EX32" i="17"/>
  <c r="EX33" i="17"/>
  <c r="EX34" i="17"/>
  <c r="EX35" i="17"/>
  <c r="EX36" i="17"/>
  <c r="EX37" i="17"/>
  <c r="EX38" i="17"/>
  <c r="EX39" i="17"/>
  <c r="EX40" i="17"/>
  <c r="EX41" i="17"/>
  <c r="EX42" i="17"/>
  <c r="EX43" i="17"/>
  <c r="EX44" i="17"/>
  <c r="EY6" i="17"/>
  <c r="EX6" i="17"/>
  <c r="EZ43" i="17"/>
  <c r="EZ39" i="17"/>
  <c r="EZ40" i="17"/>
  <c r="EZ41" i="17"/>
  <c r="EZ42" i="17"/>
  <c r="EZ44" i="17"/>
  <c r="EW39" i="17"/>
  <c r="EW40" i="17"/>
  <c r="EW41" i="17" s="1"/>
  <c r="EW42" i="17" s="1"/>
  <c r="EW43" i="17" s="1"/>
  <c r="EW44" i="17" s="1"/>
  <c r="EW6" i="17"/>
  <c r="ES5" i="17"/>
  <c r="ER5" i="17"/>
  <c r="EQ5" i="17"/>
  <c r="EN7" i="17"/>
  <c r="EN8" i="17"/>
  <c r="EN9" i="17"/>
  <c r="EN10" i="17"/>
  <c r="EN11" i="17"/>
  <c r="EN12" i="17"/>
  <c r="EN13" i="17"/>
  <c r="EN14" i="17"/>
  <c r="EN15" i="17"/>
  <c r="EN16" i="17"/>
  <c r="EN17" i="17"/>
  <c r="EN18" i="17"/>
  <c r="EN19" i="17"/>
  <c r="EN20" i="17"/>
  <c r="EN21" i="17"/>
  <c r="EN22" i="17"/>
  <c r="EN23" i="17"/>
  <c r="EN24" i="17"/>
  <c r="EN25" i="17"/>
  <c r="EN26" i="17"/>
  <c r="EN27" i="17"/>
  <c r="EN28" i="17"/>
  <c r="EN29" i="17"/>
  <c r="EN30" i="17"/>
  <c r="EN31" i="17"/>
  <c r="EN32" i="17"/>
  <c r="EN33" i="17"/>
  <c r="EN34" i="17"/>
  <c r="EN35" i="17"/>
  <c r="EN36" i="17"/>
  <c r="EN37" i="17"/>
  <c r="EN38" i="17"/>
  <c r="EO7" i="17"/>
  <c r="EO8" i="17"/>
  <c r="EO9" i="17"/>
  <c r="EO10" i="17"/>
  <c r="EO11" i="17"/>
  <c r="EO12" i="17"/>
  <c r="EO13" i="17"/>
  <c r="EO14" i="17"/>
  <c r="EO15" i="17"/>
  <c r="EO16" i="17"/>
  <c r="EO17" i="17"/>
  <c r="EO18" i="17"/>
  <c r="EO19" i="17"/>
  <c r="EO20" i="17"/>
  <c r="EO21" i="17"/>
  <c r="EO22" i="17"/>
  <c r="EO23" i="17"/>
  <c r="EO24" i="17"/>
  <c r="EO25" i="17"/>
  <c r="EO26" i="17"/>
  <c r="EO27" i="17"/>
  <c r="EO28" i="17"/>
  <c r="EO29" i="17"/>
  <c r="EO30" i="17"/>
  <c r="EO31" i="17"/>
  <c r="EO32" i="17"/>
  <c r="EO33" i="17"/>
  <c r="EO34" i="17"/>
  <c r="EO35" i="17"/>
  <c r="EO36" i="17"/>
  <c r="EO37" i="17"/>
  <c r="EO38" i="17"/>
  <c r="EO6" i="17"/>
  <c r="EN6" i="17"/>
  <c r="EP34" i="17"/>
  <c r="EP35" i="17"/>
  <c r="EP36" i="17"/>
  <c r="EP37" i="17"/>
  <c r="EP38" i="17"/>
  <c r="EM34" i="17"/>
  <c r="EM35" i="17"/>
  <c r="EM36" i="17"/>
  <c r="EM37" i="17"/>
  <c r="EM38" i="17" s="1"/>
  <c r="EM6" i="17"/>
  <c r="EI5" i="17"/>
  <c r="EH5" i="17"/>
  <c r="EG5" i="17"/>
  <c r="EE7" i="17"/>
  <c r="EE8" i="17"/>
  <c r="EE9" i="17"/>
  <c r="EE10" i="17"/>
  <c r="EE11" i="17"/>
  <c r="EE12" i="17"/>
  <c r="EE13" i="17"/>
  <c r="EE14" i="17"/>
  <c r="EE15" i="17"/>
  <c r="EE16" i="17"/>
  <c r="EE17" i="17"/>
  <c r="EE18" i="17"/>
  <c r="EE19" i="17"/>
  <c r="EE20" i="17"/>
  <c r="EE21" i="17"/>
  <c r="EE22" i="17"/>
  <c r="EE23" i="17"/>
  <c r="EE24" i="17"/>
  <c r="EE25" i="17"/>
  <c r="EE26" i="17"/>
  <c r="EE27" i="17"/>
  <c r="EE28" i="17"/>
  <c r="EE29" i="17"/>
  <c r="EE30" i="17"/>
  <c r="EE31" i="17"/>
  <c r="EE32" i="17"/>
  <c r="EE33" i="17"/>
  <c r="EE6" i="17"/>
  <c r="ED7" i="17"/>
  <c r="ED8" i="17"/>
  <c r="ED9" i="17"/>
  <c r="ED10" i="17"/>
  <c r="ED11" i="17"/>
  <c r="ED12" i="17"/>
  <c r="ED13" i="17"/>
  <c r="ED14" i="17"/>
  <c r="ED15" i="17"/>
  <c r="ED16" i="17"/>
  <c r="ED17" i="17"/>
  <c r="ED18" i="17"/>
  <c r="ED19" i="17"/>
  <c r="ED20" i="17"/>
  <c r="ED21" i="17"/>
  <c r="ED22" i="17"/>
  <c r="ED23" i="17"/>
  <c r="ED24" i="17"/>
  <c r="ED25" i="17"/>
  <c r="ED26" i="17"/>
  <c r="ED27" i="17"/>
  <c r="ED28" i="17"/>
  <c r="ED29" i="17"/>
  <c r="ED30" i="17"/>
  <c r="ED31" i="17"/>
  <c r="ED32" i="17"/>
  <c r="ED33" i="17"/>
  <c r="ED6" i="17"/>
  <c r="EC6" i="17"/>
  <c r="DY5" i="17"/>
  <c r="DX5" i="17"/>
  <c r="DW5" i="17"/>
  <c r="DU7" i="17"/>
  <c r="DU8" i="17"/>
  <c r="DU9" i="17"/>
  <c r="DU10" i="17"/>
  <c r="DU11" i="17"/>
  <c r="DU12" i="17"/>
  <c r="DU13" i="17"/>
  <c r="DU14" i="17"/>
  <c r="DU15" i="17"/>
  <c r="DU16" i="17"/>
  <c r="DU17" i="17"/>
  <c r="DU18" i="17"/>
  <c r="DU19" i="17"/>
  <c r="DU20" i="17"/>
  <c r="DU21" i="17"/>
  <c r="DU22" i="17"/>
  <c r="DU23" i="17"/>
  <c r="DU24" i="17"/>
  <c r="DU25" i="17"/>
  <c r="DU26" i="17"/>
  <c r="DU27" i="17"/>
  <c r="DU28" i="17"/>
  <c r="DU29" i="17"/>
  <c r="DU30" i="17"/>
  <c r="DU31" i="17"/>
  <c r="DU32" i="17"/>
  <c r="DU33" i="17"/>
  <c r="DU34" i="17"/>
  <c r="DU35" i="17"/>
  <c r="DU36" i="17"/>
  <c r="DU37" i="17"/>
  <c r="DU38" i="17"/>
  <c r="DU39" i="17"/>
  <c r="DU40" i="17"/>
  <c r="DU41" i="17"/>
  <c r="DU42" i="17"/>
  <c r="DU43" i="17"/>
  <c r="DU6" i="17"/>
  <c r="DT7" i="17"/>
  <c r="DT8" i="17"/>
  <c r="DT9" i="17"/>
  <c r="DT10" i="17"/>
  <c r="DT11" i="17"/>
  <c r="DT12" i="17"/>
  <c r="DT13" i="17"/>
  <c r="DT14" i="17"/>
  <c r="DT15" i="17"/>
  <c r="DT16" i="17"/>
  <c r="DT17" i="17"/>
  <c r="DT18" i="17"/>
  <c r="DT19" i="17"/>
  <c r="DT20" i="17"/>
  <c r="DT21" i="17"/>
  <c r="DT22" i="17"/>
  <c r="DT23" i="17"/>
  <c r="DT24" i="17"/>
  <c r="DT25" i="17"/>
  <c r="DT26" i="17"/>
  <c r="DT27" i="17"/>
  <c r="DT28" i="17"/>
  <c r="DT29" i="17"/>
  <c r="DT30" i="17"/>
  <c r="DT31" i="17"/>
  <c r="DT32" i="17"/>
  <c r="DT33" i="17"/>
  <c r="DT34" i="17"/>
  <c r="DT35" i="17"/>
  <c r="DT36" i="17"/>
  <c r="DT37" i="17"/>
  <c r="DT38" i="17"/>
  <c r="DT39" i="17"/>
  <c r="DT40" i="17"/>
  <c r="DT41" i="17"/>
  <c r="DT42" i="17"/>
  <c r="DT43" i="17"/>
  <c r="DT6" i="17"/>
  <c r="DV36" i="17"/>
  <c r="DV37" i="17"/>
  <c r="DV38" i="17"/>
  <c r="DV39" i="17"/>
  <c r="DV40" i="17"/>
  <c r="DV41" i="17"/>
  <c r="DV42" i="17"/>
  <c r="DV43" i="17"/>
  <c r="DS36" i="17"/>
  <c r="DS37" i="17"/>
  <c r="DS38" i="17"/>
  <c r="DS39" i="17"/>
  <c r="DS40" i="17"/>
  <c r="DS41" i="17"/>
  <c r="DS42" i="17"/>
  <c r="DS43" i="17" s="1"/>
  <c r="DS6" i="17"/>
  <c r="DO5" i="17"/>
  <c r="DN5" i="17"/>
  <c r="DM5" i="17"/>
  <c r="DK7" i="17"/>
  <c r="DK8" i="17"/>
  <c r="DK9" i="17"/>
  <c r="DK10" i="17"/>
  <c r="DK11" i="17"/>
  <c r="DK12" i="17"/>
  <c r="DK13" i="17"/>
  <c r="DK14" i="17"/>
  <c r="DK15" i="17"/>
  <c r="DK16" i="17"/>
  <c r="DK17" i="17"/>
  <c r="DK18" i="17"/>
  <c r="DK19" i="17"/>
  <c r="DK20" i="17"/>
  <c r="DK21" i="17"/>
  <c r="DK22" i="17"/>
  <c r="DK23" i="17"/>
  <c r="DK24" i="17"/>
  <c r="DK25" i="17"/>
  <c r="DK26" i="17"/>
  <c r="DK27" i="17"/>
  <c r="DK28" i="17"/>
  <c r="DK29" i="17"/>
  <c r="DK30" i="17"/>
  <c r="DK31" i="17"/>
  <c r="DK32" i="17"/>
  <c r="DK33" i="17"/>
  <c r="DK34" i="17"/>
  <c r="DK35" i="17"/>
  <c r="DJ7" i="17"/>
  <c r="DJ8" i="17"/>
  <c r="DJ9" i="17"/>
  <c r="DJ10" i="17"/>
  <c r="DJ11" i="17"/>
  <c r="DJ12" i="17"/>
  <c r="DJ13" i="17"/>
  <c r="DJ14" i="17"/>
  <c r="DJ15" i="17"/>
  <c r="DJ16" i="17"/>
  <c r="DJ17" i="17"/>
  <c r="DJ18" i="17"/>
  <c r="DJ19" i="17"/>
  <c r="DJ20" i="17"/>
  <c r="DJ21" i="17"/>
  <c r="DJ22" i="17"/>
  <c r="DJ23" i="17"/>
  <c r="DJ24" i="17"/>
  <c r="DJ25" i="17"/>
  <c r="DJ26" i="17"/>
  <c r="DJ27" i="17"/>
  <c r="DJ28" i="17"/>
  <c r="DJ29" i="17"/>
  <c r="DJ30" i="17"/>
  <c r="DJ31" i="17"/>
  <c r="DJ32" i="17"/>
  <c r="DJ33" i="17"/>
  <c r="DJ34" i="17"/>
  <c r="DJ35" i="17"/>
  <c r="DK6" i="17"/>
  <c r="DJ6" i="17"/>
  <c r="DI6" i="17"/>
  <c r="DE5" i="17"/>
  <c r="DD5" i="17"/>
  <c r="DC5" i="17"/>
  <c r="DA7" i="17"/>
  <c r="DA8" i="17"/>
  <c r="DA9" i="17"/>
  <c r="DA10" i="17"/>
  <c r="DA11" i="17"/>
  <c r="DA12" i="17"/>
  <c r="DA13" i="17"/>
  <c r="DA14" i="17"/>
  <c r="DA15" i="17"/>
  <c r="DA16" i="17"/>
  <c r="DA17" i="17"/>
  <c r="DA18" i="17"/>
  <c r="DA19" i="17"/>
  <c r="DA20" i="17"/>
  <c r="DA21" i="17"/>
  <c r="DA22" i="17"/>
  <c r="DA23" i="17"/>
  <c r="DA24" i="17"/>
  <c r="DA25" i="17"/>
  <c r="DA26" i="17"/>
  <c r="DA27" i="17"/>
  <c r="DA28" i="17"/>
  <c r="DA29" i="17"/>
  <c r="DA30" i="17"/>
  <c r="DA31" i="17"/>
  <c r="DA32" i="17"/>
  <c r="DA33" i="17"/>
  <c r="DA34" i="17"/>
  <c r="DA35" i="17"/>
  <c r="DA36" i="17"/>
  <c r="DA37" i="17"/>
  <c r="DA38" i="17"/>
  <c r="CZ7" i="17"/>
  <c r="CZ8" i="17"/>
  <c r="CZ9" i="17"/>
  <c r="CZ10" i="17"/>
  <c r="CZ11" i="17"/>
  <c r="CZ12" i="17"/>
  <c r="CZ13" i="17"/>
  <c r="CZ14" i="17"/>
  <c r="CZ15" i="17"/>
  <c r="CZ16" i="17"/>
  <c r="CZ17" i="17"/>
  <c r="CZ18" i="17"/>
  <c r="CZ19" i="17"/>
  <c r="CZ20" i="17"/>
  <c r="CZ21" i="17"/>
  <c r="CZ22" i="17"/>
  <c r="CZ23" i="17"/>
  <c r="CZ24" i="17"/>
  <c r="CZ25" i="17"/>
  <c r="CZ26" i="17"/>
  <c r="CZ27" i="17"/>
  <c r="CZ28" i="17"/>
  <c r="CZ29" i="17"/>
  <c r="CZ30" i="17"/>
  <c r="CZ31" i="17"/>
  <c r="CZ32" i="17"/>
  <c r="CZ33" i="17"/>
  <c r="CZ34" i="17"/>
  <c r="CZ35" i="17"/>
  <c r="CZ36" i="17"/>
  <c r="CZ37" i="17"/>
  <c r="CZ38" i="17"/>
  <c r="DA6" i="17"/>
  <c r="CZ6" i="17"/>
  <c r="CY6" i="17"/>
  <c r="CU5" i="17"/>
  <c r="CT5" i="17"/>
  <c r="CS5" i="17"/>
  <c r="CQ7" i="17"/>
  <c r="CQ8" i="17"/>
  <c r="CQ9" i="17"/>
  <c r="CQ10" i="17"/>
  <c r="CQ11" i="17"/>
  <c r="CQ12" i="17"/>
  <c r="CQ13" i="17"/>
  <c r="CQ14" i="17"/>
  <c r="CQ15" i="17"/>
  <c r="CQ16" i="17"/>
  <c r="CQ17" i="17"/>
  <c r="CQ18" i="17"/>
  <c r="CQ19" i="17"/>
  <c r="CQ20" i="17"/>
  <c r="CQ21" i="17"/>
  <c r="CQ22" i="17"/>
  <c r="CQ23" i="17"/>
  <c r="CQ24" i="17"/>
  <c r="CQ25" i="17"/>
  <c r="CQ26" i="17"/>
  <c r="CQ27" i="17"/>
  <c r="CQ28" i="17"/>
  <c r="CQ29" i="17"/>
  <c r="CQ30" i="17"/>
  <c r="CQ31" i="17"/>
  <c r="CQ32" i="17"/>
  <c r="CQ33" i="17"/>
  <c r="CQ34" i="17"/>
  <c r="CQ35" i="17"/>
  <c r="CQ36" i="17"/>
  <c r="CQ37" i="17"/>
  <c r="CQ38" i="17"/>
  <c r="CQ39" i="17"/>
  <c r="CQ6" i="17"/>
  <c r="CP7" i="17"/>
  <c r="CP8" i="17"/>
  <c r="CP9" i="17"/>
  <c r="CP10" i="17"/>
  <c r="CP11" i="17"/>
  <c r="CP12" i="17"/>
  <c r="CP13" i="17"/>
  <c r="CP14" i="17"/>
  <c r="CP15" i="17"/>
  <c r="CP16" i="17"/>
  <c r="CP17" i="17"/>
  <c r="CP18" i="17"/>
  <c r="CP19" i="17"/>
  <c r="CP20" i="17"/>
  <c r="CP21" i="17"/>
  <c r="CP22" i="17"/>
  <c r="CP23" i="17"/>
  <c r="CP24" i="17"/>
  <c r="CP25" i="17"/>
  <c r="CP26" i="17"/>
  <c r="CP27" i="17"/>
  <c r="CP28" i="17"/>
  <c r="CP29" i="17"/>
  <c r="CP30" i="17"/>
  <c r="CP31" i="17"/>
  <c r="CP32" i="17"/>
  <c r="CP33" i="17"/>
  <c r="CP34" i="17"/>
  <c r="CP35" i="17"/>
  <c r="CP36" i="17"/>
  <c r="CP37" i="17"/>
  <c r="CP38" i="17"/>
  <c r="CP39" i="17"/>
  <c r="CP6" i="17"/>
  <c r="CR34" i="17"/>
  <c r="CR35" i="17"/>
  <c r="CR36" i="17"/>
  <c r="CR37" i="17"/>
  <c r="CR38" i="17"/>
  <c r="CR39" i="17"/>
  <c r="CO34" i="17"/>
  <c r="CO35" i="17"/>
  <c r="CO36" i="17"/>
  <c r="CO37" i="17"/>
  <c r="CO38" i="17" s="1"/>
  <c r="CO39" i="17" s="1"/>
  <c r="CO6" i="17"/>
  <c r="CK5" i="17"/>
  <c r="CJ5" i="17"/>
  <c r="CI5" i="17"/>
  <c r="CG7" i="17"/>
  <c r="CG8" i="17"/>
  <c r="CG9" i="17"/>
  <c r="CG10" i="17"/>
  <c r="CG11" i="17"/>
  <c r="CG12" i="17"/>
  <c r="CG13" i="17"/>
  <c r="CG14" i="17"/>
  <c r="CG15" i="17"/>
  <c r="CG16" i="17"/>
  <c r="CG17" i="17"/>
  <c r="CG18" i="17"/>
  <c r="CG19" i="17"/>
  <c r="CG20" i="17"/>
  <c r="CG21" i="17"/>
  <c r="CG22" i="17"/>
  <c r="CG23" i="17"/>
  <c r="CG24" i="17"/>
  <c r="CG25" i="17"/>
  <c r="CG26" i="17"/>
  <c r="CG27" i="17"/>
  <c r="CG28" i="17"/>
  <c r="CG29" i="17"/>
  <c r="CG30" i="17"/>
  <c r="CG31" i="17"/>
  <c r="CG32" i="17"/>
  <c r="CG33" i="17"/>
  <c r="CF7" i="17"/>
  <c r="CF8" i="17"/>
  <c r="CF9" i="17"/>
  <c r="CF10" i="17"/>
  <c r="CF11" i="17"/>
  <c r="CF12" i="17"/>
  <c r="CF13" i="17"/>
  <c r="CF14" i="17"/>
  <c r="CF15" i="17"/>
  <c r="CF16" i="17"/>
  <c r="CF17" i="17"/>
  <c r="CF18" i="17"/>
  <c r="CF19" i="17"/>
  <c r="CF20" i="17"/>
  <c r="CF21" i="17"/>
  <c r="CF22" i="17"/>
  <c r="CF23" i="17"/>
  <c r="CF24" i="17"/>
  <c r="CF25" i="17"/>
  <c r="CF26" i="17"/>
  <c r="CF27" i="17"/>
  <c r="CF28" i="17"/>
  <c r="CF29" i="17"/>
  <c r="CF30" i="17"/>
  <c r="CF31" i="17"/>
  <c r="CF32" i="17"/>
  <c r="CF33" i="17"/>
  <c r="CG6" i="17"/>
  <c r="CF6" i="17"/>
  <c r="CE6" i="17"/>
  <c r="CA5" i="17"/>
  <c r="BZ5" i="17"/>
  <c r="BY5" i="17"/>
  <c r="BW7" i="17"/>
  <c r="BW8" i="17"/>
  <c r="BW9" i="17"/>
  <c r="BW10" i="17"/>
  <c r="BW11" i="17"/>
  <c r="BW12" i="17"/>
  <c r="BW13" i="17"/>
  <c r="BW14" i="17"/>
  <c r="BW15" i="17"/>
  <c r="BW16" i="17"/>
  <c r="BW17" i="17"/>
  <c r="BW18" i="17"/>
  <c r="BW19" i="17"/>
  <c r="BW20" i="17"/>
  <c r="BW21" i="17"/>
  <c r="BW22" i="17"/>
  <c r="BW23" i="17"/>
  <c r="BW24" i="17"/>
  <c r="BW25" i="17"/>
  <c r="BW26" i="17"/>
  <c r="BW27" i="17"/>
  <c r="BW28" i="17"/>
  <c r="BW29" i="17"/>
  <c r="BW30" i="17"/>
  <c r="BW31" i="17"/>
  <c r="BW32" i="17"/>
  <c r="BW33" i="17"/>
  <c r="BW34" i="17"/>
  <c r="BW35" i="17"/>
  <c r="BW36" i="17"/>
  <c r="BW37" i="17"/>
  <c r="BW38" i="17"/>
  <c r="BW39" i="17"/>
  <c r="BW40" i="17"/>
  <c r="BW41" i="17"/>
  <c r="BW42" i="17"/>
  <c r="BW43" i="17"/>
  <c r="BV7" i="17"/>
  <c r="BV8" i="17"/>
  <c r="BV9" i="17"/>
  <c r="BV10" i="17"/>
  <c r="BV11" i="17"/>
  <c r="BV12" i="17"/>
  <c r="BV13" i="17"/>
  <c r="BV14" i="17"/>
  <c r="BV15" i="17"/>
  <c r="BV16" i="17"/>
  <c r="BV17" i="17"/>
  <c r="BV18" i="17"/>
  <c r="BV19" i="17"/>
  <c r="BV20" i="17"/>
  <c r="BV21" i="17"/>
  <c r="BV22" i="17"/>
  <c r="BV23" i="17"/>
  <c r="BV24" i="17"/>
  <c r="BV25" i="17"/>
  <c r="BV26" i="17"/>
  <c r="BV27" i="17"/>
  <c r="BV28" i="17"/>
  <c r="BV29" i="17"/>
  <c r="BV30" i="17"/>
  <c r="BV31" i="17"/>
  <c r="BV32" i="17"/>
  <c r="BV33" i="17"/>
  <c r="BV34" i="17"/>
  <c r="BV35" i="17"/>
  <c r="BV36" i="17"/>
  <c r="BV37" i="17"/>
  <c r="BV38" i="17"/>
  <c r="BV39" i="17"/>
  <c r="BV40" i="17"/>
  <c r="BV41" i="17"/>
  <c r="BV42" i="17"/>
  <c r="BV43" i="17"/>
  <c r="BW6" i="17"/>
  <c r="BV6" i="17"/>
  <c r="BX43" i="17"/>
  <c r="BU43" i="17"/>
  <c r="BU6" i="17"/>
  <c r="BQ5" i="17"/>
  <c r="BP5" i="17"/>
  <c r="BO5" i="17"/>
  <c r="BM7" i="17"/>
  <c r="BM8" i="17"/>
  <c r="BM9" i="17"/>
  <c r="BM10" i="17"/>
  <c r="BM11" i="17"/>
  <c r="BM12" i="17"/>
  <c r="BM13" i="17"/>
  <c r="BM14" i="17"/>
  <c r="BM15" i="17"/>
  <c r="BM16" i="17"/>
  <c r="BM17" i="17"/>
  <c r="BM18" i="17"/>
  <c r="BM19" i="17"/>
  <c r="BM20" i="17"/>
  <c r="BM21" i="17"/>
  <c r="BM22" i="17"/>
  <c r="BM23" i="17"/>
  <c r="BM24" i="17"/>
  <c r="BM25" i="17"/>
  <c r="BM26" i="17"/>
  <c r="BM27" i="17"/>
  <c r="BM28" i="17"/>
  <c r="BM29" i="17"/>
  <c r="BM30" i="17"/>
  <c r="BM31" i="17"/>
  <c r="BM32" i="17"/>
  <c r="BM33" i="17"/>
  <c r="BM34" i="17"/>
  <c r="BM35" i="17"/>
  <c r="BM36" i="17"/>
  <c r="BM37" i="17"/>
  <c r="BM38" i="17"/>
  <c r="BM39" i="17"/>
  <c r="BM40" i="17"/>
  <c r="BM41" i="17"/>
  <c r="BM42" i="17"/>
  <c r="BL7" i="17"/>
  <c r="BL8" i="17"/>
  <c r="BL9" i="17"/>
  <c r="BL10" i="17"/>
  <c r="BL11" i="17"/>
  <c r="BL12" i="17"/>
  <c r="BL13" i="17"/>
  <c r="BL14" i="17"/>
  <c r="BL15" i="17"/>
  <c r="BL16" i="17"/>
  <c r="BL17" i="17"/>
  <c r="BL18" i="17"/>
  <c r="BL19" i="17"/>
  <c r="BL20" i="17"/>
  <c r="BL21" i="17"/>
  <c r="BL22" i="17"/>
  <c r="BL23" i="17"/>
  <c r="BL24" i="17"/>
  <c r="BL25" i="17"/>
  <c r="BL26" i="17"/>
  <c r="BL27" i="17"/>
  <c r="BL28" i="17"/>
  <c r="BL29" i="17"/>
  <c r="BL30" i="17"/>
  <c r="BL31" i="17"/>
  <c r="BL32" i="17"/>
  <c r="BL33" i="17"/>
  <c r="BL34" i="17"/>
  <c r="BL35" i="17"/>
  <c r="BL36" i="17"/>
  <c r="BL37" i="17"/>
  <c r="BL38" i="17"/>
  <c r="BL39" i="17"/>
  <c r="BL40" i="17"/>
  <c r="BL41" i="17"/>
  <c r="BL42" i="17"/>
  <c r="BM6" i="17"/>
  <c r="BL6" i="17"/>
  <c r="BN36" i="17"/>
  <c r="BN37" i="17"/>
  <c r="BN38" i="17"/>
  <c r="BN41" i="17"/>
  <c r="BN42" i="17"/>
  <c r="BK36" i="17"/>
  <c r="BK37" i="17"/>
  <c r="BK38" i="17"/>
  <c r="BK39" i="17"/>
  <c r="BK40" i="17"/>
  <c r="BK41" i="17"/>
  <c r="BK42" i="17"/>
  <c r="BK6" i="17"/>
  <c r="BG5" i="17"/>
  <c r="BF5" i="17"/>
  <c r="BE5" i="17"/>
  <c r="BC7" i="17"/>
  <c r="BC8" i="17"/>
  <c r="BC9" i="17"/>
  <c r="BC10" i="17"/>
  <c r="BC11" i="17"/>
  <c r="BC12" i="17"/>
  <c r="BC13" i="17"/>
  <c r="BC14" i="17"/>
  <c r="BC15" i="17"/>
  <c r="BC16" i="17"/>
  <c r="BC17" i="17"/>
  <c r="BC18" i="17"/>
  <c r="BC19" i="17"/>
  <c r="BC20" i="17"/>
  <c r="BC21" i="17"/>
  <c r="BC22" i="17"/>
  <c r="BC23" i="17"/>
  <c r="BC24" i="17"/>
  <c r="BC25" i="17"/>
  <c r="BC26" i="17"/>
  <c r="BC27" i="17"/>
  <c r="BC28" i="17"/>
  <c r="BC29" i="17"/>
  <c r="BC30" i="17"/>
  <c r="BC31" i="17"/>
  <c r="BC32" i="17"/>
  <c r="BC33" i="17"/>
  <c r="BC34" i="17"/>
  <c r="BC35" i="17"/>
  <c r="BB7" i="17"/>
  <c r="BB8" i="17"/>
  <c r="BB9" i="17"/>
  <c r="BB10" i="17"/>
  <c r="BB11" i="17"/>
  <c r="BB12" i="17"/>
  <c r="BB13" i="17"/>
  <c r="BB14" i="17"/>
  <c r="BB15" i="17"/>
  <c r="BB16" i="17"/>
  <c r="BB17" i="17"/>
  <c r="BB18" i="17"/>
  <c r="BB19" i="17"/>
  <c r="BB20" i="17"/>
  <c r="BB21" i="17"/>
  <c r="BB22" i="17"/>
  <c r="BB23" i="17"/>
  <c r="BB24" i="17"/>
  <c r="BB25" i="17"/>
  <c r="BB26" i="17"/>
  <c r="BB27" i="17"/>
  <c r="BB28" i="17"/>
  <c r="BB29" i="17"/>
  <c r="BB30" i="17"/>
  <c r="BB31" i="17"/>
  <c r="BB32" i="17"/>
  <c r="BB33" i="17"/>
  <c r="BB34" i="17"/>
  <c r="BB35" i="17"/>
  <c r="BC6" i="17"/>
  <c r="BB6" i="17"/>
  <c r="BA6" i="17"/>
  <c r="AW5" i="17"/>
  <c r="AV5" i="17"/>
  <c r="AU5" i="17"/>
  <c r="AS7" i="17"/>
  <c r="AS8" i="17"/>
  <c r="AS9" i="17"/>
  <c r="AS10" i="17"/>
  <c r="AS11" i="17"/>
  <c r="AS12" i="17"/>
  <c r="AS13" i="17"/>
  <c r="AS14" i="17"/>
  <c r="AS15" i="17"/>
  <c r="AS16" i="17"/>
  <c r="AS17" i="17"/>
  <c r="AS18" i="17"/>
  <c r="AS19" i="17"/>
  <c r="AS20" i="17"/>
  <c r="AS21" i="17"/>
  <c r="AS22" i="17"/>
  <c r="AS23" i="17"/>
  <c r="AS24" i="17"/>
  <c r="AS25" i="17"/>
  <c r="AS26" i="17"/>
  <c r="AS27" i="17"/>
  <c r="AS28" i="17"/>
  <c r="AS29" i="17"/>
  <c r="AS30" i="17"/>
  <c r="AS31" i="17"/>
  <c r="AS32" i="17"/>
  <c r="AS33" i="17"/>
  <c r="AS34" i="17"/>
  <c r="AS35" i="17"/>
  <c r="AS36" i="17"/>
  <c r="AS37" i="17"/>
  <c r="AS38" i="17"/>
  <c r="AS6" i="17"/>
  <c r="AR7" i="17"/>
  <c r="AR8" i="17"/>
  <c r="AR9" i="17"/>
  <c r="AR10" i="17"/>
  <c r="AR11" i="17"/>
  <c r="AR12" i="17"/>
  <c r="AR13" i="17"/>
  <c r="AR14" i="17"/>
  <c r="AR15" i="17"/>
  <c r="AR16" i="17"/>
  <c r="AR17" i="17"/>
  <c r="AR18" i="17"/>
  <c r="AR19" i="17"/>
  <c r="AR20" i="17"/>
  <c r="AR21" i="17"/>
  <c r="AR22" i="17"/>
  <c r="AR23" i="17"/>
  <c r="AR24" i="17"/>
  <c r="AR25" i="17"/>
  <c r="AR26" i="17"/>
  <c r="AR27" i="17"/>
  <c r="AR28" i="17"/>
  <c r="AR29" i="17"/>
  <c r="AR30" i="17"/>
  <c r="AR31" i="17"/>
  <c r="AR32" i="17"/>
  <c r="AR33" i="17"/>
  <c r="AR34" i="17"/>
  <c r="AR35" i="17"/>
  <c r="AR36" i="17"/>
  <c r="AR37" i="17"/>
  <c r="AR38" i="17"/>
  <c r="AR6" i="17"/>
  <c r="AT34" i="17"/>
  <c r="AT35" i="17"/>
  <c r="AT36" i="17"/>
  <c r="AT37" i="17"/>
  <c r="AT38" i="17"/>
  <c r="AQ34" i="17"/>
  <c r="AQ35" i="17"/>
  <c r="AQ36" i="17"/>
  <c r="AQ37" i="17"/>
  <c r="AQ38" i="17"/>
  <c r="AQ6" i="17"/>
  <c r="AM5" i="17"/>
  <c r="AL5" i="17"/>
  <c r="AK5" i="17"/>
  <c r="AI7" i="17"/>
  <c r="AI8" i="17"/>
  <c r="AI9" i="17"/>
  <c r="AI10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6" i="17"/>
  <c r="AH7" i="17"/>
  <c r="AH8" i="17"/>
  <c r="AH9" i="17"/>
  <c r="AH10" i="17"/>
  <c r="AH11" i="17"/>
  <c r="AH12" i="17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H27" i="17"/>
  <c r="AH28" i="17"/>
  <c r="AH29" i="17"/>
  <c r="AH30" i="17"/>
  <c r="AH31" i="17"/>
  <c r="AH32" i="17"/>
  <c r="AH33" i="17"/>
  <c r="AH6" i="17"/>
  <c r="AJ32" i="17"/>
  <c r="AJ33" i="17"/>
  <c r="AG32" i="17"/>
  <c r="AG33" i="17"/>
  <c r="AG6" i="17"/>
  <c r="AC5" i="17"/>
  <c r="AB5" i="17"/>
  <c r="AA5" i="17"/>
  <c r="Y7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6" i="17"/>
  <c r="X7" i="17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6" i="17"/>
  <c r="W6" i="17"/>
  <c r="S5" i="17"/>
  <c r="R5" i="17"/>
  <c r="Q5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6" i="17"/>
  <c r="P37" i="17"/>
  <c r="P38" i="17"/>
  <c r="P41" i="17"/>
  <c r="P42" i="17"/>
  <c r="P43" i="17"/>
  <c r="M37" i="17"/>
  <c r="M38" i="17"/>
  <c r="M39" i="17"/>
  <c r="M40" i="17"/>
  <c r="M41" i="17"/>
  <c r="M42" i="17"/>
  <c r="M43" i="17"/>
  <c r="M6" i="17"/>
  <c r="I5" i="17"/>
  <c r="H5" i="17"/>
  <c r="G5" i="17"/>
  <c r="F35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6" i="17"/>
  <c r="F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E6" i="17"/>
  <c r="D6" i="17"/>
  <c r="C8" i="17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7" i="17"/>
  <c r="C6" i="17"/>
  <c r="GQ5" i="16"/>
  <c r="GP5" i="16"/>
  <c r="GO5" i="16"/>
  <c r="GM38" i="16"/>
  <c r="GM37" i="16"/>
  <c r="GM36" i="16"/>
  <c r="GM35" i="16"/>
  <c r="GM34" i="16"/>
  <c r="GM33" i="16"/>
  <c r="GM32" i="16"/>
  <c r="GM31" i="16"/>
  <c r="GM30" i="16"/>
  <c r="GM29" i="16"/>
  <c r="GM28" i="16"/>
  <c r="GM27" i="16"/>
  <c r="GM26" i="16"/>
  <c r="GM25" i="16"/>
  <c r="GM24" i="16"/>
  <c r="GM23" i="16"/>
  <c r="GM22" i="16"/>
  <c r="GM21" i="16"/>
  <c r="GM20" i="16"/>
  <c r="GM19" i="16"/>
  <c r="GM18" i="16"/>
  <c r="GM17" i="16"/>
  <c r="GM16" i="16"/>
  <c r="GM15" i="16"/>
  <c r="GM14" i="16"/>
  <c r="GM13" i="16"/>
  <c r="GM12" i="16"/>
  <c r="GM11" i="16"/>
  <c r="GM10" i="16"/>
  <c r="GM9" i="16"/>
  <c r="GM8" i="16"/>
  <c r="GM7" i="16"/>
  <c r="GM6" i="16"/>
  <c r="GK6" i="16"/>
  <c r="GG5" i="16"/>
  <c r="GF5" i="16"/>
  <c r="GE5" i="16"/>
  <c r="GC7" i="16"/>
  <c r="GC8" i="16"/>
  <c r="GC9" i="16"/>
  <c r="GC10" i="16"/>
  <c r="GC11" i="16"/>
  <c r="GC12" i="16"/>
  <c r="GC13" i="16"/>
  <c r="GC14" i="16"/>
  <c r="GC15" i="16"/>
  <c r="GC16" i="16"/>
  <c r="GC17" i="16"/>
  <c r="GC18" i="16"/>
  <c r="GC19" i="16"/>
  <c r="GC20" i="16"/>
  <c r="GC21" i="16"/>
  <c r="GC22" i="16"/>
  <c r="GC23" i="16"/>
  <c r="GC24" i="16"/>
  <c r="GC25" i="16"/>
  <c r="GC26" i="16"/>
  <c r="GC27" i="16"/>
  <c r="GC28" i="16"/>
  <c r="GC29" i="16"/>
  <c r="GC30" i="16"/>
  <c r="GC31" i="16"/>
  <c r="GC32" i="16"/>
  <c r="GC33" i="16"/>
  <c r="GB7" i="16"/>
  <c r="GB8" i="16"/>
  <c r="GB9" i="16"/>
  <c r="GB10" i="16"/>
  <c r="GB11" i="16"/>
  <c r="GB12" i="16"/>
  <c r="GB13" i="16"/>
  <c r="GB14" i="16"/>
  <c r="GB15" i="16"/>
  <c r="GB16" i="16"/>
  <c r="GB17" i="16"/>
  <c r="GB18" i="16"/>
  <c r="GB19" i="16"/>
  <c r="GB20" i="16"/>
  <c r="GB21" i="16"/>
  <c r="GB22" i="16"/>
  <c r="GB23" i="16"/>
  <c r="GB24" i="16"/>
  <c r="GB25" i="16"/>
  <c r="GB26" i="16"/>
  <c r="GB27" i="16"/>
  <c r="GB28" i="16"/>
  <c r="GB29" i="16"/>
  <c r="GB30" i="16"/>
  <c r="GB31" i="16"/>
  <c r="GB32" i="16"/>
  <c r="GB33" i="16"/>
  <c r="GC6" i="16"/>
  <c r="GB6" i="16"/>
  <c r="GA6" i="16"/>
  <c r="FW5" i="16"/>
  <c r="FV5" i="16"/>
  <c r="FU5" i="16"/>
  <c r="FT38" i="16"/>
  <c r="FS38" i="16"/>
  <c r="FR38" i="16"/>
  <c r="FS7" i="16"/>
  <c r="FS8" i="16"/>
  <c r="FS9" i="16"/>
  <c r="FS10" i="16"/>
  <c r="FS11" i="16"/>
  <c r="FS12" i="16"/>
  <c r="FS13" i="16"/>
  <c r="FS14" i="16"/>
  <c r="FS15" i="16"/>
  <c r="FS16" i="16"/>
  <c r="FS17" i="16"/>
  <c r="FS18" i="16"/>
  <c r="FS19" i="16"/>
  <c r="FS20" i="16"/>
  <c r="FS21" i="16"/>
  <c r="FS22" i="16"/>
  <c r="FS23" i="16"/>
  <c r="FS24" i="16"/>
  <c r="FS25" i="16"/>
  <c r="FS26" i="16"/>
  <c r="FS27" i="16"/>
  <c r="FS28" i="16"/>
  <c r="FS29" i="16"/>
  <c r="FS30" i="16"/>
  <c r="FS31" i="16"/>
  <c r="FS32" i="16"/>
  <c r="FS33" i="16"/>
  <c r="FS34" i="16"/>
  <c r="FS35" i="16"/>
  <c r="FS36" i="16"/>
  <c r="FS37" i="16"/>
  <c r="FR7" i="16"/>
  <c r="FR8" i="16"/>
  <c r="FR9" i="16"/>
  <c r="FR10" i="16"/>
  <c r="FR11" i="16"/>
  <c r="FR12" i="16"/>
  <c r="FR13" i="16"/>
  <c r="FR14" i="16"/>
  <c r="FR15" i="16"/>
  <c r="FR16" i="16"/>
  <c r="FR17" i="16"/>
  <c r="FR18" i="16"/>
  <c r="FR19" i="16"/>
  <c r="FR20" i="16"/>
  <c r="FR21" i="16"/>
  <c r="FR22" i="16"/>
  <c r="FR23" i="16"/>
  <c r="FR24" i="16"/>
  <c r="FR25" i="16"/>
  <c r="FR26" i="16"/>
  <c r="FR27" i="16"/>
  <c r="FR28" i="16"/>
  <c r="FR29" i="16"/>
  <c r="FR30" i="16"/>
  <c r="FR31" i="16"/>
  <c r="FR32" i="16"/>
  <c r="FR33" i="16"/>
  <c r="FR34" i="16"/>
  <c r="FR35" i="16"/>
  <c r="FR36" i="16"/>
  <c r="FR37" i="16"/>
  <c r="FS6" i="16"/>
  <c r="FR6" i="16"/>
  <c r="FQ38" i="16"/>
  <c r="FQ6" i="16"/>
  <c r="FM5" i="16"/>
  <c r="FL5" i="16"/>
  <c r="FK5" i="16"/>
  <c r="FJ34" i="16"/>
  <c r="FJ35" i="16"/>
  <c r="FJ36" i="16"/>
  <c r="FJ37" i="16"/>
  <c r="FH34" i="16"/>
  <c r="FH35" i="16"/>
  <c r="FH36" i="16"/>
  <c r="FH37" i="16"/>
  <c r="FI34" i="16"/>
  <c r="FI35" i="16"/>
  <c r="FI36" i="16"/>
  <c r="FI37" i="16"/>
  <c r="FI7" i="16"/>
  <c r="FI8" i="16"/>
  <c r="FI9" i="16"/>
  <c r="FI10" i="16"/>
  <c r="FI11" i="16"/>
  <c r="FI12" i="16"/>
  <c r="FI13" i="16"/>
  <c r="FI14" i="16"/>
  <c r="FI15" i="16"/>
  <c r="FI16" i="16"/>
  <c r="FI17" i="16"/>
  <c r="FI18" i="16"/>
  <c r="FI19" i="16"/>
  <c r="FI20" i="16"/>
  <c r="FI21" i="16"/>
  <c r="FI22" i="16"/>
  <c r="FI23" i="16"/>
  <c r="FI24" i="16"/>
  <c r="FI25" i="16"/>
  <c r="FI26" i="16"/>
  <c r="FI27" i="16"/>
  <c r="FI28" i="16"/>
  <c r="FI29" i="16"/>
  <c r="FI30" i="16"/>
  <c r="FI31" i="16"/>
  <c r="FI32" i="16"/>
  <c r="FI33" i="16"/>
  <c r="FH7" i="16"/>
  <c r="FH8" i="16"/>
  <c r="FH9" i="16"/>
  <c r="FH10" i="16"/>
  <c r="FH11" i="16"/>
  <c r="FH12" i="16"/>
  <c r="FH13" i="16"/>
  <c r="FH14" i="16"/>
  <c r="FH15" i="16"/>
  <c r="FH16" i="16"/>
  <c r="FH17" i="16"/>
  <c r="FH18" i="16"/>
  <c r="FH19" i="16"/>
  <c r="FH20" i="16"/>
  <c r="FH21" i="16"/>
  <c r="FH22" i="16"/>
  <c r="FH23" i="16"/>
  <c r="FH24" i="16"/>
  <c r="FH25" i="16"/>
  <c r="FH26" i="16"/>
  <c r="FH27" i="16"/>
  <c r="FH28" i="16"/>
  <c r="FH29" i="16"/>
  <c r="FH30" i="16"/>
  <c r="FH31" i="16"/>
  <c r="FH32" i="16"/>
  <c r="FH33" i="16"/>
  <c r="FI6" i="16"/>
  <c r="FH6" i="16"/>
  <c r="FG34" i="16"/>
  <c r="FG35" i="16" s="1"/>
  <c r="FG36" i="16" s="1"/>
  <c r="FG37" i="16" s="1"/>
  <c r="FG6" i="16"/>
  <c r="FC5" i="16"/>
  <c r="FB5" i="16"/>
  <c r="FA5" i="16"/>
  <c r="EY7" i="16"/>
  <c r="EY8" i="16"/>
  <c r="EY9" i="16"/>
  <c r="EY10" i="16"/>
  <c r="EY11" i="16"/>
  <c r="EY12" i="16"/>
  <c r="EY13" i="16"/>
  <c r="EY14" i="16"/>
  <c r="EY15" i="16"/>
  <c r="EY16" i="16"/>
  <c r="EY17" i="16"/>
  <c r="EY18" i="16"/>
  <c r="EY19" i="16"/>
  <c r="EY20" i="16"/>
  <c r="EY21" i="16"/>
  <c r="EY22" i="16"/>
  <c r="EY23" i="16"/>
  <c r="EY24" i="16"/>
  <c r="EY25" i="16"/>
  <c r="EY26" i="16"/>
  <c r="EY27" i="16"/>
  <c r="EY28" i="16"/>
  <c r="EY29" i="16"/>
  <c r="EY30" i="16"/>
  <c r="EY31" i="16"/>
  <c r="EY32" i="16"/>
  <c r="EY33" i="16"/>
  <c r="EY6" i="16"/>
  <c r="EX7" i="16"/>
  <c r="EX8" i="16"/>
  <c r="EX9" i="16"/>
  <c r="EX10" i="16"/>
  <c r="EX11" i="16"/>
  <c r="EX12" i="16"/>
  <c r="EX13" i="16"/>
  <c r="EX14" i="16"/>
  <c r="EX15" i="16"/>
  <c r="EX16" i="16"/>
  <c r="EX17" i="16"/>
  <c r="EX18" i="16"/>
  <c r="EX19" i="16"/>
  <c r="EX20" i="16"/>
  <c r="EX21" i="16"/>
  <c r="EX22" i="16"/>
  <c r="EX23" i="16"/>
  <c r="EX24" i="16"/>
  <c r="EX25" i="16"/>
  <c r="EX26" i="16"/>
  <c r="EX27" i="16"/>
  <c r="EX28" i="16"/>
  <c r="EX29" i="16"/>
  <c r="EX30" i="16"/>
  <c r="EX31" i="16"/>
  <c r="EX32" i="16"/>
  <c r="EX33" i="16"/>
  <c r="EX6" i="16"/>
  <c r="EW6" i="16"/>
  <c r="ES5" i="16"/>
  <c r="ER5" i="16"/>
  <c r="EQ5" i="16"/>
  <c r="EP41" i="16"/>
  <c r="EO41" i="16"/>
  <c r="EO7" i="16"/>
  <c r="EO8" i="16"/>
  <c r="EO9" i="16"/>
  <c r="EO10" i="16"/>
  <c r="EO11" i="16"/>
  <c r="EO12" i="16"/>
  <c r="EO13" i="16"/>
  <c r="EO14" i="16"/>
  <c r="EO15" i="16"/>
  <c r="EO16" i="16"/>
  <c r="EO17" i="16"/>
  <c r="EO18" i="16"/>
  <c r="EO19" i="16"/>
  <c r="EO20" i="16"/>
  <c r="EO21" i="16"/>
  <c r="EO22" i="16"/>
  <c r="EO23" i="16"/>
  <c r="EO24" i="16"/>
  <c r="EO25" i="16"/>
  <c r="EO26" i="16"/>
  <c r="EO27" i="16"/>
  <c r="EO28" i="16"/>
  <c r="EO29" i="16"/>
  <c r="EO30" i="16"/>
  <c r="EO31" i="16"/>
  <c r="EO32" i="16"/>
  <c r="EO33" i="16"/>
  <c r="EO34" i="16"/>
  <c r="EO35" i="16"/>
  <c r="EO36" i="16"/>
  <c r="EO37" i="16"/>
  <c r="EO38" i="16"/>
  <c r="EO39" i="16"/>
  <c r="EO40" i="16"/>
  <c r="EO6" i="16"/>
  <c r="EN7" i="16"/>
  <c r="EN8" i="16"/>
  <c r="EN9" i="16"/>
  <c r="EN10" i="16"/>
  <c r="EN11" i="16"/>
  <c r="EN12" i="16"/>
  <c r="EN13" i="16"/>
  <c r="EN14" i="16"/>
  <c r="EN15" i="16"/>
  <c r="EN16" i="16"/>
  <c r="EN17" i="16"/>
  <c r="EN18" i="16"/>
  <c r="EN19" i="16"/>
  <c r="EN20" i="16"/>
  <c r="EN21" i="16"/>
  <c r="EN22" i="16"/>
  <c r="EN23" i="16"/>
  <c r="EN24" i="16"/>
  <c r="EN25" i="16"/>
  <c r="EN26" i="16"/>
  <c r="EN27" i="16"/>
  <c r="EN28" i="16"/>
  <c r="EN29" i="16"/>
  <c r="EN30" i="16"/>
  <c r="EN31" i="16"/>
  <c r="EN32" i="16"/>
  <c r="EN33" i="16"/>
  <c r="EN34" i="16"/>
  <c r="EN35" i="16"/>
  <c r="EN36" i="16"/>
  <c r="EN37" i="16"/>
  <c r="EN38" i="16"/>
  <c r="EN39" i="16"/>
  <c r="EN40" i="16"/>
  <c r="EN41" i="16"/>
  <c r="EN6" i="16"/>
  <c r="EM41" i="16"/>
  <c r="EM6" i="16"/>
  <c r="EI5" i="16"/>
  <c r="EH5" i="16"/>
  <c r="EG5" i="16"/>
  <c r="EF35" i="16"/>
  <c r="EF36" i="16"/>
  <c r="EF37" i="16"/>
  <c r="EF38" i="16"/>
  <c r="EF39" i="16"/>
  <c r="EF40" i="16"/>
  <c r="EE35" i="16"/>
  <c r="EE36" i="16"/>
  <c r="EE37" i="16"/>
  <c r="EE38" i="16"/>
  <c r="EE39" i="16"/>
  <c r="EE40" i="16"/>
  <c r="EE7" i="16"/>
  <c r="EE8" i="16"/>
  <c r="EE9" i="16"/>
  <c r="EE10" i="16"/>
  <c r="EE11" i="16"/>
  <c r="EE12" i="16"/>
  <c r="EE13" i="16"/>
  <c r="EE14" i="16"/>
  <c r="EE15" i="16"/>
  <c r="EE16" i="16"/>
  <c r="EE17" i="16"/>
  <c r="EE18" i="16"/>
  <c r="EE19" i="16"/>
  <c r="EE20" i="16"/>
  <c r="EE21" i="16"/>
  <c r="EE22" i="16"/>
  <c r="EE23" i="16"/>
  <c r="EE24" i="16"/>
  <c r="EE25" i="16"/>
  <c r="EE26" i="16"/>
  <c r="EE27" i="16"/>
  <c r="EE28" i="16"/>
  <c r="EE29" i="16"/>
  <c r="EE30" i="16"/>
  <c r="EE31" i="16"/>
  <c r="EE32" i="16"/>
  <c r="EE33" i="16"/>
  <c r="EE34" i="16"/>
  <c r="EE6" i="16"/>
  <c r="ED35" i="16"/>
  <c r="ED36" i="16"/>
  <c r="ED37" i="16"/>
  <c r="ED38" i="16"/>
  <c r="ED39" i="16"/>
  <c r="ED40" i="16"/>
  <c r="ED7" i="16"/>
  <c r="ED8" i="16"/>
  <c r="ED9" i="16"/>
  <c r="ED10" i="16"/>
  <c r="ED11" i="16"/>
  <c r="ED12" i="16"/>
  <c r="ED13" i="16"/>
  <c r="ED14" i="16"/>
  <c r="ED15" i="16"/>
  <c r="ED16" i="16"/>
  <c r="ED17" i="16"/>
  <c r="ED18" i="16"/>
  <c r="ED19" i="16"/>
  <c r="ED20" i="16"/>
  <c r="ED21" i="16"/>
  <c r="ED22" i="16"/>
  <c r="ED23" i="16"/>
  <c r="ED24" i="16"/>
  <c r="ED25" i="16"/>
  <c r="ED26" i="16"/>
  <c r="ED27" i="16"/>
  <c r="ED28" i="16"/>
  <c r="ED29" i="16"/>
  <c r="ED30" i="16"/>
  <c r="ED31" i="16"/>
  <c r="ED32" i="16"/>
  <c r="ED33" i="16"/>
  <c r="ED34" i="16"/>
  <c r="ED6" i="16"/>
  <c r="EC35" i="16"/>
  <c r="EC36" i="16" s="1"/>
  <c r="EC37" i="16" s="1"/>
  <c r="EC38" i="16" s="1"/>
  <c r="EC39" i="16" s="1"/>
  <c r="EC40" i="16" s="1"/>
  <c r="EC6" i="16"/>
  <c r="DY5" i="16"/>
  <c r="DX5" i="16"/>
  <c r="DW5" i="16"/>
  <c r="DU34" i="16"/>
  <c r="DU33" i="16"/>
  <c r="DU32" i="16"/>
  <c r="DU31" i="16"/>
  <c r="DU30" i="16"/>
  <c r="DU29" i="16"/>
  <c r="DU28" i="16"/>
  <c r="DU27" i="16"/>
  <c r="DU26" i="16"/>
  <c r="DU25" i="16"/>
  <c r="DU24" i="16"/>
  <c r="DU23" i="16"/>
  <c r="DU22" i="16"/>
  <c r="DU21" i="16"/>
  <c r="DU20" i="16"/>
  <c r="DU19" i="16"/>
  <c r="DU18" i="16"/>
  <c r="DU17" i="16"/>
  <c r="DU16" i="16"/>
  <c r="DU15" i="16"/>
  <c r="DU14" i="16"/>
  <c r="DU13" i="16"/>
  <c r="DU12" i="16"/>
  <c r="DU11" i="16"/>
  <c r="DU10" i="16"/>
  <c r="DU9" i="16"/>
  <c r="DU8" i="16"/>
  <c r="DU7" i="16"/>
  <c r="DU6" i="16"/>
  <c r="DS6" i="16"/>
  <c r="DI9" i="16"/>
  <c r="DK7" i="16"/>
  <c r="DK8" i="16"/>
  <c r="DK9" i="16"/>
  <c r="DK10" i="16"/>
  <c r="DK11" i="16"/>
  <c r="DK12" i="16"/>
  <c r="DK13" i="16"/>
  <c r="DK14" i="16"/>
  <c r="DK15" i="16"/>
  <c r="DK16" i="16"/>
  <c r="DK17" i="16"/>
  <c r="DK18" i="16"/>
  <c r="DK19" i="16"/>
  <c r="DK20" i="16"/>
  <c r="DK21" i="16"/>
  <c r="DK22" i="16"/>
  <c r="DK23" i="16"/>
  <c r="DK24" i="16"/>
  <c r="DK25" i="16"/>
  <c r="DK26" i="16"/>
  <c r="DK27" i="16"/>
  <c r="DK28" i="16"/>
  <c r="DK29" i="16"/>
  <c r="DK30" i="16"/>
  <c r="DK31" i="16"/>
  <c r="DK32" i="16"/>
  <c r="DK33" i="16"/>
  <c r="DK34" i="16"/>
  <c r="DK6" i="16"/>
  <c r="DI6" i="16"/>
  <c r="DE5" i="16"/>
  <c r="DD5" i="16"/>
  <c r="DB9" i="16"/>
  <c r="DC5" i="16"/>
  <c r="DA36" i="16"/>
  <c r="DA35" i="16"/>
  <c r="DA34" i="16"/>
  <c r="DA33" i="16"/>
  <c r="DA32" i="16"/>
  <c r="DA31" i="16"/>
  <c r="DA30" i="16"/>
  <c r="DA29" i="16"/>
  <c r="DA28" i="16"/>
  <c r="DA27" i="16"/>
  <c r="DA26" i="16"/>
  <c r="DA25" i="16"/>
  <c r="DA24" i="16"/>
  <c r="DA23" i="16"/>
  <c r="DA22" i="16"/>
  <c r="DA21" i="16"/>
  <c r="DA20" i="16"/>
  <c r="DA19" i="16"/>
  <c r="DA18" i="16"/>
  <c r="DA17" i="16"/>
  <c r="DA16" i="16"/>
  <c r="DA15" i="16"/>
  <c r="DA14" i="16"/>
  <c r="DA13" i="16"/>
  <c r="DA12" i="16"/>
  <c r="DA11" i="16"/>
  <c r="DA10" i="16"/>
  <c r="DA9" i="16"/>
  <c r="DA8" i="16"/>
  <c r="DA7" i="16"/>
  <c r="DA6" i="16"/>
  <c r="CY6" i="16"/>
  <c r="CU5" i="16"/>
  <c r="CT5" i="16"/>
  <c r="CS5" i="16"/>
  <c r="CR17" i="16"/>
  <c r="CR34" i="16"/>
  <c r="CR35" i="16"/>
  <c r="CR36" i="16"/>
  <c r="CR37" i="16"/>
  <c r="CR38" i="16"/>
  <c r="CR39" i="16"/>
  <c r="CR40" i="16"/>
  <c r="CR41" i="16"/>
  <c r="CR42" i="16"/>
  <c r="CQ42" i="16"/>
  <c r="CQ7" i="16"/>
  <c r="CQ8" i="16"/>
  <c r="CQ9" i="16"/>
  <c r="CQ10" i="16"/>
  <c r="CQ11" i="16"/>
  <c r="CQ12" i="16"/>
  <c r="CQ13" i="16"/>
  <c r="CQ14" i="16"/>
  <c r="CQ15" i="16"/>
  <c r="CQ16" i="16"/>
  <c r="CQ17" i="16"/>
  <c r="CQ18" i="16"/>
  <c r="CQ19" i="16"/>
  <c r="CQ20" i="16"/>
  <c r="CQ21" i="16"/>
  <c r="CQ22" i="16"/>
  <c r="CQ23" i="16"/>
  <c r="CQ24" i="16"/>
  <c r="CQ25" i="16"/>
  <c r="CQ26" i="16"/>
  <c r="CQ27" i="16"/>
  <c r="CQ28" i="16"/>
  <c r="CQ29" i="16"/>
  <c r="CQ30" i="16"/>
  <c r="CQ31" i="16"/>
  <c r="CQ32" i="16"/>
  <c r="CQ33" i="16"/>
  <c r="CQ34" i="16"/>
  <c r="CQ35" i="16"/>
  <c r="CQ36" i="16"/>
  <c r="CQ37" i="16"/>
  <c r="CQ38" i="16"/>
  <c r="CQ39" i="16"/>
  <c r="CQ40" i="16"/>
  <c r="CQ41" i="16"/>
  <c r="CQ6" i="16"/>
  <c r="CP34" i="16"/>
  <c r="CP35" i="16"/>
  <c r="CP36" i="16"/>
  <c r="CP37" i="16"/>
  <c r="CP38" i="16"/>
  <c r="CP39" i="16"/>
  <c r="CP40" i="16"/>
  <c r="CP41" i="16"/>
  <c r="CP42" i="16"/>
  <c r="CO34" i="16"/>
  <c r="CO35" i="16" s="1"/>
  <c r="CO36" i="16" s="1"/>
  <c r="CO37" i="16" s="1"/>
  <c r="CO38" i="16" s="1"/>
  <c r="CO39" i="16" s="1"/>
  <c r="CO40" i="16" s="1"/>
  <c r="CO41" i="16" s="1"/>
  <c r="CO42" i="16" s="1"/>
  <c r="CO6" i="16"/>
  <c r="CK5" i="16"/>
  <c r="CJ5" i="16"/>
  <c r="CI5" i="16"/>
  <c r="CG7" i="16"/>
  <c r="CG8" i="16"/>
  <c r="CG9" i="16"/>
  <c r="CG10" i="16"/>
  <c r="CG11" i="16"/>
  <c r="CG12" i="16"/>
  <c r="CG13" i="16"/>
  <c r="CG14" i="16"/>
  <c r="CG15" i="16"/>
  <c r="CG16" i="16"/>
  <c r="CG17" i="16"/>
  <c r="CG18" i="16"/>
  <c r="CG19" i="16"/>
  <c r="CG20" i="16"/>
  <c r="CG21" i="16"/>
  <c r="CG22" i="16"/>
  <c r="CG23" i="16"/>
  <c r="CG24" i="16"/>
  <c r="CG25" i="16"/>
  <c r="CG26" i="16"/>
  <c r="CG27" i="16"/>
  <c r="CG28" i="16"/>
  <c r="CG29" i="16"/>
  <c r="CG30" i="16"/>
  <c r="CG31" i="16"/>
  <c r="CG32" i="16"/>
  <c r="CG33" i="16"/>
  <c r="CG6" i="16"/>
  <c r="CF33" i="16"/>
  <c r="CF7" i="16"/>
  <c r="CF8" i="16"/>
  <c r="CF9" i="16"/>
  <c r="CF10" i="16"/>
  <c r="CF11" i="16"/>
  <c r="CF12" i="16"/>
  <c r="CF13" i="16"/>
  <c r="CF14" i="16"/>
  <c r="CF15" i="16"/>
  <c r="CF16" i="16"/>
  <c r="CF17" i="16"/>
  <c r="CF18" i="16"/>
  <c r="CF19" i="16"/>
  <c r="CF20" i="16"/>
  <c r="CF21" i="16"/>
  <c r="CF22" i="16"/>
  <c r="CF23" i="16"/>
  <c r="CF24" i="16"/>
  <c r="CF25" i="16"/>
  <c r="CF26" i="16"/>
  <c r="CF27" i="16"/>
  <c r="CF28" i="16"/>
  <c r="CF29" i="16"/>
  <c r="CF30" i="16"/>
  <c r="CF31" i="16"/>
  <c r="CF32" i="16"/>
  <c r="CF6" i="16"/>
  <c r="CE6" i="16"/>
  <c r="CA5" i="16"/>
  <c r="BZ5" i="16"/>
  <c r="BY5" i="16"/>
  <c r="BU36" i="16"/>
  <c r="BW36" i="16"/>
  <c r="BW35" i="16"/>
  <c r="BW34" i="16"/>
  <c r="BW33" i="16"/>
  <c r="BW32" i="16"/>
  <c r="BW31" i="16"/>
  <c r="BW30" i="16"/>
  <c r="BW29" i="16"/>
  <c r="BW28" i="16"/>
  <c r="BW27" i="16"/>
  <c r="BW26" i="16"/>
  <c r="BW25" i="16"/>
  <c r="BW24" i="16"/>
  <c r="BW23" i="16"/>
  <c r="BW22" i="16"/>
  <c r="BW21" i="16"/>
  <c r="BW20" i="16"/>
  <c r="BW19" i="16"/>
  <c r="BW18" i="16"/>
  <c r="BW17" i="16"/>
  <c r="BW16" i="16"/>
  <c r="BW15" i="16"/>
  <c r="BW14" i="16"/>
  <c r="BW13" i="16"/>
  <c r="BW12" i="16"/>
  <c r="BW11" i="16"/>
  <c r="BW10" i="16"/>
  <c r="BW9" i="16"/>
  <c r="BW8" i="16"/>
  <c r="BW7" i="16"/>
  <c r="BW6" i="16"/>
  <c r="BU6" i="16"/>
  <c r="BQ5" i="16"/>
  <c r="BP5" i="16"/>
  <c r="BO5" i="16"/>
  <c r="BK12" i="16"/>
  <c r="BM36" i="16"/>
  <c r="BM35" i="16"/>
  <c r="BM34" i="16"/>
  <c r="BM33" i="16"/>
  <c r="BM32" i="16"/>
  <c r="BM31" i="16"/>
  <c r="BM30" i="16"/>
  <c r="BM29" i="16"/>
  <c r="BM28" i="16"/>
  <c r="BM27" i="16"/>
  <c r="BM26" i="16"/>
  <c r="BM25" i="16"/>
  <c r="BM24" i="16"/>
  <c r="BM23" i="16"/>
  <c r="BM22" i="16"/>
  <c r="BM21" i="16"/>
  <c r="BM20" i="16"/>
  <c r="BM19" i="16"/>
  <c r="BM18" i="16"/>
  <c r="BM17" i="16"/>
  <c r="BM16" i="16"/>
  <c r="BM15" i="16"/>
  <c r="BM14" i="16"/>
  <c r="BM13" i="16"/>
  <c r="BM12" i="16"/>
  <c r="BM11" i="16"/>
  <c r="BM10" i="16"/>
  <c r="BM9" i="16"/>
  <c r="BM8" i="16"/>
  <c r="BM7" i="16"/>
  <c r="BM6" i="16"/>
  <c r="BK6" i="16"/>
  <c r="BG5" i="16"/>
  <c r="BF5" i="16"/>
  <c r="BE5" i="16"/>
  <c r="BD7" i="16"/>
  <c r="BD8" i="16"/>
  <c r="BD9" i="16"/>
  <c r="BD10" i="16"/>
  <c r="BD11" i="16"/>
  <c r="BD12" i="16"/>
  <c r="BD13" i="16"/>
  <c r="BD14" i="16"/>
  <c r="BD15" i="16"/>
  <c r="BD16" i="16"/>
  <c r="BD17" i="16"/>
  <c r="BD18" i="16"/>
  <c r="BD19" i="16"/>
  <c r="BD20" i="16"/>
  <c r="BD21" i="16"/>
  <c r="BD22" i="16"/>
  <c r="BD23" i="16"/>
  <c r="BD24" i="16"/>
  <c r="BD25" i="16"/>
  <c r="BD26" i="16"/>
  <c r="BD27" i="16"/>
  <c r="BD28" i="16"/>
  <c r="BD29" i="16"/>
  <c r="BD30" i="16"/>
  <c r="BD31" i="16"/>
  <c r="BD32" i="16"/>
  <c r="BD33" i="16"/>
  <c r="BD34" i="16"/>
  <c r="BD35" i="16"/>
  <c r="BD36" i="16"/>
  <c r="BD6" i="16"/>
  <c r="BC7" i="16"/>
  <c r="BC8" i="16"/>
  <c r="BC9" i="16"/>
  <c r="BC10" i="16"/>
  <c r="BC11" i="16"/>
  <c r="BC12" i="16"/>
  <c r="BC13" i="16"/>
  <c r="BC14" i="16"/>
  <c r="BC15" i="16"/>
  <c r="BC16" i="16"/>
  <c r="BC17" i="16"/>
  <c r="BC18" i="16"/>
  <c r="BC19" i="16"/>
  <c r="BC20" i="16"/>
  <c r="BC21" i="16"/>
  <c r="BC22" i="16"/>
  <c r="BC23" i="16"/>
  <c r="BC24" i="16"/>
  <c r="BC25" i="16"/>
  <c r="BC26" i="16"/>
  <c r="BC27" i="16"/>
  <c r="BC28" i="16"/>
  <c r="BC29" i="16"/>
  <c r="BC30" i="16"/>
  <c r="BC31" i="16"/>
  <c r="BC32" i="16"/>
  <c r="BC33" i="16"/>
  <c r="BC34" i="16"/>
  <c r="BC35" i="16"/>
  <c r="BC36" i="16"/>
  <c r="BC6" i="16"/>
  <c r="BB7" i="16"/>
  <c r="BB8" i="16"/>
  <c r="BB9" i="16"/>
  <c r="BB10" i="16"/>
  <c r="BB11" i="16"/>
  <c r="BB12" i="16"/>
  <c r="BB13" i="16"/>
  <c r="BB14" i="16"/>
  <c r="BB15" i="16"/>
  <c r="BB16" i="16"/>
  <c r="BB17" i="16"/>
  <c r="BB18" i="16"/>
  <c r="BB19" i="16"/>
  <c r="BB20" i="16"/>
  <c r="BB21" i="16"/>
  <c r="BB22" i="16"/>
  <c r="BB23" i="16"/>
  <c r="BB24" i="16"/>
  <c r="BB25" i="16"/>
  <c r="BB26" i="16"/>
  <c r="BB27" i="16"/>
  <c r="BB28" i="16"/>
  <c r="BB29" i="16"/>
  <c r="BB30" i="16"/>
  <c r="BB31" i="16"/>
  <c r="BB32" i="16"/>
  <c r="BB33" i="16"/>
  <c r="BB34" i="16"/>
  <c r="BB35" i="16"/>
  <c r="BB36" i="16"/>
  <c r="BB6" i="16"/>
  <c r="BA8" i="16"/>
  <c r="BA9" i="16"/>
  <c r="BA10" i="16"/>
  <c r="BA11" i="16"/>
  <c r="BA12" i="16"/>
  <c r="BA13" i="16"/>
  <c r="BA14" i="16"/>
  <c r="BA15" i="16"/>
  <c r="BA16" i="16"/>
  <c r="BA17" i="16" s="1"/>
  <c r="BA18" i="16" s="1"/>
  <c r="BA19" i="16" s="1"/>
  <c r="BA20" i="16" s="1"/>
  <c r="BA21" i="16" s="1"/>
  <c r="BA22" i="16" s="1"/>
  <c r="BA23" i="16" s="1"/>
  <c r="BA24" i="16" s="1"/>
  <c r="BA25" i="16" s="1"/>
  <c r="BA26" i="16" s="1"/>
  <c r="BA27" i="16" s="1"/>
  <c r="BA28" i="16" s="1"/>
  <c r="BA29" i="16" s="1"/>
  <c r="BA30" i="16" s="1"/>
  <c r="BA31" i="16" s="1"/>
  <c r="BA32" i="16" s="1"/>
  <c r="BA33" i="16" s="1"/>
  <c r="BA34" i="16" s="1"/>
  <c r="BA35" i="16" s="1"/>
  <c r="BA36" i="16" s="1"/>
  <c r="BA7" i="16"/>
  <c r="BA6" i="16"/>
  <c r="AW5" i="16"/>
  <c r="AV5" i="16"/>
  <c r="AU5" i="16"/>
  <c r="AT7" i="16"/>
  <c r="AT8" i="16"/>
  <c r="AT9" i="16"/>
  <c r="AT10" i="16"/>
  <c r="AT11" i="16"/>
  <c r="AT12" i="16"/>
  <c r="AT13" i="16"/>
  <c r="AT14" i="16"/>
  <c r="AT15" i="16"/>
  <c r="AT16" i="16"/>
  <c r="AT17" i="16"/>
  <c r="AT18" i="16"/>
  <c r="AT19" i="16"/>
  <c r="AT20" i="16"/>
  <c r="AT21" i="16"/>
  <c r="AT22" i="16"/>
  <c r="AT23" i="16"/>
  <c r="AT24" i="16"/>
  <c r="AT25" i="16"/>
  <c r="AT26" i="16"/>
  <c r="AT27" i="16"/>
  <c r="AT28" i="16"/>
  <c r="AT29" i="16"/>
  <c r="AT30" i="16"/>
  <c r="AT31" i="16"/>
  <c r="AT32" i="16"/>
  <c r="AT33" i="16"/>
  <c r="AT34" i="16"/>
  <c r="AT35" i="16"/>
  <c r="AT36" i="16"/>
  <c r="AT37" i="16"/>
  <c r="AT38" i="16"/>
  <c r="AT39" i="16"/>
  <c r="AT40" i="16"/>
  <c r="AT41" i="16"/>
  <c r="AT42" i="16"/>
  <c r="AT6" i="16"/>
  <c r="AS7" i="16"/>
  <c r="AS8" i="16"/>
  <c r="AS9" i="16"/>
  <c r="AS10" i="16"/>
  <c r="AS11" i="16"/>
  <c r="AS12" i="16"/>
  <c r="AS13" i="16"/>
  <c r="AS14" i="16"/>
  <c r="AS15" i="16"/>
  <c r="AS16" i="16"/>
  <c r="AS17" i="16"/>
  <c r="AS18" i="16"/>
  <c r="AS19" i="16"/>
  <c r="AS20" i="16"/>
  <c r="AS21" i="16"/>
  <c r="AS22" i="16"/>
  <c r="AS23" i="16"/>
  <c r="AS24" i="16"/>
  <c r="AS25" i="16"/>
  <c r="AS26" i="16"/>
  <c r="AS27" i="16"/>
  <c r="AS28" i="16"/>
  <c r="AS29" i="16"/>
  <c r="AS30" i="16"/>
  <c r="AS31" i="16"/>
  <c r="AS32" i="16"/>
  <c r="AS33" i="16"/>
  <c r="AS34" i="16"/>
  <c r="AS35" i="16"/>
  <c r="AS36" i="16"/>
  <c r="AS37" i="16"/>
  <c r="AS38" i="16"/>
  <c r="AS39" i="16"/>
  <c r="AS40" i="16"/>
  <c r="AS41" i="16"/>
  <c r="AS42" i="16"/>
  <c r="AS6" i="16"/>
  <c r="AR7" i="16"/>
  <c r="AR8" i="16"/>
  <c r="AR9" i="16"/>
  <c r="AR10" i="16"/>
  <c r="AR11" i="16"/>
  <c r="AR12" i="16"/>
  <c r="AR13" i="16"/>
  <c r="AR14" i="16"/>
  <c r="AR15" i="16"/>
  <c r="AR16" i="16"/>
  <c r="AR17" i="16"/>
  <c r="AR18" i="16"/>
  <c r="AR19" i="16"/>
  <c r="AR20" i="16"/>
  <c r="AR21" i="16"/>
  <c r="AR22" i="16"/>
  <c r="AR23" i="16"/>
  <c r="AR24" i="16"/>
  <c r="AR25" i="16"/>
  <c r="AR26" i="16"/>
  <c r="AR27" i="16"/>
  <c r="AR28" i="16"/>
  <c r="AR29" i="16"/>
  <c r="AR30" i="16"/>
  <c r="AR31" i="16"/>
  <c r="AR32" i="16"/>
  <c r="AR33" i="16"/>
  <c r="AR34" i="16"/>
  <c r="AR35" i="16"/>
  <c r="AR36" i="16"/>
  <c r="AR37" i="16"/>
  <c r="AR38" i="16"/>
  <c r="AR39" i="16"/>
  <c r="AR40" i="16"/>
  <c r="AR41" i="16"/>
  <c r="AR42" i="16"/>
  <c r="AR6" i="16"/>
  <c r="AQ8" i="16"/>
  <c r="AQ9" i="16" s="1"/>
  <c r="AQ10" i="16" s="1"/>
  <c r="AQ11" i="16" s="1"/>
  <c r="AQ12" i="16" s="1"/>
  <c r="AQ13" i="16" s="1"/>
  <c r="AQ14" i="16" s="1"/>
  <c r="AQ15" i="16" s="1"/>
  <c r="AQ16" i="16" s="1"/>
  <c r="AQ17" i="16" s="1"/>
  <c r="AQ18" i="16" s="1"/>
  <c r="AQ19" i="16" s="1"/>
  <c r="AQ20" i="16" s="1"/>
  <c r="AQ21" i="16" s="1"/>
  <c r="AQ22" i="16" s="1"/>
  <c r="AQ23" i="16" s="1"/>
  <c r="AQ24" i="16" s="1"/>
  <c r="AQ25" i="16" s="1"/>
  <c r="AQ26" i="16" s="1"/>
  <c r="AQ27" i="16" s="1"/>
  <c r="AQ28" i="16" s="1"/>
  <c r="AQ29" i="16" s="1"/>
  <c r="AQ30" i="16" s="1"/>
  <c r="AQ31" i="16" s="1"/>
  <c r="AQ32" i="16" s="1"/>
  <c r="AQ33" i="16" s="1"/>
  <c r="AQ34" i="16" s="1"/>
  <c r="AQ35" i="16" s="1"/>
  <c r="AQ36" i="16" s="1"/>
  <c r="AQ37" i="16" s="1"/>
  <c r="AQ38" i="16" s="1"/>
  <c r="AQ39" i="16" s="1"/>
  <c r="AQ40" i="16" s="1"/>
  <c r="AQ41" i="16" s="1"/>
  <c r="AQ42" i="16" s="1"/>
  <c r="AQ7" i="16"/>
  <c r="AQ6" i="16"/>
  <c r="AM5" i="16"/>
  <c r="AL5" i="16"/>
  <c r="AK5" i="16"/>
  <c r="AJ7" i="16"/>
  <c r="AJ8" i="16"/>
  <c r="AJ9" i="16"/>
  <c r="AJ10" i="16"/>
  <c r="AJ11" i="16"/>
  <c r="AJ12" i="16"/>
  <c r="AJ13" i="16"/>
  <c r="AJ14" i="16"/>
  <c r="AJ15" i="16"/>
  <c r="AJ16" i="16"/>
  <c r="AJ17" i="16"/>
  <c r="AJ18" i="16"/>
  <c r="AJ19" i="16"/>
  <c r="AJ20" i="16"/>
  <c r="AJ21" i="16"/>
  <c r="AJ22" i="16"/>
  <c r="AJ23" i="16"/>
  <c r="AJ24" i="16"/>
  <c r="AJ25" i="16"/>
  <c r="AJ26" i="16"/>
  <c r="AJ27" i="16"/>
  <c r="AJ28" i="16"/>
  <c r="AJ29" i="16"/>
  <c r="AJ30" i="16"/>
  <c r="AJ31" i="16"/>
  <c r="AJ32" i="16"/>
  <c r="AJ33" i="16"/>
  <c r="AJ34" i="16"/>
  <c r="AJ35" i="16"/>
  <c r="AJ36" i="16"/>
  <c r="AJ37" i="16"/>
  <c r="AJ38" i="16"/>
  <c r="AJ39" i="16"/>
  <c r="AJ40" i="16"/>
  <c r="AJ41" i="16"/>
  <c r="AJ42" i="16"/>
  <c r="AJ43" i="16"/>
  <c r="AJ44" i="16"/>
  <c r="AJ45" i="16"/>
  <c r="AJ46" i="16"/>
  <c r="AJ47" i="16"/>
  <c r="AJ6" i="16"/>
  <c r="AI7" i="16"/>
  <c r="AI8" i="16"/>
  <c r="AI9" i="16"/>
  <c r="AI10" i="16"/>
  <c r="AI11" i="16"/>
  <c r="AI12" i="16"/>
  <c r="AI13" i="16"/>
  <c r="AI14" i="16"/>
  <c r="AI15" i="16"/>
  <c r="AI16" i="16"/>
  <c r="AI17" i="16"/>
  <c r="AI18" i="16"/>
  <c r="AI19" i="16"/>
  <c r="AI20" i="16"/>
  <c r="AI21" i="16"/>
  <c r="AI22" i="16"/>
  <c r="AI23" i="16"/>
  <c r="AI24" i="16"/>
  <c r="AI25" i="16"/>
  <c r="AI26" i="16"/>
  <c r="AI27" i="16"/>
  <c r="AI28" i="16"/>
  <c r="AI29" i="16"/>
  <c r="AI30" i="16"/>
  <c r="AI31" i="16"/>
  <c r="AI32" i="16"/>
  <c r="AI33" i="16"/>
  <c r="AI34" i="16"/>
  <c r="AI35" i="16"/>
  <c r="AI36" i="16"/>
  <c r="AI37" i="16"/>
  <c r="AI38" i="16"/>
  <c r="AI39" i="16"/>
  <c r="AI40" i="16"/>
  <c r="AI41" i="16"/>
  <c r="AI42" i="16"/>
  <c r="AI43" i="16"/>
  <c r="AI44" i="16"/>
  <c r="AI45" i="16"/>
  <c r="AI46" i="16"/>
  <c r="AI47" i="16"/>
  <c r="AI6" i="16"/>
  <c r="AH7" i="16"/>
  <c r="AH8" i="16"/>
  <c r="AH9" i="16"/>
  <c r="AH10" i="16"/>
  <c r="AH11" i="16"/>
  <c r="AH12" i="16"/>
  <c r="AH13" i="16"/>
  <c r="AH14" i="16"/>
  <c r="AH15" i="16"/>
  <c r="AH16" i="16"/>
  <c r="AH17" i="16"/>
  <c r="AH18" i="16"/>
  <c r="AH19" i="16"/>
  <c r="AH20" i="16"/>
  <c r="AH21" i="16"/>
  <c r="AH22" i="16"/>
  <c r="AH23" i="16"/>
  <c r="AH24" i="16"/>
  <c r="AH25" i="16"/>
  <c r="AH26" i="16"/>
  <c r="AH27" i="16"/>
  <c r="AH28" i="16"/>
  <c r="AH29" i="16"/>
  <c r="AH30" i="16"/>
  <c r="AH31" i="16"/>
  <c r="AH32" i="16"/>
  <c r="AH33" i="16"/>
  <c r="AH34" i="16"/>
  <c r="AH35" i="16"/>
  <c r="AH36" i="16"/>
  <c r="AH37" i="16"/>
  <c r="AH38" i="16"/>
  <c r="AH39" i="16"/>
  <c r="AH40" i="16"/>
  <c r="AH41" i="16"/>
  <c r="AH42" i="16"/>
  <c r="AH43" i="16"/>
  <c r="AH44" i="16"/>
  <c r="AH45" i="16"/>
  <c r="AH46" i="16"/>
  <c r="AH47" i="16"/>
  <c r="AH6" i="16"/>
  <c r="AG8" i="16"/>
  <c r="AG9" i="16"/>
  <c r="AG10" i="16"/>
  <c r="AG11" i="16"/>
  <c r="AG12" i="16"/>
  <c r="AG13" i="16"/>
  <c r="AG14" i="16"/>
  <c r="AG15" i="16" s="1"/>
  <c r="AG16" i="16" s="1"/>
  <c r="AG17" i="16" s="1"/>
  <c r="AG18" i="16" s="1"/>
  <c r="AG19" i="16" s="1"/>
  <c r="AG20" i="16" s="1"/>
  <c r="AG21" i="16" s="1"/>
  <c r="AG22" i="16" s="1"/>
  <c r="AG23" i="16" s="1"/>
  <c r="AG24" i="16" s="1"/>
  <c r="AG25" i="16" s="1"/>
  <c r="AG26" i="16" s="1"/>
  <c r="AG27" i="16" s="1"/>
  <c r="AG28" i="16" s="1"/>
  <c r="AG29" i="16" s="1"/>
  <c r="AG30" i="16" s="1"/>
  <c r="AG31" i="16" s="1"/>
  <c r="AG32" i="16" s="1"/>
  <c r="AG33" i="16" s="1"/>
  <c r="AG34" i="16" s="1"/>
  <c r="AG35" i="16" s="1"/>
  <c r="AG36" i="16" s="1"/>
  <c r="AG37" i="16" s="1"/>
  <c r="AG38" i="16" s="1"/>
  <c r="AG39" i="16" s="1"/>
  <c r="AG40" i="16" s="1"/>
  <c r="AG41" i="16" s="1"/>
  <c r="AG42" i="16" s="1"/>
  <c r="AG43" i="16" s="1"/>
  <c r="AG44" i="16" s="1"/>
  <c r="AG45" i="16" s="1"/>
  <c r="AG46" i="16" s="1"/>
  <c r="AG47" i="16" s="1"/>
  <c r="AG7" i="16"/>
  <c r="AG6" i="16"/>
  <c r="AC5" i="16"/>
  <c r="AB5" i="16"/>
  <c r="AA5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6" i="16"/>
  <c r="Y7" i="16"/>
  <c r="Y8" i="16"/>
  <c r="Y9" i="16"/>
  <c r="Y10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6" i="16"/>
  <c r="X7" i="16"/>
  <c r="X8" i="16"/>
  <c r="X9" i="16"/>
  <c r="X10" i="16"/>
  <c r="X11" i="16"/>
  <c r="X12" i="16"/>
  <c r="X13" i="16"/>
  <c r="X14" i="16"/>
  <c r="X15" i="16"/>
  <c r="X16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30" i="16"/>
  <c r="X31" i="16"/>
  <c r="X32" i="16"/>
  <c r="X33" i="16"/>
  <c r="X34" i="16"/>
  <c r="X35" i="16"/>
  <c r="X36" i="16"/>
  <c r="X37" i="16"/>
  <c r="X38" i="16"/>
  <c r="X39" i="16"/>
  <c r="X6" i="16"/>
  <c r="W8" i="16"/>
  <c r="W9" i="16" s="1"/>
  <c r="W10" i="16" s="1"/>
  <c r="W11" i="16" s="1"/>
  <c r="W12" i="16" s="1"/>
  <c r="W13" i="16" s="1"/>
  <c r="W14" i="16" s="1"/>
  <c r="W15" i="16" s="1"/>
  <c r="W16" i="16" s="1"/>
  <c r="W17" i="16" s="1"/>
  <c r="W18" i="16" s="1"/>
  <c r="W19" i="16" s="1"/>
  <c r="W20" i="16" s="1"/>
  <c r="W21" i="16" s="1"/>
  <c r="W22" i="16" s="1"/>
  <c r="W23" i="16" s="1"/>
  <c r="W24" i="16" s="1"/>
  <c r="W25" i="16" s="1"/>
  <c r="W26" i="16" s="1"/>
  <c r="W27" i="16" s="1"/>
  <c r="W28" i="16" s="1"/>
  <c r="W29" i="16" s="1"/>
  <c r="W30" i="16" s="1"/>
  <c r="W31" i="16" s="1"/>
  <c r="W32" i="16" s="1"/>
  <c r="W33" i="16" s="1"/>
  <c r="W34" i="16" s="1"/>
  <c r="W35" i="16" s="1"/>
  <c r="W36" i="16" s="1"/>
  <c r="W37" i="16" s="1"/>
  <c r="W38" i="16" s="1"/>
  <c r="W39" i="16" s="1"/>
  <c r="W7" i="16"/>
  <c r="W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6" i="16"/>
  <c r="P6" i="16" s="1"/>
  <c r="P35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6" i="16"/>
  <c r="M8" i="16"/>
  <c r="M9" i="16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7" i="16"/>
  <c r="M6" i="16"/>
  <c r="I5" i="16"/>
  <c r="H5" i="16"/>
  <c r="G5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6" i="16"/>
  <c r="C8" i="16"/>
  <c r="C9" i="16" s="1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7" i="16"/>
  <c r="C6" i="16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764" i="15"/>
  <c r="C764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19" i="15"/>
  <c r="C719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684" i="15"/>
  <c r="C684" i="15"/>
  <c r="C685" i="15" s="1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48" i="15"/>
  <c r="C648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12" i="15"/>
  <c r="C612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571" i="15"/>
  <c r="C571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29" i="15"/>
  <c r="C529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488" i="15"/>
  <c r="C488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50" i="15"/>
  <c r="C450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05" i="15"/>
  <c r="C405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64" i="15"/>
  <c r="C364" i="15"/>
  <c r="C365" i="15" s="1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26" i="15"/>
  <c r="C326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291" i="15"/>
  <c r="C291" i="15"/>
  <c r="C292" i="15" s="1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54" i="15"/>
  <c r="C254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17" i="15"/>
  <c r="C217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173" i="15"/>
  <c r="C173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34" i="15"/>
  <c r="C134" i="15"/>
  <c r="N12" i="5"/>
  <c r="N11" i="5"/>
  <c r="N18" i="5"/>
  <c r="N3" i="5"/>
  <c r="N16" i="5"/>
  <c r="N21" i="5"/>
  <c r="N14" i="5"/>
  <c r="N9" i="5"/>
  <c r="N20" i="5"/>
  <c r="N7" i="5"/>
  <c r="N4" i="5"/>
  <c r="N5" i="5"/>
  <c r="N13" i="5"/>
  <c r="N19" i="5"/>
  <c r="N8" i="5"/>
  <c r="N15" i="5"/>
  <c r="N2" i="5"/>
  <c r="N17" i="5"/>
  <c r="N6" i="5"/>
  <c r="N10" i="5"/>
  <c r="N14" i="2"/>
  <c r="N18" i="2"/>
  <c r="N7" i="2"/>
  <c r="N13" i="2"/>
  <c r="N15" i="2"/>
  <c r="N10" i="2"/>
  <c r="N9" i="2"/>
  <c r="N19" i="2"/>
  <c r="N11" i="2"/>
  <c r="N8" i="2"/>
  <c r="N2" i="2"/>
  <c r="N3" i="2"/>
  <c r="N17" i="2"/>
  <c r="N20" i="2"/>
  <c r="N6" i="2"/>
  <c r="N12" i="2"/>
  <c r="N4" i="2"/>
  <c r="N21" i="2"/>
  <c r="N16" i="2"/>
  <c r="N5" i="2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93" i="15"/>
  <c r="C93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38" i="15"/>
  <c r="C38" i="15"/>
  <c r="C5" i="15"/>
  <c r="V43" i="25" l="1"/>
  <c r="I43" i="25"/>
  <c r="R43" i="25"/>
  <c r="P43" i="25"/>
  <c r="Q43" i="25"/>
  <c r="Z43" i="25"/>
  <c r="Y43" i="25"/>
  <c r="U43" i="25"/>
  <c r="J43" i="25"/>
  <c r="T43" i="25"/>
  <c r="H43" i="25"/>
  <c r="K43" i="25"/>
  <c r="M43" i="25"/>
  <c r="G43" i="25"/>
  <c r="S43" i="25"/>
  <c r="L43" i="25"/>
  <c r="O43" i="25"/>
  <c r="W43" i="25"/>
  <c r="X43" i="25"/>
  <c r="N43" i="25"/>
  <c r="AA43" i="25"/>
  <c r="T42" i="25"/>
  <c r="O42" i="25"/>
  <c r="U42" i="25"/>
  <c r="P42" i="25"/>
  <c r="K42" i="25"/>
  <c r="R42" i="25"/>
  <c r="J42" i="25"/>
  <c r="H42" i="25"/>
  <c r="N42" i="25"/>
  <c r="L42" i="25"/>
  <c r="G42" i="25"/>
  <c r="I42" i="25"/>
  <c r="Q42" i="25"/>
  <c r="M42" i="25"/>
  <c r="S42" i="25"/>
  <c r="H41" i="25"/>
  <c r="O41" i="25"/>
  <c r="T41" i="25"/>
  <c r="L41" i="25"/>
  <c r="U41" i="25"/>
  <c r="G41" i="25"/>
  <c r="Q41" i="25"/>
  <c r="I41" i="25"/>
  <c r="J41" i="25"/>
  <c r="K41" i="25"/>
  <c r="S41" i="25"/>
  <c r="R41" i="25"/>
  <c r="P41" i="25"/>
  <c r="N41" i="25"/>
  <c r="M41" i="25"/>
  <c r="T40" i="25"/>
  <c r="N40" i="25"/>
  <c r="O40" i="25"/>
  <c r="K40" i="25"/>
  <c r="AB40" i="25"/>
  <c r="P40" i="25"/>
  <c r="U40" i="25"/>
  <c r="AD40" i="25"/>
  <c r="H40" i="25"/>
  <c r="G40" i="25"/>
  <c r="AC40" i="25"/>
  <c r="I40" i="25"/>
  <c r="Z40" i="25"/>
  <c r="J40" i="25"/>
  <c r="M40" i="25"/>
  <c r="L40" i="25"/>
  <c r="Q40" i="25"/>
  <c r="S40" i="25"/>
  <c r="AA40" i="25"/>
  <c r="Y40" i="25"/>
  <c r="W40" i="25"/>
  <c r="AE40" i="25"/>
  <c r="V40" i="25"/>
  <c r="R40" i="25"/>
  <c r="X40" i="25"/>
  <c r="I39" i="25"/>
  <c r="N39" i="25"/>
  <c r="L39" i="25"/>
  <c r="M39" i="25"/>
  <c r="G39" i="25"/>
  <c r="Q39" i="25"/>
  <c r="K39" i="25"/>
  <c r="H39" i="25"/>
  <c r="P39" i="25"/>
  <c r="J39" i="25"/>
  <c r="O39" i="25"/>
  <c r="L38" i="25"/>
  <c r="S38" i="25"/>
  <c r="U38" i="25"/>
  <c r="Q38" i="25"/>
  <c r="P38" i="25"/>
  <c r="O38" i="25"/>
  <c r="M38" i="25"/>
  <c r="I38" i="25"/>
  <c r="H38" i="25"/>
  <c r="K38" i="25"/>
  <c r="G38" i="25"/>
  <c r="T38" i="25"/>
  <c r="N38" i="25"/>
  <c r="R38" i="25"/>
  <c r="J38" i="25"/>
  <c r="M37" i="25"/>
  <c r="V37" i="25"/>
  <c r="P37" i="25"/>
  <c r="R37" i="25"/>
  <c r="L37" i="25"/>
  <c r="S37" i="25"/>
  <c r="I37" i="25"/>
  <c r="X37" i="25"/>
  <c r="W37" i="25"/>
  <c r="T37" i="25"/>
  <c r="J37" i="25"/>
  <c r="U37" i="25"/>
  <c r="N37" i="25"/>
  <c r="K37" i="25"/>
  <c r="G37" i="25"/>
  <c r="Q37" i="25"/>
  <c r="H37" i="25"/>
  <c r="O37" i="25"/>
  <c r="N36" i="25"/>
  <c r="M36" i="25"/>
  <c r="J36" i="25"/>
  <c r="W36" i="25"/>
  <c r="P36" i="25"/>
  <c r="U36" i="25"/>
  <c r="T36" i="25"/>
  <c r="I36" i="25"/>
  <c r="H36" i="25"/>
  <c r="L36" i="25"/>
  <c r="R36" i="25"/>
  <c r="V36" i="25"/>
  <c r="Q36" i="25"/>
  <c r="S36" i="25"/>
  <c r="K36" i="25"/>
  <c r="O36" i="25"/>
  <c r="G36" i="25"/>
  <c r="O35" i="25"/>
  <c r="S35" i="25"/>
  <c r="L35" i="25"/>
  <c r="I35" i="25"/>
  <c r="G35" i="25"/>
  <c r="Q35" i="25"/>
  <c r="N35" i="25"/>
  <c r="J35" i="25"/>
  <c r="R35" i="25"/>
  <c r="T35" i="25"/>
  <c r="M35" i="25"/>
  <c r="K35" i="25"/>
  <c r="H35" i="25"/>
  <c r="P35" i="25"/>
  <c r="U35" i="25"/>
  <c r="N34" i="25"/>
  <c r="I34" i="25"/>
  <c r="J34" i="25"/>
  <c r="X34" i="25"/>
  <c r="W34" i="25"/>
  <c r="Z34" i="25"/>
  <c r="Q34" i="25"/>
  <c r="U34" i="25"/>
  <c r="M34" i="25"/>
  <c r="G34" i="25"/>
  <c r="P34" i="25"/>
  <c r="Y34" i="25"/>
  <c r="V34" i="25"/>
  <c r="R34" i="25"/>
  <c r="O34" i="25"/>
  <c r="L34" i="25"/>
  <c r="S34" i="25"/>
  <c r="H34" i="25"/>
  <c r="K34" i="25"/>
  <c r="T34" i="25"/>
  <c r="P33" i="25"/>
  <c r="H33" i="25"/>
  <c r="K33" i="25"/>
  <c r="G33" i="25"/>
  <c r="L33" i="25"/>
  <c r="N33" i="25"/>
  <c r="O33" i="25"/>
  <c r="I33" i="25"/>
  <c r="J33" i="25"/>
  <c r="M33" i="25"/>
  <c r="R33" i="25"/>
  <c r="Q33" i="25"/>
  <c r="H27" i="25"/>
  <c r="N27" i="25"/>
  <c r="M27" i="25"/>
  <c r="R27" i="25"/>
  <c r="G27" i="25"/>
  <c r="I27" i="25"/>
  <c r="L27" i="25"/>
  <c r="Q27" i="25"/>
  <c r="S27" i="25"/>
  <c r="T27" i="25"/>
  <c r="K27" i="25"/>
  <c r="P27" i="25"/>
  <c r="O27" i="25"/>
  <c r="J27" i="25"/>
  <c r="P30" i="25"/>
  <c r="L30" i="25"/>
  <c r="I30" i="25"/>
  <c r="V30" i="25"/>
  <c r="S30" i="25"/>
  <c r="H30" i="25"/>
  <c r="J30" i="25"/>
  <c r="N30" i="25"/>
  <c r="W30" i="25"/>
  <c r="T30" i="25"/>
  <c r="Q30" i="25"/>
  <c r="M30" i="25"/>
  <c r="G30" i="25"/>
  <c r="K30" i="25"/>
  <c r="O30" i="25"/>
  <c r="R30" i="25"/>
  <c r="X30" i="25"/>
  <c r="U30" i="25"/>
  <c r="N26" i="25"/>
  <c r="J26" i="25"/>
  <c r="I26" i="25"/>
  <c r="G26" i="25"/>
  <c r="H26" i="25"/>
  <c r="M26" i="25"/>
  <c r="P26" i="25"/>
  <c r="K26" i="25"/>
  <c r="L26" i="25"/>
  <c r="O26" i="25"/>
  <c r="R26" i="25"/>
  <c r="Q26" i="25"/>
  <c r="I32" i="25"/>
  <c r="N32" i="25"/>
  <c r="K32" i="25"/>
  <c r="Q32" i="25"/>
  <c r="L32" i="25"/>
  <c r="H32" i="25"/>
  <c r="G32" i="25"/>
  <c r="O32" i="25"/>
  <c r="M32" i="25"/>
  <c r="P32" i="25"/>
  <c r="J32" i="25"/>
  <c r="H31" i="25"/>
  <c r="P31" i="25"/>
  <c r="T31" i="25"/>
  <c r="G31" i="25"/>
  <c r="N31" i="25"/>
  <c r="V31" i="25"/>
  <c r="R31" i="25"/>
  <c r="Q31" i="25"/>
  <c r="O31" i="25"/>
  <c r="U31" i="25"/>
  <c r="W31" i="25"/>
  <c r="J31" i="25"/>
  <c r="L31" i="25"/>
  <c r="S31" i="25"/>
  <c r="K31" i="25"/>
  <c r="M31" i="25"/>
  <c r="I31" i="25"/>
  <c r="W29" i="25"/>
  <c r="H29" i="25"/>
  <c r="I29" i="25"/>
  <c r="L29" i="25"/>
  <c r="G29" i="25"/>
  <c r="T29" i="25"/>
  <c r="P29" i="25"/>
  <c r="Q29" i="25"/>
  <c r="K29" i="25"/>
  <c r="M29" i="25"/>
  <c r="N29" i="25"/>
  <c r="O29" i="25"/>
  <c r="U29" i="25"/>
  <c r="R29" i="25"/>
  <c r="S29" i="25"/>
  <c r="V29" i="25"/>
  <c r="J29" i="25"/>
  <c r="M28" i="25"/>
  <c r="P28" i="25"/>
  <c r="H28" i="25"/>
  <c r="N28" i="25"/>
  <c r="G28" i="25"/>
  <c r="K28" i="25"/>
  <c r="L28" i="25"/>
  <c r="Q28" i="25"/>
  <c r="I28" i="25"/>
  <c r="O28" i="25"/>
  <c r="R28" i="25"/>
  <c r="J28" i="25"/>
  <c r="P25" i="25"/>
  <c r="J25" i="25"/>
  <c r="O25" i="25"/>
  <c r="L25" i="25"/>
  <c r="H25" i="25"/>
  <c r="T25" i="25"/>
  <c r="G25" i="25"/>
  <c r="I25" i="25"/>
  <c r="M25" i="25"/>
  <c r="S25" i="25"/>
  <c r="K25" i="25"/>
  <c r="N25" i="25"/>
  <c r="R25" i="25"/>
  <c r="Q25" i="25"/>
  <c r="L24" i="25"/>
  <c r="J24" i="25"/>
  <c r="O24" i="25"/>
  <c r="N24" i="25"/>
  <c r="P24" i="25"/>
  <c r="G24" i="25"/>
  <c r="H24" i="25"/>
  <c r="I24" i="25"/>
  <c r="K24" i="25"/>
  <c r="M24" i="25"/>
  <c r="L43" i="24"/>
  <c r="L65" i="24" s="1"/>
  <c r="G43" i="24"/>
  <c r="T43" i="24"/>
  <c r="T65" i="24" s="1"/>
  <c r="O43" i="24"/>
  <c r="O65" i="24" s="1"/>
  <c r="H43" i="24"/>
  <c r="H65" i="24" s="1"/>
  <c r="I43" i="24"/>
  <c r="I65" i="24" s="1"/>
  <c r="P43" i="24"/>
  <c r="P65" i="24" s="1"/>
  <c r="N43" i="24"/>
  <c r="N65" i="24" s="1"/>
  <c r="R43" i="24"/>
  <c r="R65" i="24" s="1"/>
  <c r="J43" i="24"/>
  <c r="J65" i="24" s="1"/>
  <c r="U43" i="24"/>
  <c r="U65" i="24" s="1"/>
  <c r="S43" i="24"/>
  <c r="S65" i="24" s="1"/>
  <c r="K43" i="24"/>
  <c r="K65" i="24" s="1"/>
  <c r="M43" i="24"/>
  <c r="M65" i="24" s="1"/>
  <c r="Q43" i="24"/>
  <c r="Q65" i="24" s="1"/>
  <c r="R42" i="24"/>
  <c r="R64" i="24" s="1"/>
  <c r="T42" i="24"/>
  <c r="T64" i="24" s="1"/>
  <c r="P42" i="24"/>
  <c r="P64" i="24" s="1"/>
  <c r="Q42" i="24"/>
  <c r="Q64" i="24" s="1"/>
  <c r="O42" i="24"/>
  <c r="O64" i="24" s="1"/>
  <c r="M42" i="24"/>
  <c r="M64" i="24" s="1"/>
  <c r="S42" i="24"/>
  <c r="S64" i="24" s="1"/>
  <c r="J42" i="24"/>
  <c r="J64" i="24" s="1"/>
  <c r="L42" i="24"/>
  <c r="L64" i="24" s="1"/>
  <c r="K42" i="24"/>
  <c r="K64" i="24" s="1"/>
  <c r="N42" i="24"/>
  <c r="N64" i="24" s="1"/>
  <c r="H42" i="24"/>
  <c r="H64" i="24" s="1"/>
  <c r="I42" i="24"/>
  <c r="I64" i="24" s="1"/>
  <c r="G42" i="24"/>
  <c r="I41" i="24"/>
  <c r="I63" i="24" s="1"/>
  <c r="R41" i="24"/>
  <c r="R63" i="24" s="1"/>
  <c r="M41" i="24"/>
  <c r="M63" i="24" s="1"/>
  <c r="J41" i="24"/>
  <c r="J63" i="24" s="1"/>
  <c r="Q41" i="24"/>
  <c r="Q63" i="24" s="1"/>
  <c r="V41" i="24"/>
  <c r="V63" i="24" s="1"/>
  <c r="N41" i="24"/>
  <c r="N63" i="24" s="1"/>
  <c r="L41" i="24"/>
  <c r="L63" i="24" s="1"/>
  <c r="H41" i="24"/>
  <c r="H63" i="24" s="1"/>
  <c r="G41" i="24"/>
  <c r="P41" i="24"/>
  <c r="P63" i="24" s="1"/>
  <c r="S41" i="24"/>
  <c r="S63" i="24" s="1"/>
  <c r="U41" i="24"/>
  <c r="U63" i="24" s="1"/>
  <c r="T41" i="24"/>
  <c r="T63" i="24" s="1"/>
  <c r="O41" i="24"/>
  <c r="O63" i="24" s="1"/>
  <c r="K41" i="24"/>
  <c r="K63" i="24" s="1"/>
  <c r="Q39" i="24"/>
  <c r="Q61" i="24" s="1"/>
  <c r="J39" i="24"/>
  <c r="J61" i="24" s="1"/>
  <c r="O39" i="24"/>
  <c r="O61" i="24" s="1"/>
  <c r="H39" i="24"/>
  <c r="H61" i="24" s="1"/>
  <c r="L39" i="24"/>
  <c r="L61" i="24" s="1"/>
  <c r="P39" i="24"/>
  <c r="P61" i="24" s="1"/>
  <c r="S39" i="24"/>
  <c r="S61" i="24" s="1"/>
  <c r="N39" i="24"/>
  <c r="N61" i="24" s="1"/>
  <c r="M39" i="24"/>
  <c r="M61" i="24" s="1"/>
  <c r="R39" i="24"/>
  <c r="R61" i="24" s="1"/>
  <c r="G39" i="24"/>
  <c r="K39" i="24"/>
  <c r="K61" i="24" s="1"/>
  <c r="I39" i="24"/>
  <c r="I61" i="24" s="1"/>
  <c r="L40" i="24"/>
  <c r="L62" i="24" s="1"/>
  <c r="V40" i="24"/>
  <c r="V62" i="24" s="1"/>
  <c r="S40" i="24"/>
  <c r="S62" i="24" s="1"/>
  <c r="O40" i="24"/>
  <c r="O62" i="24" s="1"/>
  <c r="M40" i="24"/>
  <c r="M62" i="24" s="1"/>
  <c r="K40" i="24"/>
  <c r="K62" i="24" s="1"/>
  <c r="I40" i="24"/>
  <c r="I62" i="24" s="1"/>
  <c r="H40" i="24"/>
  <c r="H62" i="24" s="1"/>
  <c r="J40" i="24"/>
  <c r="J62" i="24" s="1"/>
  <c r="N40" i="24"/>
  <c r="N62" i="24" s="1"/>
  <c r="P40" i="24"/>
  <c r="P62" i="24" s="1"/>
  <c r="W40" i="24"/>
  <c r="W62" i="24" s="1"/>
  <c r="Q40" i="24"/>
  <c r="Q62" i="24" s="1"/>
  <c r="G40" i="24"/>
  <c r="R40" i="24"/>
  <c r="R62" i="24" s="1"/>
  <c r="T40" i="24"/>
  <c r="T62" i="24" s="1"/>
  <c r="U40" i="24"/>
  <c r="U62" i="24" s="1"/>
  <c r="O38" i="24"/>
  <c r="O60" i="24" s="1"/>
  <c r="S38" i="24"/>
  <c r="S60" i="24" s="1"/>
  <c r="H38" i="24"/>
  <c r="H60" i="24" s="1"/>
  <c r="J38" i="24"/>
  <c r="J60" i="24" s="1"/>
  <c r="G38" i="24"/>
  <c r="L38" i="24"/>
  <c r="L60" i="24" s="1"/>
  <c r="M38" i="24"/>
  <c r="M60" i="24" s="1"/>
  <c r="R38" i="24"/>
  <c r="R60" i="24" s="1"/>
  <c r="V38" i="24"/>
  <c r="V60" i="24" s="1"/>
  <c r="P38" i="24"/>
  <c r="P60" i="24" s="1"/>
  <c r="N38" i="24"/>
  <c r="N60" i="24" s="1"/>
  <c r="K38" i="24"/>
  <c r="K60" i="24" s="1"/>
  <c r="U38" i="24"/>
  <c r="U60" i="24" s="1"/>
  <c r="Q38" i="24"/>
  <c r="Q60" i="24" s="1"/>
  <c r="W38" i="24"/>
  <c r="W60" i="24" s="1"/>
  <c r="I38" i="24"/>
  <c r="I60" i="24" s="1"/>
  <c r="T38" i="24"/>
  <c r="T60" i="24" s="1"/>
  <c r="L37" i="24"/>
  <c r="L59" i="24" s="1"/>
  <c r="R37" i="24"/>
  <c r="R59" i="24" s="1"/>
  <c r="G37" i="24"/>
  <c r="P37" i="24"/>
  <c r="P59" i="24" s="1"/>
  <c r="M37" i="24"/>
  <c r="M59" i="24" s="1"/>
  <c r="I37" i="24"/>
  <c r="I59" i="24" s="1"/>
  <c r="K37" i="24"/>
  <c r="K59" i="24" s="1"/>
  <c r="J37" i="24"/>
  <c r="J59" i="24" s="1"/>
  <c r="N37" i="24"/>
  <c r="N59" i="24" s="1"/>
  <c r="T37" i="24"/>
  <c r="T59" i="24" s="1"/>
  <c r="U37" i="24"/>
  <c r="U59" i="24" s="1"/>
  <c r="V37" i="24"/>
  <c r="V59" i="24" s="1"/>
  <c r="S37" i="24"/>
  <c r="S59" i="24" s="1"/>
  <c r="Q37" i="24"/>
  <c r="Q59" i="24" s="1"/>
  <c r="O37" i="24"/>
  <c r="O59" i="24" s="1"/>
  <c r="H37" i="24"/>
  <c r="H59" i="24" s="1"/>
  <c r="AC36" i="24"/>
  <c r="AC58" i="24" s="1"/>
  <c r="H36" i="24"/>
  <c r="H58" i="24" s="1"/>
  <c r="L36" i="24"/>
  <c r="L58" i="24" s="1"/>
  <c r="I36" i="24"/>
  <c r="I58" i="24" s="1"/>
  <c r="K36" i="24"/>
  <c r="K58" i="24" s="1"/>
  <c r="Q36" i="24"/>
  <c r="Q58" i="24" s="1"/>
  <c r="T36" i="24"/>
  <c r="T58" i="24" s="1"/>
  <c r="N36" i="24"/>
  <c r="N58" i="24" s="1"/>
  <c r="P36" i="24"/>
  <c r="P58" i="24" s="1"/>
  <c r="R36" i="24"/>
  <c r="R58" i="24" s="1"/>
  <c r="U36" i="24"/>
  <c r="U58" i="24" s="1"/>
  <c r="W36" i="24"/>
  <c r="W58" i="24" s="1"/>
  <c r="AA36" i="24"/>
  <c r="AA58" i="24" s="1"/>
  <c r="AB36" i="24"/>
  <c r="AB58" i="24" s="1"/>
  <c r="J36" i="24"/>
  <c r="J58" i="24" s="1"/>
  <c r="M36" i="24"/>
  <c r="M58" i="24" s="1"/>
  <c r="AD36" i="24"/>
  <c r="AD58" i="24" s="1"/>
  <c r="Y36" i="24"/>
  <c r="Y58" i="24" s="1"/>
  <c r="S36" i="24"/>
  <c r="S58" i="24" s="1"/>
  <c r="Z36" i="24"/>
  <c r="Z58" i="24" s="1"/>
  <c r="G36" i="24"/>
  <c r="X36" i="24"/>
  <c r="X58" i="24" s="1"/>
  <c r="V36" i="24"/>
  <c r="V58" i="24" s="1"/>
  <c r="O36" i="24"/>
  <c r="O58" i="24" s="1"/>
  <c r="L30" i="24"/>
  <c r="L52" i="24" s="1"/>
  <c r="H30" i="24"/>
  <c r="H52" i="24" s="1"/>
  <c r="N30" i="24"/>
  <c r="N52" i="24" s="1"/>
  <c r="Q30" i="24"/>
  <c r="Q52" i="24" s="1"/>
  <c r="U30" i="24"/>
  <c r="U52" i="24" s="1"/>
  <c r="K30" i="24"/>
  <c r="K52" i="24" s="1"/>
  <c r="P30" i="24"/>
  <c r="P52" i="24" s="1"/>
  <c r="I30" i="24"/>
  <c r="I52" i="24" s="1"/>
  <c r="M30" i="24"/>
  <c r="M52" i="24" s="1"/>
  <c r="O30" i="24"/>
  <c r="O52" i="24" s="1"/>
  <c r="R30" i="24"/>
  <c r="R52" i="24" s="1"/>
  <c r="W30" i="24"/>
  <c r="W52" i="24" s="1"/>
  <c r="Z30" i="24"/>
  <c r="Z52" i="24" s="1"/>
  <c r="AA30" i="24"/>
  <c r="AA52" i="24" s="1"/>
  <c r="S30" i="24"/>
  <c r="S52" i="24" s="1"/>
  <c r="T30" i="24"/>
  <c r="T52" i="24" s="1"/>
  <c r="V30" i="24"/>
  <c r="V52" i="24" s="1"/>
  <c r="G30" i="24"/>
  <c r="Y30" i="24"/>
  <c r="Y52" i="24" s="1"/>
  <c r="J30" i="24"/>
  <c r="J52" i="24" s="1"/>
  <c r="X30" i="24"/>
  <c r="X52" i="24" s="1"/>
  <c r="AB30" i="24"/>
  <c r="AB52" i="24" s="1"/>
  <c r="U35" i="24"/>
  <c r="U57" i="24" s="1"/>
  <c r="M35" i="24"/>
  <c r="M57" i="24" s="1"/>
  <c r="N35" i="24"/>
  <c r="N57" i="24" s="1"/>
  <c r="Y35" i="24"/>
  <c r="Y57" i="24" s="1"/>
  <c r="H35" i="24"/>
  <c r="H57" i="24" s="1"/>
  <c r="L35" i="24"/>
  <c r="L57" i="24" s="1"/>
  <c r="W35" i="24"/>
  <c r="W57" i="24" s="1"/>
  <c r="S35" i="24"/>
  <c r="S57" i="24" s="1"/>
  <c r="R35" i="24"/>
  <c r="R57" i="24" s="1"/>
  <c r="G35" i="24"/>
  <c r="V35" i="24"/>
  <c r="V57" i="24" s="1"/>
  <c r="T35" i="24"/>
  <c r="T57" i="24" s="1"/>
  <c r="K35" i="24"/>
  <c r="K57" i="24" s="1"/>
  <c r="Q35" i="24"/>
  <c r="Q57" i="24" s="1"/>
  <c r="O35" i="24"/>
  <c r="O57" i="24" s="1"/>
  <c r="J35" i="24"/>
  <c r="J57" i="24" s="1"/>
  <c r="I35" i="24"/>
  <c r="I57" i="24" s="1"/>
  <c r="P35" i="24"/>
  <c r="P57" i="24" s="1"/>
  <c r="X35" i="24"/>
  <c r="X57" i="24" s="1"/>
  <c r="Q34" i="24"/>
  <c r="Q56" i="24" s="1"/>
  <c r="O34" i="24"/>
  <c r="O56" i="24" s="1"/>
  <c r="M34" i="24"/>
  <c r="M56" i="24" s="1"/>
  <c r="U34" i="24"/>
  <c r="U56" i="24" s="1"/>
  <c r="V34" i="24"/>
  <c r="V56" i="24" s="1"/>
  <c r="J34" i="24"/>
  <c r="J56" i="24" s="1"/>
  <c r="G34" i="24"/>
  <c r="H34" i="24"/>
  <c r="H56" i="24" s="1"/>
  <c r="P34" i="24"/>
  <c r="P56" i="24" s="1"/>
  <c r="T34" i="24"/>
  <c r="T56" i="24" s="1"/>
  <c r="I34" i="24"/>
  <c r="I56" i="24" s="1"/>
  <c r="L34" i="24"/>
  <c r="L56" i="24" s="1"/>
  <c r="S34" i="24"/>
  <c r="S56" i="24" s="1"/>
  <c r="N34" i="24"/>
  <c r="N56" i="24" s="1"/>
  <c r="K34" i="24"/>
  <c r="K56" i="24" s="1"/>
  <c r="R34" i="24"/>
  <c r="R56" i="24" s="1"/>
  <c r="N33" i="24"/>
  <c r="N55" i="24" s="1"/>
  <c r="T33" i="24"/>
  <c r="T55" i="24" s="1"/>
  <c r="Q33" i="24"/>
  <c r="Q55" i="24" s="1"/>
  <c r="G33" i="24"/>
  <c r="J33" i="24"/>
  <c r="J55" i="24" s="1"/>
  <c r="I33" i="24"/>
  <c r="I55" i="24" s="1"/>
  <c r="H33" i="24"/>
  <c r="H55" i="24" s="1"/>
  <c r="L33" i="24"/>
  <c r="L55" i="24" s="1"/>
  <c r="P33" i="24"/>
  <c r="P55" i="24" s="1"/>
  <c r="U33" i="24"/>
  <c r="U55" i="24" s="1"/>
  <c r="S33" i="24"/>
  <c r="S55" i="24" s="1"/>
  <c r="O33" i="24"/>
  <c r="O55" i="24" s="1"/>
  <c r="M33" i="24"/>
  <c r="M55" i="24" s="1"/>
  <c r="K33" i="24"/>
  <c r="K55" i="24" s="1"/>
  <c r="R33" i="24"/>
  <c r="R55" i="24" s="1"/>
  <c r="R32" i="24"/>
  <c r="R54" i="24" s="1"/>
  <c r="J32" i="24"/>
  <c r="J54" i="24" s="1"/>
  <c r="N32" i="24"/>
  <c r="N54" i="24" s="1"/>
  <c r="T32" i="24"/>
  <c r="T54" i="24" s="1"/>
  <c r="M32" i="24"/>
  <c r="M54" i="24" s="1"/>
  <c r="S32" i="24"/>
  <c r="S54" i="24" s="1"/>
  <c r="P32" i="24"/>
  <c r="P54" i="24" s="1"/>
  <c r="K32" i="24"/>
  <c r="K54" i="24" s="1"/>
  <c r="H32" i="24"/>
  <c r="H54" i="24" s="1"/>
  <c r="G32" i="24"/>
  <c r="I32" i="24"/>
  <c r="I54" i="24" s="1"/>
  <c r="U32" i="24"/>
  <c r="U54" i="24" s="1"/>
  <c r="Q32" i="24"/>
  <c r="Q54" i="24" s="1"/>
  <c r="O32" i="24"/>
  <c r="O54" i="24" s="1"/>
  <c r="L32" i="24"/>
  <c r="L54" i="24" s="1"/>
  <c r="P31" i="24"/>
  <c r="P53" i="24" s="1"/>
  <c r="I31" i="24"/>
  <c r="I53" i="24" s="1"/>
  <c r="K31" i="24"/>
  <c r="K53" i="24" s="1"/>
  <c r="M31" i="24"/>
  <c r="M53" i="24" s="1"/>
  <c r="O31" i="24"/>
  <c r="O53" i="24" s="1"/>
  <c r="Q31" i="24"/>
  <c r="Q53" i="24" s="1"/>
  <c r="T31" i="24"/>
  <c r="T53" i="24" s="1"/>
  <c r="G31" i="24"/>
  <c r="J31" i="24"/>
  <c r="J53" i="24" s="1"/>
  <c r="L31" i="24"/>
  <c r="L53" i="24" s="1"/>
  <c r="S31" i="24"/>
  <c r="S53" i="24" s="1"/>
  <c r="U31" i="24"/>
  <c r="U53" i="24" s="1"/>
  <c r="R31" i="24"/>
  <c r="R53" i="24" s="1"/>
  <c r="N31" i="24"/>
  <c r="N53" i="24" s="1"/>
  <c r="H31" i="24"/>
  <c r="H53" i="24" s="1"/>
  <c r="K29" i="24"/>
  <c r="K51" i="24" s="1"/>
  <c r="R29" i="24"/>
  <c r="R51" i="24" s="1"/>
  <c r="H29" i="24"/>
  <c r="H51" i="24" s="1"/>
  <c r="L29" i="24"/>
  <c r="L51" i="24" s="1"/>
  <c r="O29" i="24"/>
  <c r="O51" i="24" s="1"/>
  <c r="S29" i="24"/>
  <c r="S51" i="24" s="1"/>
  <c r="I29" i="24"/>
  <c r="I51" i="24" s="1"/>
  <c r="T29" i="24"/>
  <c r="T51" i="24" s="1"/>
  <c r="M29" i="24"/>
  <c r="M51" i="24" s="1"/>
  <c r="G29" i="24"/>
  <c r="N29" i="24"/>
  <c r="N51" i="24" s="1"/>
  <c r="P29" i="24"/>
  <c r="P51" i="24" s="1"/>
  <c r="J29" i="24"/>
  <c r="J51" i="24" s="1"/>
  <c r="U29" i="24"/>
  <c r="U51" i="24" s="1"/>
  <c r="Q29" i="24"/>
  <c r="Q51" i="24" s="1"/>
  <c r="U28" i="24"/>
  <c r="U50" i="24" s="1"/>
  <c r="Q28" i="24"/>
  <c r="Q50" i="24" s="1"/>
  <c r="V28" i="24"/>
  <c r="V50" i="24" s="1"/>
  <c r="S28" i="24"/>
  <c r="S50" i="24" s="1"/>
  <c r="P28" i="24"/>
  <c r="P50" i="24" s="1"/>
  <c r="H28" i="24"/>
  <c r="H50" i="24" s="1"/>
  <c r="O28" i="24"/>
  <c r="O50" i="24" s="1"/>
  <c r="N28" i="24"/>
  <c r="N50" i="24" s="1"/>
  <c r="G28" i="24"/>
  <c r="K28" i="24"/>
  <c r="K50" i="24" s="1"/>
  <c r="L28" i="24"/>
  <c r="L50" i="24" s="1"/>
  <c r="J28" i="24"/>
  <c r="J50" i="24" s="1"/>
  <c r="M28" i="24"/>
  <c r="M50" i="24" s="1"/>
  <c r="I28" i="24"/>
  <c r="I50" i="24" s="1"/>
  <c r="T28" i="24"/>
  <c r="T50" i="24" s="1"/>
  <c r="R28" i="24"/>
  <c r="R50" i="24" s="1"/>
  <c r="Q27" i="24"/>
  <c r="Q49" i="24" s="1"/>
  <c r="O27" i="24"/>
  <c r="O49" i="24" s="1"/>
  <c r="P27" i="24"/>
  <c r="P49" i="24" s="1"/>
  <c r="J27" i="24"/>
  <c r="J49" i="24" s="1"/>
  <c r="H27" i="24"/>
  <c r="H49" i="24" s="1"/>
  <c r="K27" i="24"/>
  <c r="K49" i="24" s="1"/>
  <c r="L27" i="24"/>
  <c r="L49" i="24" s="1"/>
  <c r="G27" i="24"/>
  <c r="M27" i="24"/>
  <c r="M49" i="24" s="1"/>
  <c r="N27" i="24"/>
  <c r="N49" i="24" s="1"/>
  <c r="I27" i="24"/>
  <c r="I49" i="24" s="1"/>
  <c r="G26" i="24"/>
  <c r="J26" i="24"/>
  <c r="J48" i="24" s="1"/>
  <c r="H26" i="24"/>
  <c r="H48" i="24" s="1"/>
  <c r="L26" i="24"/>
  <c r="L48" i="24" s="1"/>
  <c r="M26" i="24"/>
  <c r="M48" i="24" s="1"/>
  <c r="I26" i="24"/>
  <c r="I48" i="24" s="1"/>
  <c r="K26" i="24"/>
  <c r="K48" i="24" s="1"/>
  <c r="O26" i="24"/>
  <c r="O48" i="24" s="1"/>
  <c r="Q26" i="24"/>
  <c r="Q48" i="24" s="1"/>
  <c r="N26" i="24"/>
  <c r="N48" i="24" s="1"/>
  <c r="P26" i="24"/>
  <c r="P48" i="24" s="1"/>
  <c r="J25" i="24"/>
  <c r="J47" i="24" s="1"/>
  <c r="G25" i="24"/>
  <c r="K25" i="24"/>
  <c r="K47" i="24" s="1"/>
  <c r="L25" i="24"/>
  <c r="L47" i="24" s="1"/>
  <c r="R25" i="24"/>
  <c r="R47" i="24" s="1"/>
  <c r="Q25" i="24"/>
  <c r="Q47" i="24" s="1"/>
  <c r="O25" i="24"/>
  <c r="O47" i="24" s="1"/>
  <c r="N25" i="24"/>
  <c r="N47" i="24" s="1"/>
  <c r="I25" i="24"/>
  <c r="I47" i="24" s="1"/>
  <c r="P25" i="24"/>
  <c r="P47" i="24" s="1"/>
  <c r="M25" i="24"/>
  <c r="M47" i="24" s="1"/>
  <c r="H25" i="24"/>
  <c r="H47" i="24" s="1"/>
  <c r="P24" i="24"/>
  <c r="P46" i="24" s="1"/>
  <c r="O24" i="24"/>
  <c r="O46" i="24" s="1"/>
  <c r="H24" i="24"/>
  <c r="H46" i="24" s="1"/>
  <c r="I24" i="24"/>
  <c r="I46" i="24" s="1"/>
  <c r="M24" i="24"/>
  <c r="M46" i="24" s="1"/>
  <c r="R24" i="24"/>
  <c r="R46" i="24" s="1"/>
  <c r="U24" i="24"/>
  <c r="U46" i="24" s="1"/>
  <c r="L24" i="24"/>
  <c r="L46" i="24" s="1"/>
  <c r="W24" i="24"/>
  <c r="W46" i="24" s="1"/>
  <c r="K24" i="24"/>
  <c r="K46" i="24" s="1"/>
  <c r="N24" i="24"/>
  <c r="N46" i="24" s="1"/>
  <c r="Q24" i="24"/>
  <c r="Q46" i="24" s="1"/>
  <c r="T24" i="24"/>
  <c r="T46" i="24" s="1"/>
  <c r="J24" i="24"/>
  <c r="J46" i="24" s="1"/>
  <c r="G24" i="24"/>
  <c r="S24" i="24"/>
  <c r="S46" i="24" s="1"/>
  <c r="V24" i="24"/>
  <c r="V46" i="24" s="1"/>
  <c r="G24" i="23"/>
  <c r="Q24" i="23"/>
  <c r="Q46" i="23" s="1"/>
  <c r="O24" i="23"/>
  <c r="O46" i="23" s="1"/>
  <c r="N24" i="23"/>
  <c r="N46" i="23" s="1"/>
  <c r="M24" i="23"/>
  <c r="M46" i="23" s="1"/>
  <c r="L24" i="23"/>
  <c r="L46" i="23" s="1"/>
  <c r="K24" i="23"/>
  <c r="K46" i="23" s="1"/>
  <c r="J24" i="23"/>
  <c r="J46" i="23" s="1"/>
  <c r="I24" i="23"/>
  <c r="I46" i="23" s="1"/>
  <c r="H24" i="23"/>
  <c r="H46" i="23" s="1"/>
  <c r="R24" i="23"/>
  <c r="R46" i="23" s="1"/>
  <c r="P24" i="23"/>
  <c r="P46" i="23" s="1"/>
  <c r="T24" i="23"/>
  <c r="T46" i="23" s="1"/>
  <c r="U24" i="23"/>
  <c r="U46" i="23" s="1"/>
  <c r="S24" i="23"/>
  <c r="S46" i="23" s="1"/>
  <c r="C765" i="15"/>
  <c r="C720" i="15"/>
  <c r="C686" i="15"/>
  <c r="C649" i="15"/>
  <c r="C613" i="15"/>
  <c r="C572" i="15"/>
  <c r="C530" i="15"/>
  <c r="C489" i="15"/>
  <c r="C451" i="15"/>
  <c r="C406" i="15"/>
  <c r="F24" i="23"/>
  <c r="G46" i="23"/>
  <c r="F46" i="23" s="1"/>
  <c r="O35" i="23"/>
  <c r="O57" i="23" s="1"/>
  <c r="S35" i="23"/>
  <c r="S57" i="23" s="1"/>
  <c r="P35" i="23"/>
  <c r="P57" i="23" s="1"/>
  <c r="V35" i="23"/>
  <c r="V57" i="23" s="1"/>
  <c r="M35" i="23"/>
  <c r="M57" i="23" s="1"/>
  <c r="W35" i="23"/>
  <c r="W57" i="23" s="1"/>
  <c r="U35" i="23"/>
  <c r="U57" i="23" s="1"/>
  <c r="I35" i="23"/>
  <c r="I57" i="23" s="1"/>
  <c r="K35" i="23"/>
  <c r="K57" i="23" s="1"/>
  <c r="R35" i="23"/>
  <c r="R57" i="23" s="1"/>
  <c r="Q35" i="23"/>
  <c r="Q57" i="23" s="1"/>
  <c r="T35" i="23"/>
  <c r="T57" i="23" s="1"/>
  <c r="N35" i="23"/>
  <c r="N57" i="23" s="1"/>
  <c r="L35" i="23"/>
  <c r="L57" i="23" s="1"/>
  <c r="J35" i="23"/>
  <c r="J57" i="23" s="1"/>
  <c r="H35" i="23"/>
  <c r="H57" i="23" s="1"/>
  <c r="G35" i="23"/>
  <c r="T43" i="23"/>
  <c r="T65" i="23" s="1"/>
  <c r="P43" i="23"/>
  <c r="P65" i="23" s="1"/>
  <c r="M43" i="23"/>
  <c r="M65" i="23" s="1"/>
  <c r="K43" i="23"/>
  <c r="K65" i="23" s="1"/>
  <c r="J43" i="23"/>
  <c r="J65" i="23" s="1"/>
  <c r="V43" i="23"/>
  <c r="V65" i="23" s="1"/>
  <c r="U43" i="23"/>
  <c r="U65" i="23" s="1"/>
  <c r="S43" i="23"/>
  <c r="S65" i="23" s="1"/>
  <c r="R43" i="23"/>
  <c r="R65" i="23" s="1"/>
  <c r="Q43" i="23"/>
  <c r="Q65" i="23" s="1"/>
  <c r="G43" i="23"/>
  <c r="N43" i="23"/>
  <c r="N65" i="23" s="1"/>
  <c r="L43" i="23"/>
  <c r="L65" i="23" s="1"/>
  <c r="I43" i="23"/>
  <c r="I65" i="23" s="1"/>
  <c r="H43" i="23"/>
  <c r="H65" i="23" s="1"/>
  <c r="O43" i="23"/>
  <c r="O65" i="23" s="1"/>
  <c r="M42" i="23"/>
  <c r="M64" i="23" s="1"/>
  <c r="K42" i="23"/>
  <c r="K64" i="23" s="1"/>
  <c r="L42" i="23"/>
  <c r="L64" i="23" s="1"/>
  <c r="H42" i="23"/>
  <c r="H64" i="23" s="1"/>
  <c r="I42" i="23"/>
  <c r="I64" i="23" s="1"/>
  <c r="J42" i="23"/>
  <c r="J64" i="23" s="1"/>
  <c r="G42" i="23"/>
  <c r="N41" i="23"/>
  <c r="N63" i="23" s="1"/>
  <c r="J41" i="23"/>
  <c r="J63" i="23" s="1"/>
  <c r="Q41" i="23"/>
  <c r="Q63" i="23" s="1"/>
  <c r="O41" i="23"/>
  <c r="O63" i="23" s="1"/>
  <c r="R41" i="23"/>
  <c r="R63" i="23" s="1"/>
  <c r="K41" i="23"/>
  <c r="K63" i="23" s="1"/>
  <c r="L41" i="23"/>
  <c r="L63" i="23" s="1"/>
  <c r="P41" i="23"/>
  <c r="P63" i="23" s="1"/>
  <c r="S41" i="23"/>
  <c r="S63" i="23" s="1"/>
  <c r="T41" i="23"/>
  <c r="T63" i="23" s="1"/>
  <c r="U41" i="23"/>
  <c r="U63" i="23" s="1"/>
  <c r="G41" i="23"/>
  <c r="H41" i="23"/>
  <c r="H63" i="23" s="1"/>
  <c r="I41" i="23"/>
  <c r="I63" i="23" s="1"/>
  <c r="M41" i="23"/>
  <c r="M63" i="23" s="1"/>
  <c r="H40" i="23"/>
  <c r="H62" i="23" s="1"/>
  <c r="U40" i="23"/>
  <c r="U62" i="23" s="1"/>
  <c r="G40" i="23"/>
  <c r="N40" i="23"/>
  <c r="N62" i="23" s="1"/>
  <c r="L40" i="23"/>
  <c r="L62" i="23" s="1"/>
  <c r="T40" i="23"/>
  <c r="T62" i="23" s="1"/>
  <c r="S40" i="23"/>
  <c r="S62" i="23" s="1"/>
  <c r="R40" i="23"/>
  <c r="R62" i="23" s="1"/>
  <c r="Q40" i="23"/>
  <c r="Q62" i="23" s="1"/>
  <c r="K40" i="23"/>
  <c r="K62" i="23" s="1"/>
  <c r="P40" i="23"/>
  <c r="P62" i="23" s="1"/>
  <c r="O40" i="23"/>
  <c r="O62" i="23" s="1"/>
  <c r="I40" i="23"/>
  <c r="I62" i="23" s="1"/>
  <c r="M40" i="23"/>
  <c r="M62" i="23" s="1"/>
  <c r="J40" i="23"/>
  <c r="J62" i="23" s="1"/>
  <c r="R39" i="23"/>
  <c r="R61" i="23" s="1"/>
  <c r="U39" i="23"/>
  <c r="U61" i="23" s="1"/>
  <c r="T39" i="23"/>
  <c r="T61" i="23" s="1"/>
  <c r="S39" i="23"/>
  <c r="S61" i="23" s="1"/>
  <c r="N39" i="23"/>
  <c r="N61" i="23" s="1"/>
  <c r="M39" i="23"/>
  <c r="M61" i="23" s="1"/>
  <c r="L39" i="23"/>
  <c r="L61" i="23" s="1"/>
  <c r="K39" i="23"/>
  <c r="K61" i="23" s="1"/>
  <c r="J39" i="23"/>
  <c r="J61" i="23" s="1"/>
  <c r="G39" i="23"/>
  <c r="H39" i="23"/>
  <c r="H61" i="23" s="1"/>
  <c r="I39" i="23"/>
  <c r="I61" i="23" s="1"/>
  <c r="O39" i="23"/>
  <c r="O61" i="23" s="1"/>
  <c r="Q39" i="23"/>
  <c r="Q61" i="23" s="1"/>
  <c r="P39" i="23"/>
  <c r="P61" i="23" s="1"/>
  <c r="I38" i="23"/>
  <c r="I60" i="23" s="1"/>
  <c r="T38" i="23"/>
  <c r="T60" i="23" s="1"/>
  <c r="X38" i="23"/>
  <c r="X60" i="23" s="1"/>
  <c r="L38" i="23"/>
  <c r="L60" i="23" s="1"/>
  <c r="M38" i="23"/>
  <c r="M60" i="23" s="1"/>
  <c r="N38" i="23"/>
  <c r="N60" i="23" s="1"/>
  <c r="O38" i="23"/>
  <c r="O60" i="23" s="1"/>
  <c r="P38" i="23"/>
  <c r="P60" i="23" s="1"/>
  <c r="G38" i="23"/>
  <c r="Q38" i="23"/>
  <c r="Q60" i="23" s="1"/>
  <c r="R38" i="23"/>
  <c r="R60" i="23" s="1"/>
  <c r="W38" i="23"/>
  <c r="W60" i="23" s="1"/>
  <c r="V38" i="23"/>
  <c r="V60" i="23" s="1"/>
  <c r="U38" i="23"/>
  <c r="U60" i="23" s="1"/>
  <c r="H38" i="23"/>
  <c r="H60" i="23" s="1"/>
  <c r="J38" i="23"/>
  <c r="J60" i="23" s="1"/>
  <c r="S38" i="23"/>
  <c r="S60" i="23" s="1"/>
  <c r="K38" i="23"/>
  <c r="K60" i="23" s="1"/>
  <c r="R37" i="23"/>
  <c r="R59" i="23" s="1"/>
  <c r="S37" i="23"/>
  <c r="S59" i="23" s="1"/>
  <c r="P37" i="23"/>
  <c r="P59" i="23" s="1"/>
  <c r="N37" i="23"/>
  <c r="N59" i="23" s="1"/>
  <c r="M37" i="23"/>
  <c r="M59" i="23" s="1"/>
  <c r="G37" i="23"/>
  <c r="L37" i="23"/>
  <c r="L59" i="23" s="1"/>
  <c r="Q37" i="23"/>
  <c r="Q59" i="23" s="1"/>
  <c r="T37" i="23"/>
  <c r="T59" i="23" s="1"/>
  <c r="K37" i="23"/>
  <c r="K59" i="23" s="1"/>
  <c r="O37" i="23"/>
  <c r="O59" i="23" s="1"/>
  <c r="H37" i="23"/>
  <c r="H59" i="23" s="1"/>
  <c r="I37" i="23"/>
  <c r="I59" i="23" s="1"/>
  <c r="J37" i="23"/>
  <c r="J59" i="23" s="1"/>
  <c r="J36" i="23"/>
  <c r="J58" i="23" s="1"/>
  <c r="G36" i="23"/>
  <c r="H36" i="23"/>
  <c r="H58" i="23" s="1"/>
  <c r="T36" i="23"/>
  <c r="T58" i="23" s="1"/>
  <c r="K36" i="23"/>
  <c r="K58" i="23" s="1"/>
  <c r="L36" i="23"/>
  <c r="L58" i="23" s="1"/>
  <c r="M36" i="23"/>
  <c r="M58" i="23" s="1"/>
  <c r="P36" i="23"/>
  <c r="P58" i="23" s="1"/>
  <c r="Q36" i="23"/>
  <c r="Q58" i="23" s="1"/>
  <c r="O36" i="23"/>
  <c r="O58" i="23" s="1"/>
  <c r="I36" i="23"/>
  <c r="I58" i="23" s="1"/>
  <c r="V36" i="23"/>
  <c r="V58" i="23" s="1"/>
  <c r="U36" i="23"/>
  <c r="U58" i="23" s="1"/>
  <c r="S36" i="23"/>
  <c r="S58" i="23" s="1"/>
  <c r="R36" i="23"/>
  <c r="R58" i="23" s="1"/>
  <c r="N36" i="23"/>
  <c r="N58" i="23" s="1"/>
  <c r="V34" i="23"/>
  <c r="V56" i="23" s="1"/>
  <c r="R34" i="23"/>
  <c r="R56" i="23" s="1"/>
  <c r="Q34" i="23"/>
  <c r="Q56" i="23" s="1"/>
  <c r="O34" i="23"/>
  <c r="O56" i="23" s="1"/>
  <c r="M34" i="23"/>
  <c r="M56" i="23" s="1"/>
  <c r="L34" i="23"/>
  <c r="L56" i="23" s="1"/>
  <c r="J34" i="23"/>
  <c r="J56" i="23" s="1"/>
  <c r="N34" i="23"/>
  <c r="N56" i="23" s="1"/>
  <c r="I34" i="23"/>
  <c r="I56" i="23" s="1"/>
  <c r="U34" i="23"/>
  <c r="U56" i="23" s="1"/>
  <c r="S34" i="23"/>
  <c r="S56" i="23" s="1"/>
  <c r="P34" i="23"/>
  <c r="P56" i="23" s="1"/>
  <c r="H34" i="23"/>
  <c r="H56" i="23" s="1"/>
  <c r="K34" i="23"/>
  <c r="K56" i="23" s="1"/>
  <c r="G34" i="23"/>
  <c r="T34" i="23"/>
  <c r="T56" i="23" s="1"/>
  <c r="J33" i="23"/>
  <c r="J55" i="23" s="1"/>
  <c r="M33" i="23"/>
  <c r="M55" i="23" s="1"/>
  <c r="N33" i="23"/>
  <c r="N55" i="23" s="1"/>
  <c r="I33" i="23"/>
  <c r="I55" i="23" s="1"/>
  <c r="G33" i="23"/>
  <c r="L33" i="23"/>
  <c r="L55" i="23" s="1"/>
  <c r="V33" i="23"/>
  <c r="V55" i="23" s="1"/>
  <c r="R33" i="23"/>
  <c r="R55" i="23" s="1"/>
  <c r="O33" i="23"/>
  <c r="O55" i="23" s="1"/>
  <c r="Q33" i="23"/>
  <c r="Q55" i="23" s="1"/>
  <c r="K33" i="23"/>
  <c r="K55" i="23" s="1"/>
  <c r="U33" i="23"/>
  <c r="U55" i="23" s="1"/>
  <c r="T33" i="23"/>
  <c r="T55" i="23" s="1"/>
  <c r="S33" i="23"/>
  <c r="S55" i="23" s="1"/>
  <c r="P33" i="23"/>
  <c r="P55" i="23" s="1"/>
  <c r="H33" i="23"/>
  <c r="H55" i="23" s="1"/>
  <c r="S32" i="23"/>
  <c r="S54" i="23" s="1"/>
  <c r="T32" i="23"/>
  <c r="T54" i="23" s="1"/>
  <c r="R32" i="23"/>
  <c r="R54" i="23" s="1"/>
  <c r="Q32" i="23"/>
  <c r="Q54" i="23" s="1"/>
  <c r="P32" i="23"/>
  <c r="P54" i="23" s="1"/>
  <c r="H32" i="23"/>
  <c r="H54" i="23" s="1"/>
  <c r="L32" i="23"/>
  <c r="L54" i="23" s="1"/>
  <c r="M32" i="23"/>
  <c r="M54" i="23" s="1"/>
  <c r="N32" i="23"/>
  <c r="N54" i="23" s="1"/>
  <c r="O32" i="23"/>
  <c r="O54" i="23" s="1"/>
  <c r="U32" i="23"/>
  <c r="U54" i="23" s="1"/>
  <c r="K32" i="23"/>
  <c r="K54" i="23" s="1"/>
  <c r="G32" i="23"/>
  <c r="J32" i="23"/>
  <c r="J54" i="23" s="1"/>
  <c r="I32" i="23"/>
  <c r="I54" i="23" s="1"/>
  <c r="V32" i="23"/>
  <c r="V54" i="23" s="1"/>
  <c r="O31" i="23"/>
  <c r="O53" i="23" s="1"/>
  <c r="T31" i="23"/>
  <c r="T53" i="23" s="1"/>
  <c r="G31" i="23"/>
  <c r="H31" i="23"/>
  <c r="H53" i="23" s="1"/>
  <c r="I31" i="23"/>
  <c r="I53" i="23" s="1"/>
  <c r="J31" i="23"/>
  <c r="J53" i="23" s="1"/>
  <c r="K31" i="23"/>
  <c r="K53" i="23" s="1"/>
  <c r="L31" i="23"/>
  <c r="L53" i="23" s="1"/>
  <c r="M31" i="23"/>
  <c r="M53" i="23" s="1"/>
  <c r="N31" i="23"/>
  <c r="N53" i="23" s="1"/>
  <c r="W31" i="23"/>
  <c r="W53" i="23" s="1"/>
  <c r="U31" i="23"/>
  <c r="U53" i="23" s="1"/>
  <c r="X31" i="23"/>
  <c r="X53" i="23" s="1"/>
  <c r="V31" i="23"/>
  <c r="V53" i="23" s="1"/>
  <c r="S31" i="23"/>
  <c r="S53" i="23" s="1"/>
  <c r="R31" i="23"/>
  <c r="R53" i="23" s="1"/>
  <c r="Q31" i="23"/>
  <c r="Q53" i="23" s="1"/>
  <c r="P31" i="23"/>
  <c r="P53" i="23" s="1"/>
  <c r="H30" i="23"/>
  <c r="H52" i="23" s="1"/>
  <c r="P30" i="23"/>
  <c r="P52" i="23" s="1"/>
  <c r="N30" i="23"/>
  <c r="N52" i="23" s="1"/>
  <c r="M30" i="23"/>
  <c r="M52" i="23" s="1"/>
  <c r="Q30" i="23"/>
  <c r="Q52" i="23" s="1"/>
  <c r="R30" i="23"/>
  <c r="R52" i="23" s="1"/>
  <c r="S30" i="23"/>
  <c r="S52" i="23" s="1"/>
  <c r="T30" i="23"/>
  <c r="T52" i="23" s="1"/>
  <c r="U30" i="23"/>
  <c r="U52" i="23" s="1"/>
  <c r="I30" i="23"/>
  <c r="I52" i="23" s="1"/>
  <c r="J30" i="23"/>
  <c r="J52" i="23" s="1"/>
  <c r="K30" i="23"/>
  <c r="K52" i="23" s="1"/>
  <c r="L30" i="23"/>
  <c r="L52" i="23" s="1"/>
  <c r="O30" i="23"/>
  <c r="O52" i="23" s="1"/>
  <c r="V30" i="23"/>
  <c r="V52" i="23" s="1"/>
  <c r="W30" i="23"/>
  <c r="W52" i="23" s="1"/>
  <c r="G30" i="23"/>
  <c r="X30" i="23"/>
  <c r="X52" i="23" s="1"/>
  <c r="Q29" i="23"/>
  <c r="Q51" i="23" s="1"/>
  <c r="J29" i="23"/>
  <c r="J51" i="23" s="1"/>
  <c r="P29" i="23"/>
  <c r="P51" i="23" s="1"/>
  <c r="R29" i="23"/>
  <c r="R51" i="23" s="1"/>
  <c r="G29" i="23"/>
  <c r="S29" i="23"/>
  <c r="S51" i="23" s="1"/>
  <c r="O29" i="23"/>
  <c r="O51" i="23" s="1"/>
  <c r="N29" i="23"/>
  <c r="N51" i="23" s="1"/>
  <c r="M29" i="23"/>
  <c r="M51" i="23" s="1"/>
  <c r="L29" i="23"/>
  <c r="L51" i="23" s="1"/>
  <c r="K29" i="23"/>
  <c r="K51" i="23" s="1"/>
  <c r="I29" i="23"/>
  <c r="I51" i="23" s="1"/>
  <c r="H29" i="23"/>
  <c r="H51" i="23" s="1"/>
  <c r="K27" i="23"/>
  <c r="K49" i="23" s="1"/>
  <c r="M27" i="23"/>
  <c r="M49" i="23" s="1"/>
  <c r="I27" i="23"/>
  <c r="I49" i="23" s="1"/>
  <c r="P27" i="23"/>
  <c r="P49" i="23" s="1"/>
  <c r="Q27" i="23"/>
  <c r="Q49" i="23" s="1"/>
  <c r="S27" i="23"/>
  <c r="S49" i="23" s="1"/>
  <c r="N27" i="23"/>
  <c r="N49" i="23" s="1"/>
  <c r="T27" i="23"/>
  <c r="T49" i="23" s="1"/>
  <c r="U27" i="23"/>
  <c r="U49" i="23" s="1"/>
  <c r="H27" i="23"/>
  <c r="H49" i="23" s="1"/>
  <c r="J27" i="23"/>
  <c r="J49" i="23" s="1"/>
  <c r="L27" i="23"/>
  <c r="L49" i="23" s="1"/>
  <c r="O27" i="23"/>
  <c r="O49" i="23" s="1"/>
  <c r="G27" i="23"/>
  <c r="R27" i="23"/>
  <c r="R49" i="23" s="1"/>
  <c r="T28" i="23"/>
  <c r="T50" i="23" s="1"/>
  <c r="J28" i="23"/>
  <c r="J50" i="23" s="1"/>
  <c r="L28" i="23"/>
  <c r="L50" i="23" s="1"/>
  <c r="P28" i="23"/>
  <c r="P50" i="23" s="1"/>
  <c r="Q28" i="23"/>
  <c r="Q50" i="23" s="1"/>
  <c r="G28" i="23"/>
  <c r="O28" i="23"/>
  <c r="O50" i="23" s="1"/>
  <c r="M28" i="23"/>
  <c r="M50" i="23" s="1"/>
  <c r="H28" i="23"/>
  <c r="H50" i="23" s="1"/>
  <c r="S28" i="23"/>
  <c r="S50" i="23" s="1"/>
  <c r="K28" i="23"/>
  <c r="K50" i="23" s="1"/>
  <c r="R28" i="23"/>
  <c r="R50" i="23" s="1"/>
  <c r="N28" i="23"/>
  <c r="N50" i="23" s="1"/>
  <c r="I28" i="23"/>
  <c r="I50" i="23" s="1"/>
  <c r="J26" i="23"/>
  <c r="J48" i="23" s="1"/>
  <c r="K26" i="23"/>
  <c r="K48" i="23" s="1"/>
  <c r="I26" i="23"/>
  <c r="I48" i="23" s="1"/>
  <c r="Q26" i="23"/>
  <c r="Q48" i="23" s="1"/>
  <c r="P26" i="23"/>
  <c r="P48" i="23" s="1"/>
  <c r="L26" i="23"/>
  <c r="L48" i="23" s="1"/>
  <c r="R26" i="23"/>
  <c r="R48" i="23" s="1"/>
  <c r="H26" i="23"/>
  <c r="H48" i="23" s="1"/>
  <c r="M26" i="23"/>
  <c r="M48" i="23" s="1"/>
  <c r="O26" i="23"/>
  <c r="O48" i="23" s="1"/>
  <c r="S26" i="23"/>
  <c r="S48" i="23" s="1"/>
  <c r="N26" i="23"/>
  <c r="N48" i="23" s="1"/>
  <c r="G26" i="23"/>
  <c r="P25" i="23"/>
  <c r="P47" i="23" s="1"/>
  <c r="Q25" i="23"/>
  <c r="Q47" i="23" s="1"/>
  <c r="O25" i="23"/>
  <c r="O47" i="23" s="1"/>
  <c r="N25" i="23"/>
  <c r="N47" i="23" s="1"/>
  <c r="M25" i="23"/>
  <c r="M47" i="23" s="1"/>
  <c r="L25" i="23"/>
  <c r="L47" i="23" s="1"/>
  <c r="K25" i="23"/>
  <c r="K47" i="23" s="1"/>
  <c r="J25" i="23"/>
  <c r="J47" i="23" s="1"/>
  <c r="I25" i="23"/>
  <c r="I47" i="23" s="1"/>
  <c r="H25" i="23"/>
  <c r="H47" i="23" s="1"/>
  <c r="G25" i="23"/>
  <c r="S35" i="22"/>
  <c r="S57" i="22" s="1"/>
  <c r="H35" i="22"/>
  <c r="H57" i="22" s="1"/>
  <c r="L35" i="22"/>
  <c r="L57" i="22" s="1"/>
  <c r="M35" i="22"/>
  <c r="M57" i="22" s="1"/>
  <c r="N35" i="22"/>
  <c r="N57" i="22" s="1"/>
  <c r="R35" i="22"/>
  <c r="R57" i="22" s="1"/>
  <c r="P35" i="22"/>
  <c r="P57" i="22" s="1"/>
  <c r="O35" i="22"/>
  <c r="O57" i="22" s="1"/>
  <c r="T35" i="22"/>
  <c r="T57" i="22" s="1"/>
  <c r="J35" i="22"/>
  <c r="J57" i="22" s="1"/>
  <c r="G35" i="22"/>
  <c r="I35" i="22"/>
  <c r="I57" i="22" s="1"/>
  <c r="Q35" i="22"/>
  <c r="Q57" i="22" s="1"/>
  <c r="K35" i="22"/>
  <c r="K57" i="22" s="1"/>
  <c r="M43" i="22"/>
  <c r="M65" i="22" s="1"/>
  <c r="V43" i="22"/>
  <c r="V65" i="22" s="1"/>
  <c r="O43" i="22"/>
  <c r="O65" i="22" s="1"/>
  <c r="T43" i="22"/>
  <c r="T65" i="22" s="1"/>
  <c r="H43" i="22"/>
  <c r="H65" i="22" s="1"/>
  <c r="G43" i="22"/>
  <c r="R43" i="22"/>
  <c r="R65" i="22" s="1"/>
  <c r="Q43" i="22"/>
  <c r="Q65" i="22" s="1"/>
  <c r="U43" i="22"/>
  <c r="U65" i="22" s="1"/>
  <c r="K43" i="22"/>
  <c r="K65" i="22" s="1"/>
  <c r="I43" i="22"/>
  <c r="I65" i="22" s="1"/>
  <c r="J43" i="22"/>
  <c r="J65" i="22" s="1"/>
  <c r="L43" i="22"/>
  <c r="L65" i="22" s="1"/>
  <c r="N43" i="22"/>
  <c r="N65" i="22" s="1"/>
  <c r="P43" i="22"/>
  <c r="P65" i="22" s="1"/>
  <c r="S43" i="22"/>
  <c r="S65" i="22" s="1"/>
  <c r="R42" i="22"/>
  <c r="R64" i="22" s="1"/>
  <c r="V42" i="22"/>
  <c r="V64" i="22" s="1"/>
  <c r="Y42" i="22"/>
  <c r="Y64" i="22" s="1"/>
  <c r="G42" i="22"/>
  <c r="P42" i="22"/>
  <c r="P64" i="22" s="1"/>
  <c r="X42" i="22"/>
  <c r="X64" i="22" s="1"/>
  <c r="O42" i="22"/>
  <c r="O64" i="22" s="1"/>
  <c r="AB42" i="22"/>
  <c r="AB64" i="22" s="1"/>
  <c r="Q42" i="22"/>
  <c r="Q64" i="22" s="1"/>
  <c r="N42" i="22"/>
  <c r="N64" i="22" s="1"/>
  <c r="K42" i="22"/>
  <c r="K64" i="22" s="1"/>
  <c r="I42" i="22"/>
  <c r="I64" i="22" s="1"/>
  <c r="W42" i="22"/>
  <c r="W64" i="22" s="1"/>
  <c r="T42" i="22"/>
  <c r="T64" i="22" s="1"/>
  <c r="Z42" i="22"/>
  <c r="Z64" i="22" s="1"/>
  <c r="AC42" i="22"/>
  <c r="AC64" i="22" s="1"/>
  <c r="AA42" i="22"/>
  <c r="AA64" i="22" s="1"/>
  <c r="J42" i="22"/>
  <c r="J64" i="22" s="1"/>
  <c r="H42" i="22"/>
  <c r="H64" i="22" s="1"/>
  <c r="AD42" i="22"/>
  <c r="AD64" i="22" s="1"/>
  <c r="S42" i="22"/>
  <c r="S64" i="22" s="1"/>
  <c r="AE42" i="22"/>
  <c r="AE64" i="22" s="1"/>
  <c r="U42" i="22"/>
  <c r="U64" i="22" s="1"/>
  <c r="L42" i="22"/>
  <c r="L64" i="22" s="1"/>
  <c r="M42" i="22"/>
  <c r="M64" i="22" s="1"/>
  <c r="N41" i="22"/>
  <c r="N63" i="22" s="1"/>
  <c r="G41" i="22"/>
  <c r="M41" i="22"/>
  <c r="M63" i="22" s="1"/>
  <c r="I41" i="22"/>
  <c r="I63" i="22" s="1"/>
  <c r="H41" i="22"/>
  <c r="H63" i="22" s="1"/>
  <c r="O41" i="22"/>
  <c r="O63" i="22" s="1"/>
  <c r="P41" i="22"/>
  <c r="P63" i="22" s="1"/>
  <c r="Q41" i="22"/>
  <c r="Q63" i="22" s="1"/>
  <c r="K41" i="22"/>
  <c r="K63" i="22" s="1"/>
  <c r="J41" i="22"/>
  <c r="J63" i="22" s="1"/>
  <c r="L41" i="22"/>
  <c r="L63" i="22" s="1"/>
  <c r="N40" i="22"/>
  <c r="N62" i="22" s="1"/>
  <c r="L40" i="22"/>
  <c r="L62" i="22" s="1"/>
  <c r="I40" i="22"/>
  <c r="I62" i="22" s="1"/>
  <c r="M40" i="22"/>
  <c r="M62" i="22" s="1"/>
  <c r="U40" i="22"/>
  <c r="U62" i="22" s="1"/>
  <c r="Z40" i="22"/>
  <c r="Z62" i="22" s="1"/>
  <c r="X40" i="22"/>
  <c r="X62" i="22" s="1"/>
  <c r="G40" i="22"/>
  <c r="Y40" i="22"/>
  <c r="Y62" i="22" s="1"/>
  <c r="R40" i="22"/>
  <c r="R62" i="22" s="1"/>
  <c r="K40" i="22"/>
  <c r="K62" i="22" s="1"/>
  <c r="T40" i="22"/>
  <c r="T62" i="22" s="1"/>
  <c r="W40" i="22"/>
  <c r="W62" i="22" s="1"/>
  <c r="J40" i="22"/>
  <c r="J62" i="22" s="1"/>
  <c r="H40" i="22"/>
  <c r="H62" i="22" s="1"/>
  <c r="V40" i="22"/>
  <c r="V62" i="22" s="1"/>
  <c r="S40" i="22"/>
  <c r="S62" i="22" s="1"/>
  <c r="Q40" i="22"/>
  <c r="Q62" i="22" s="1"/>
  <c r="P40" i="22"/>
  <c r="P62" i="22" s="1"/>
  <c r="O40" i="22"/>
  <c r="O62" i="22" s="1"/>
  <c r="O39" i="22"/>
  <c r="O61" i="22" s="1"/>
  <c r="T39" i="22"/>
  <c r="T61" i="22" s="1"/>
  <c r="G39" i="22"/>
  <c r="U39" i="22"/>
  <c r="U61" i="22" s="1"/>
  <c r="L39" i="22"/>
  <c r="L61" i="22" s="1"/>
  <c r="R39" i="22"/>
  <c r="R61" i="22" s="1"/>
  <c r="Q39" i="22"/>
  <c r="Q61" i="22" s="1"/>
  <c r="P39" i="22"/>
  <c r="P61" i="22" s="1"/>
  <c r="J39" i="22"/>
  <c r="J61" i="22" s="1"/>
  <c r="H39" i="22"/>
  <c r="H61" i="22" s="1"/>
  <c r="I39" i="22"/>
  <c r="I61" i="22" s="1"/>
  <c r="K39" i="22"/>
  <c r="K61" i="22" s="1"/>
  <c r="S39" i="22"/>
  <c r="S61" i="22" s="1"/>
  <c r="N39" i="22"/>
  <c r="N61" i="22" s="1"/>
  <c r="M39" i="22"/>
  <c r="M61" i="22" s="1"/>
  <c r="G38" i="22"/>
  <c r="I38" i="22"/>
  <c r="I60" i="22" s="1"/>
  <c r="Q38" i="22"/>
  <c r="Q60" i="22" s="1"/>
  <c r="M38" i="22"/>
  <c r="M60" i="22" s="1"/>
  <c r="V38" i="22"/>
  <c r="V60" i="22" s="1"/>
  <c r="H38" i="22"/>
  <c r="H60" i="22" s="1"/>
  <c r="J38" i="22"/>
  <c r="J60" i="22" s="1"/>
  <c r="L38" i="22"/>
  <c r="L60" i="22" s="1"/>
  <c r="S38" i="22"/>
  <c r="S60" i="22" s="1"/>
  <c r="N38" i="22"/>
  <c r="N60" i="22" s="1"/>
  <c r="U38" i="22"/>
  <c r="U60" i="22" s="1"/>
  <c r="T38" i="22"/>
  <c r="T60" i="22" s="1"/>
  <c r="O38" i="22"/>
  <c r="O60" i="22" s="1"/>
  <c r="P38" i="22"/>
  <c r="P60" i="22" s="1"/>
  <c r="R38" i="22"/>
  <c r="R60" i="22" s="1"/>
  <c r="K38" i="22"/>
  <c r="K60" i="22" s="1"/>
  <c r="H37" i="22"/>
  <c r="H59" i="22" s="1"/>
  <c r="S37" i="22"/>
  <c r="S59" i="22" s="1"/>
  <c r="G37" i="22"/>
  <c r="J37" i="22"/>
  <c r="J59" i="22" s="1"/>
  <c r="P37" i="22"/>
  <c r="P59" i="22" s="1"/>
  <c r="L37" i="22"/>
  <c r="L59" i="22" s="1"/>
  <c r="O37" i="22"/>
  <c r="O59" i="22" s="1"/>
  <c r="R37" i="22"/>
  <c r="R59" i="22" s="1"/>
  <c r="N37" i="22"/>
  <c r="N59" i="22" s="1"/>
  <c r="K37" i="22"/>
  <c r="K59" i="22" s="1"/>
  <c r="W37" i="22"/>
  <c r="W59" i="22" s="1"/>
  <c r="I37" i="22"/>
  <c r="I59" i="22" s="1"/>
  <c r="Q37" i="22"/>
  <c r="Q59" i="22" s="1"/>
  <c r="V37" i="22"/>
  <c r="V59" i="22" s="1"/>
  <c r="T37" i="22"/>
  <c r="T59" i="22" s="1"/>
  <c r="U37" i="22"/>
  <c r="U59" i="22" s="1"/>
  <c r="M37" i="22"/>
  <c r="M59" i="22" s="1"/>
  <c r="N36" i="22"/>
  <c r="N58" i="22" s="1"/>
  <c r="I36" i="22"/>
  <c r="I58" i="22" s="1"/>
  <c r="V36" i="22"/>
  <c r="V58" i="22" s="1"/>
  <c r="T36" i="22"/>
  <c r="T58" i="22" s="1"/>
  <c r="R36" i="22"/>
  <c r="R58" i="22" s="1"/>
  <c r="K36" i="22"/>
  <c r="K58" i="22" s="1"/>
  <c r="M36" i="22"/>
  <c r="M58" i="22" s="1"/>
  <c r="L36" i="22"/>
  <c r="L58" i="22" s="1"/>
  <c r="H36" i="22"/>
  <c r="H58" i="22" s="1"/>
  <c r="J36" i="22"/>
  <c r="J58" i="22" s="1"/>
  <c r="P36" i="22"/>
  <c r="P58" i="22" s="1"/>
  <c r="Q36" i="22"/>
  <c r="Q58" i="22" s="1"/>
  <c r="O36" i="22"/>
  <c r="O58" i="22" s="1"/>
  <c r="W36" i="22"/>
  <c r="W58" i="22" s="1"/>
  <c r="S36" i="22"/>
  <c r="S58" i="22" s="1"/>
  <c r="G36" i="22"/>
  <c r="U36" i="22"/>
  <c r="U58" i="22" s="1"/>
  <c r="Q32" i="22"/>
  <c r="Q54" i="22" s="1"/>
  <c r="O32" i="22"/>
  <c r="O54" i="22" s="1"/>
  <c r="M32" i="22"/>
  <c r="M54" i="22" s="1"/>
  <c r="K32" i="22"/>
  <c r="K54" i="22" s="1"/>
  <c r="H32" i="22"/>
  <c r="H54" i="22" s="1"/>
  <c r="I32" i="22"/>
  <c r="I54" i="22" s="1"/>
  <c r="V32" i="22"/>
  <c r="V54" i="22" s="1"/>
  <c r="N32" i="22"/>
  <c r="N54" i="22" s="1"/>
  <c r="P32" i="22"/>
  <c r="P54" i="22" s="1"/>
  <c r="T32" i="22"/>
  <c r="T54" i="22" s="1"/>
  <c r="G32" i="22"/>
  <c r="L32" i="22"/>
  <c r="L54" i="22" s="1"/>
  <c r="S32" i="22"/>
  <c r="S54" i="22" s="1"/>
  <c r="W32" i="22"/>
  <c r="W54" i="22" s="1"/>
  <c r="U32" i="22"/>
  <c r="U54" i="22" s="1"/>
  <c r="R32" i="22"/>
  <c r="R54" i="22" s="1"/>
  <c r="J32" i="22"/>
  <c r="J54" i="22" s="1"/>
  <c r="P34" i="22"/>
  <c r="P56" i="22" s="1"/>
  <c r="J34" i="22"/>
  <c r="J56" i="22" s="1"/>
  <c r="Q34" i="22"/>
  <c r="Q56" i="22" s="1"/>
  <c r="L34" i="22"/>
  <c r="L56" i="22" s="1"/>
  <c r="O34" i="22"/>
  <c r="O56" i="22" s="1"/>
  <c r="N34" i="22"/>
  <c r="N56" i="22" s="1"/>
  <c r="M34" i="22"/>
  <c r="M56" i="22" s="1"/>
  <c r="U34" i="22"/>
  <c r="U56" i="22" s="1"/>
  <c r="I34" i="22"/>
  <c r="I56" i="22" s="1"/>
  <c r="V34" i="22"/>
  <c r="V56" i="22" s="1"/>
  <c r="R34" i="22"/>
  <c r="R56" i="22" s="1"/>
  <c r="K34" i="22"/>
  <c r="K56" i="22" s="1"/>
  <c r="S34" i="22"/>
  <c r="S56" i="22" s="1"/>
  <c r="H34" i="22"/>
  <c r="H56" i="22" s="1"/>
  <c r="T34" i="22"/>
  <c r="T56" i="22" s="1"/>
  <c r="G34" i="22"/>
  <c r="N33" i="22"/>
  <c r="N55" i="22" s="1"/>
  <c r="O33" i="22"/>
  <c r="O55" i="22" s="1"/>
  <c r="K33" i="22"/>
  <c r="K55" i="22" s="1"/>
  <c r="P33" i="22"/>
  <c r="P55" i="22" s="1"/>
  <c r="R33" i="22"/>
  <c r="R55" i="22" s="1"/>
  <c r="M33" i="22"/>
  <c r="M55" i="22" s="1"/>
  <c r="I33" i="22"/>
  <c r="I55" i="22" s="1"/>
  <c r="G33" i="22"/>
  <c r="H33" i="22"/>
  <c r="H55" i="22" s="1"/>
  <c r="T33" i="22"/>
  <c r="T55" i="22" s="1"/>
  <c r="Q33" i="22"/>
  <c r="Q55" i="22" s="1"/>
  <c r="S33" i="22"/>
  <c r="S55" i="22" s="1"/>
  <c r="J33" i="22"/>
  <c r="J55" i="22" s="1"/>
  <c r="S29" i="22"/>
  <c r="S51" i="22" s="1"/>
  <c r="L29" i="22"/>
  <c r="L51" i="22" s="1"/>
  <c r="I29" i="22"/>
  <c r="I51" i="22" s="1"/>
  <c r="J29" i="22"/>
  <c r="J51" i="22" s="1"/>
  <c r="K29" i="22"/>
  <c r="K51" i="22" s="1"/>
  <c r="M29" i="22"/>
  <c r="M51" i="22" s="1"/>
  <c r="Q29" i="22"/>
  <c r="Q51" i="22" s="1"/>
  <c r="O29" i="22"/>
  <c r="O51" i="22" s="1"/>
  <c r="P29" i="22"/>
  <c r="P51" i="22" s="1"/>
  <c r="R29" i="22"/>
  <c r="R51" i="22" s="1"/>
  <c r="N29" i="22"/>
  <c r="N51" i="22" s="1"/>
  <c r="G29" i="22"/>
  <c r="H29" i="22"/>
  <c r="H51" i="22" s="1"/>
  <c r="O31" i="22"/>
  <c r="O53" i="22" s="1"/>
  <c r="P31" i="22"/>
  <c r="P53" i="22" s="1"/>
  <c r="H31" i="22"/>
  <c r="H53" i="22" s="1"/>
  <c r="J31" i="22"/>
  <c r="J53" i="22" s="1"/>
  <c r="L31" i="22"/>
  <c r="L53" i="22" s="1"/>
  <c r="N31" i="22"/>
  <c r="N53" i="22" s="1"/>
  <c r="Q31" i="22"/>
  <c r="Q53" i="22" s="1"/>
  <c r="R31" i="22"/>
  <c r="R53" i="22" s="1"/>
  <c r="I31" i="22"/>
  <c r="I53" i="22" s="1"/>
  <c r="G31" i="22"/>
  <c r="M31" i="22"/>
  <c r="M53" i="22" s="1"/>
  <c r="S31" i="22"/>
  <c r="S53" i="22" s="1"/>
  <c r="K31" i="22"/>
  <c r="K53" i="22" s="1"/>
  <c r="T31" i="22"/>
  <c r="T53" i="22" s="1"/>
  <c r="J30" i="22"/>
  <c r="J52" i="22" s="1"/>
  <c r="Q30" i="22"/>
  <c r="Q52" i="22" s="1"/>
  <c r="P30" i="22"/>
  <c r="P52" i="22" s="1"/>
  <c r="V30" i="22"/>
  <c r="V52" i="22" s="1"/>
  <c r="R30" i="22"/>
  <c r="R52" i="22" s="1"/>
  <c r="G30" i="22"/>
  <c r="T30" i="22"/>
  <c r="T52" i="22" s="1"/>
  <c r="M30" i="22"/>
  <c r="M52" i="22" s="1"/>
  <c r="S30" i="22"/>
  <c r="S52" i="22" s="1"/>
  <c r="K30" i="22"/>
  <c r="K52" i="22" s="1"/>
  <c r="I30" i="22"/>
  <c r="I52" i="22" s="1"/>
  <c r="L30" i="22"/>
  <c r="L52" i="22" s="1"/>
  <c r="N30" i="22"/>
  <c r="N52" i="22" s="1"/>
  <c r="U30" i="22"/>
  <c r="U52" i="22" s="1"/>
  <c r="O30" i="22"/>
  <c r="O52" i="22" s="1"/>
  <c r="H30" i="22"/>
  <c r="H52" i="22" s="1"/>
  <c r="U28" i="22"/>
  <c r="U50" i="22" s="1"/>
  <c r="G28" i="22"/>
  <c r="S28" i="22"/>
  <c r="S50" i="22" s="1"/>
  <c r="V28" i="22"/>
  <c r="V50" i="22" s="1"/>
  <c r="I28" i="22"/>
  <c r="I50" i="22" s="1"/>
  <c r="K28" i="22"/>
  <c r="K50" i="22" s="1"/>
  <c r="R28" i="22"/>
  <c r="R50" i="22" s="1"/>
  <c r="T28" i="22"/>
  <c r="T50" i="22" s="1"/>
  <c r="P28" i="22"/>
  <c r="P50" i="22" s="1"/>
  <c r="N28" i="22"/>
  <c r="N50" i="22" s="1"/>
  <c r="M28" i="22"/>
  <c r="M50" i="22" s="1"/>
  <c r="H28" i="22"/>
  <c r="H50" i="22" s="1"/>
  <c r="Q28" i="22"/>
  <c r="Q50" i="22" s="1"/>
  <c r="O28" i="22"/>
  <c r="O50" i="22" s="1"/>
  <c r="J28" i="22"/>
  <c r="J50" i="22" s="1"/>
  <c r="L28" i="22"/>
  <c r="L50" i="22" s="1"/>
  <c r="S27" i="22"/>
  <c r="S49" i="22" s="1"/>
  <c r="V27" i="22"/>
  <c r="V49" i="22" s="1"/>
  <c r="Q27" i="22"/>
  <c r="Q49" i="22" s="1"/>
  <c r="L27" i="22"/>
  <c r="L49" i="22" s="1"/>
  <c r="O27" i="22"/>
  <c r="O49" i="22" s="1"/>
  <c r="M27" i="22"/>
  <c r="M49" i="22" s="1"/>
  <c r="N27" i="22"/>
  <c r="N49" i="22" s="1"/>
  <c r="G27" i="22"/>
  <c r="F27" i="22" s="1"/>
  <c r="R27" i="22"/>
  <c r="R49" i="22" s="1"/>
  <c r="J27" i="22"/>
  <c r="J49" i="22" s="1"/>
  <c r="U27" i="22"/>
  <c r="U49" i="22" s="1"/>
  <c r="T27" i="22"/>
  <c r="T49" i="22" s="1"/>
  <c r="P27" i="22"/>
  <c r="P49" i="22" s="1"/>
  <c r="K27" i="22"/>
  <c r="K49" i="22" s="1"/>
  <c r="I27" i="22"/>
  <c r="I49" i="22" s="1"/>
  <c r="H27" i="22"/>
  <c r="H49" i="22" s="1"/>
  <c r="U26" i="22"/>
  <c r="U48" i="22" s="1"/>
  <c r="N26" i="22"/>
  <c r="N48" i="22" s="1"/>
  <c r="O26" i="22"/>
  <c r="O48" i="22" s="1"/>
  <c r="T26" i="22"/>
  <c r="T48" i="22" s="1"/>
  <c r="K26" i="22"/>
  <c r="K48" i="22" s="1"/>
  <c r="M26" i="22"/>
  <c r="M48" i="22" s="1"/>
  <c r="I26" i="22"/>
  <c r="I48" i="22" s="1"/>
  <c r="L26" i="22"/>
  <c r="L48" i="22" s="1"/>
  <c r="J26" i="22"/>
  <c r="J48" i="22" s="1"/>
  <c r="S26" i="22"/>
  <c r="S48" i="22" s="1"/>
  <c r="R26" i="22"/>
  <c r="R48" i="22" s="1"/>
  <c r="P26" i="22"/>
  <c r="P48" i="22" s="1"/>
  <c r="H26" i="22"/>
  <c r="H48" i="22" s="1"/>
  <c r="Q26" i="22"/>
  <c r="Q48" i="22" s="1"/>
  <c r="G26" i="22"/>
  <c r="K25" i="22"/>
  <c r="K47" i="22" s="1"/>
  <c r="S25" i="22"/>
  <c r="S47" i="22" s="1"/>
  <c r="N25" i="22"/>
  <c r="N47" i="22" s="1"/>
  <c r="L25" i="22"/>
  <c r="L47" i="22" s="1"/>
  <c r="R25" i="22"/>
  <c r="R47" i="22" s="1"/>
  <c r="J25" i="22"/>
  <c r="J47" i="22" s="1"/>
  <c r="H25" i="22"/>
  <c r="H47" i="22" s="1"/>
  <c r="I25" i="22"/>
  <c r="I47" i="22" s="1"/>
  <c r="Q25" i="22"/>
  <c r="Q47" i="22" s="1"/>
  <c r="T25" i="22"/>
  <c r="T47" i="22" s="1"/>
  <c r="M25" i="22"/>
  <c r="M47" i="22" s="1"/>
  <c r="P25" i="22"/>
  <c r="P47" i="22" s="1"/>
  <c r="O25" i="22"/>
  <c r="O47" i="22" s="1"/>
  <c r="R24" i="22"/>
  <c r="R46" i="22" s="1"/>
  <c r="M24" i="22"/>
  <c r="M46" i="22" s="1"/>
  <c r="K24" i="22"/>
  <c r="K46" i="22" s="1"/>
  <c r="J24" i="22"/>
  <c r="J46" i="22" s="1"/>
  <c r="I24" i="22"/>
  <c r="I46" i="22" s="1"/>
  <c r="H24" i="22"/>
  <c r="H46" i="22" s="1"/>
  <c r="L24" i="22"/>
  <c r="L46" i="22" s="1"/>
  <c r="S24" i="22"/>
  <c r="S46" i="22" s="1"/>
  <c r="N24" i="22"/>
  <c r="N46" i="22" s="1"/>
  <c r="P24" i="22"/>
  <c r="P46" i="22" s="1"/>
  <c r="Q24" i="22"/>
  <c r="Q46" i="22" s="1"/>
  <c r="O24" i="22"/>
  <c r="O46" i="22" s="1"/>
  <c r="G24" i="22"/>
  <c r="GK7" i="19"/>
  <c r="GN6" i="19"/>
  <c r="GA7" i="19"/>
  <c r="FT37" i="19"/>
  <c r="FT36" i="19"/>
  <c r="FQ7" i="19"/>
  <c r="FG7" i="19"/>
  <c r="EW7" i="19"/>
  <c r="EM7" i="19"/>
  <c r="EC7" i="19"/>
  <c r="DS7" i="19"/>
  <c r="DL6" i="19"/>
  <c r="DI7" i="19"/>
  <c r="CY7" i="19"/>
  <c r="CO7" i="19"/>
  <c r="CE7" i="19"/>
  <c r="BU7" i="19"/>
  <c r="BK7" i="19"/>
  <c r="BA7" i="19"/>
  <c r="AQ7" i="19"/>
  <c r="AG7" i="19"/>
  <c r="W7" i="19"/>
  <c r="P37" i="19"/>
  <c r="P38" i="19"/>
  <c r="M7" i="19"/>
  <c r="GK7" i="18"/>
  <c r="GA7" i="18"/>
  <c r="FQ7" i="18"/>
  <c r="FG7" i="18"/>
  <c r="EW7" i="18"/>
  <c r="EM7" i="18"/>
  <c r="EC7" i="18"/>
  <c r="DS7" i="18"/>
  <c r="DI7" i="18"/>
  <c r="DB38" i="18"/>
  <c r="DB39" i="18"/>
  <c r="CY7" i="18"/>
  <c r="CR6" i="18"/>
  <c r="CO7" i="18"/>
  <c r="CE7" i="18"/>
  <c r="BU7" i="18"/>
  <c r="BK8" i="18"/>
  <c r="BA7" i="18"/>
  <c r="AQ7" i="18"/>
  <c r="AG7" i="18"/>
  <c r="W7" i="18"/>
  <c r="M7" i="18"/>
  <c r="C7" i="19"/>
  <c r="GK7" i="17"/>
  <c r="GA7" i="17"/>
  <c r="FQ7" i="17"/>
  <c r="FG7" i="17"/>
  <c r="EW7" i="17"/>
  <c r="EM7" i="17"/>
  <c r="EC7" i="17"/>
  <c r="DS7" i="17"/>
  <c r="DI7" i="17"/>
  <c r="CY7" i="17"/>
  <c r="CO7" i="17"/>
  <c r="CE7" i="17"/>
  <c r="BU7" i="17"/>
  <c r="BN39" i="17"/>
  <c r="BN40" i="17"/>
  <c r="BK7" i="17"/>
  <c r="BA7" i="17"/>
  <c r="AQ7" i="17"/>
  <c r="AG7" i="17"/>
  <c r="W7" i="17"/>
  <c r="P39" i="17"/>
  <c r="P40" i="17"/>
  <c r="M7" i="17"/>
  <c r="GK7" i="16"/>
  <c r="GD6" i="16"/>
  <c r="GA7" i="16"/>
  <c r="FQ7" i="16"/>
  <c r="FG7" i="16"/>
  <c r="EW7" i="16"/>
  <c r="EZ6" i="16"/>
  <c r="EM7" i="16"/>
  <c r="EC7" i="16"/>
  <c r="DS7" i="16"/>
  <c r="DI7" i="16"/>
  <c r="CY7" i="16"/>
  <c r="CP33" i="16"/>
  <c r="CP31" i="16"/>
  <c r="CP29" i="16"/>
  <c r="CP27" i="16"/>
  <c r="CP24" i="16"/>
  <c r="CP23" i="16"/>
  <c r="CP22" i="16"/>
  <c r="CP19" i="16"/>
  <c r="CP16" i="16"/>
  <c r="CP14" i="16"/>
  <c r="CP11" i="16"/>
  <c r="CP7" i="16"/>
  <c r="CP6" i="16"/>
  <c r="CP32" i="16"/>
  <c r="CP30" i="16"/>
  <c r="CP26" i="16"/>
  <c r="CP20" i="16"/>
  <c r="CP17" i="16"/>
  <c r="CP15" i="16"/>
  <c r="CP13" i="16"/>
  <c r="CP10" i="16"/>
  <c r="CP8" i="16"/>
  <c r="CP28" i="16"/>
  <c r="CP25" i="16"/>
  <c r="CP21" i="16"/>
  <c r="CP18" i="16"/>
  <c r="CP12" i="16"/>
  <c r="CP9" i="16"/>
  <c r="CO7" i="16"/>
  <c r="CE7" i="16"/>
  <c r="CH6" i="16"/>
  <c r="BU7" i="16"/>
  <c r="BK7" i="16"/>
  <c r="Q5" i="16"/>
  <c r="R5" i="16" s="1"/>
  <c r="S5" i="16" s="1"/>
  <c r="F6" i="16"/>
  <c r="C366" i="15"/>
  <c r="C327" i="15"/>
  <c r="C293" i="15"/>
  <c r="C255" i="15"/>
  <c r="C218" i="15"/>
  <c r="C174" i="15"/>
  <c r="C135" i="15"/>
  <c r="C94" i="15"/>
  <c r="C39" i="15"/>
  <c r="C6" i="15"/>
  <c r="G65" i="24" l="1"/>
  <c r="F65" i="24" s="1"/>
  <c r="F43" i="24"/>
  <c r="G64" i="24"/>
  <c r="F64" i="24" s="1"/>
  <c r="F42" i="24"/>
  <c r="F41" i="24"/>
  <c r="G63" i="24"/>
  <c r="F63" i="24" s="1"/>
  <c r="G61" i="24"/>
  <c r="F61" i="24" s="1"/>
  <c r="F39" i="24"/>
  <c r="G62" i="24"/>
  <c r="F62" i="24" s="1"/>
  <c r="F40" i="24"/>
  <c r="F38" i="24"/>
  <c r="G60" i="24"/>
  <c r="F60" i="24" s="1"/>
  <c r="G59" i="24"/>
  <c r="F59" i="24" s="1"/>
  <c r="F37" i="24"/>
  <c r="F36" i="24"/>
  <c r="G58" i="24"/>
  <c r="F58" i="24" s="1"/>
  <c r="G52" i="24"/>
  <c r="F52" i="24" s="1"/>
  <c r="F30" i="24"/>
  <c r="F35" i="24"/>
  <c r="G57" i="24"/>
  <c r="F57" i="24" s="1"/>
  <c r="G56" i="24"/>
  <c r="F56" i="24" s="1"/>
  <c r="F34" i="24"/>
  <c r="G55" i="24"/>
  <c r="F55" i="24" s="1"/>
  <c r="F33" i="24"/>
  <c r="F32" i="24"/>
  <c r="G54" i="24"/>
  <c r="F54" i="24" s="1"/>
  <c r="F31" i="24"/>
  <c r="G53" i="24"/>
  <c r="F53" i="24" s="1"/>
  <c r="F29" i="24"/>
  <c r="G51" i="24"/>
  <c r="F51" i="24" s="1"/>
  <c r="F28" i="24"/>
  <c r="G50" i="24"/>
  <c r="F50" i="24" s="1"/>
  <c r="G49" i="24"/>
  <c r="F49" i="24" s="1"/>
  <c r="F27" i="24"/>
  <c r="F26" i="24"/>
  <c r="G48" i="24"/>
  <c r="F48" i="24" s="1"/>
  <c r="G47" i="24"/>
  <c r="F47" i="24" s="1"/>
  <c r="F25" i="24"/>
  <c r="F24" i="24"/>
  <c r="G46" i="24"/>
  <c r="F46" i="24" s="1"/>
  <c r="C766" i="15"/>
  <c r="C721" i="15"/>
  <c r="C687" i="15"/>
  <c r="C650" i="15"/>
  <c r="C614" i="15"/>
  <c r="C573" i="15"/>
  <c r="C531" i="15"/>
  <c r="C490" i="15"/>
  <c r="C452" i="15"/>
  <c r="C407" i="15"/>
  <c r="F35" i="23"/>
  <c r="G57" i="23"/>
  <c r="F57" i="23" s="1"/>
  <c r="F43" i="23"/>
  <c r="G65" i="23"/>
  <c r="F65" i="23" s="1"/>
  <c r="F42" i="23"/>
  <c r="G64" i="23"/>
  <c r="F64" i="23" s="1"/>
  <c r="F41" i="23"/>
  <c r="G63" i="23"/>
  <c r="F63" i="23" s="1"/>
  <c r="F40" i="23"/>
  <c r="G62" i="23"/>
  <c r="F62" i="23" s="1"/>
  <c r="F39" i="23" a="1"/>
  <c r="F39" i="23" s="1"/>
  <c r="G61" i="23"/>
  <c r="F61" i="23" s="1" a="1"/>
  <c r="F61" i="23" s="1"/>
  <c r="F38" i="23"/>
  <c r="G60" i="23"/>
  <c r="F60" i="23" s="1"/>
  <c r="F37" i="23"/>
  <c r="G59" i="23"/>
  <c r="F59" i="23" s="1"/>
  <c r="F36" i="23"/>
  <c r="G58" i="23"/>
  <c r="F58" i="23" s="1"/>
  <c r="F34" i="23"/>
  <c r="G56" i="23"/>
  <c r="F56" i="23" s="1"/>
  <c r="F33" i="23"/>
  <c r="G55" i="23"/>
  <c r="F55" i="23" s="1"/>
  <c r="F32" i="23"/>
  <c r="G54" i="23"/>
  <c r="F54" i="23" s="1"/>
  <c r="F31" i="23"/>
  <c r="G53" i="23"/>
  <c r="F53" i="23" s="1"/>
  <c r="F30" i="23"/>
  <c r="G52" i="23"/>
  <c r="F52" i="23" s="1"/>
  <c r="F29" i="23"/>
  <c r="G51" i="23"/>
  <c r="F51" i="23" s="1"/>
  <c r="F27" i="23"/>
  <c r="G49" i="23"/>
  <c r="F49" i="23" s="1"/>
  <c r="F28" i="23"/>
  <c r="G50" i="23"/>
  <c r="F50" i="23" s="1"/>
  <c r="F26" i="23"/>
  <c r="G48" i="23"/>
  <c r="F48" i="23" s="1"/>
  <c r="F25" i="23"/>
  <c r="G47" i="23"/>
  <c r="F47" i="23" s="1"/>
  <c r="F35" i="22"/>
  <c r="G57" i="22"/>
  <c r="F57" i="22" s="1"/>
  <c r="F43" i="22" a="1"/>
  <c r="F43" i="22" s="1"/>
  <c r="G65" i="22"/>
  <c r="F65" i="22" s="1" a="1"/>
  <c r="F65" i="22" s="1"/>
  <c r="F42" i="22"/>
  <c r="G64" i="22"/>
  <c r="F64" i="22" s="1"/>
  <c r="G63" i="22"/>
  <c r="F63" i="22" s="1"/>
  <c r="F41" i="22"/>
  <c r="F40" i="22"/>
  <c r="G62" i="22"/>
  <c r="F62" i="22" s="1"/>
  <c r="F39" i="22" a="1"/>
  <c r="F39" i="22" s="1"/>
  <c r="G61" i="22"/>
  <c r="F61" i="22" s="1" a="1"/>
  <c r="F61" i="22" s="1"/>
  <c r="F38" i="22"/>
  <c r="G60" i="22"/>
  <c r="F60" i="22" s="1"/>
  <c r="F37" i="22" a="1"/>
  <c r="F37" i="22" s="1"/>
  <c r="G59" i="22"/>
  <c r="F59" i="22" s="1" a="1"/>
  <c r="F59" i="22" s="1"/>
  <c r="F36" i="22" a="1"/>
  <c r="F36" i="22" s="1"/>
  <c r="G58" i="22"/>
  <c r="F58" i="22" s="1" a="1"/>
  <c r="F58" i="22" s="1"/>
  <c r="F32" i="22"/>
  <c r="G54" i="22"/>
  <c r="F54" i="22" s="1"/>
  <c r="F34" i="22" a="1"/>
  <c r="F34" i="22" s="1"/>
  <c r="G56" i="22"/>
  <c r="F56" i="22" s="1" a="1"/>
  <c r="F56" i="22" s="1"/>
  <c r="F33" i="22"/>
  <c r="G55" i="22"/>
  <c r="F55" i="22" s="1"/>
  <c r="G51" i="22"/>
  <c r="F51" i="22" s="1"/>
  <c r="F29" i="22"/>
  <c r="F31" i="22"/>
  <c r="G53" i="22"/>
  <c r="F53" i="22" s="1"/>
  <c r="F30" i="22"/>
  <c r="G52" i="22"/>
  <c r="F52" i="22" s="1"/>
  <c r="F28" i="22" a="1"/>
  <c r="F28" i="22" s="1"/>
  <c r="G50" i="22"/>
  <c r="F50" i="22" s="1" a="1"/>
  <c r="F50" i="22" s="1"/>
  <c r="G49" i="22"/>
  <c r="F49" i="22" s="1"/>
  <c r="G48" i="22"/>
  <c r="F48" i="22" s="1"/>
  <c r="F26" i="22"/>
  <c r="F25" i="22"/>
  <c r="G47" i="22"/>
  <c r="F47" i="22" s="1"/>
  <c r="F24" i="22"/>
  <c r="G46" i="22"/>
  <c r="F46" i="22" s="1"/>
  <c r="GK8" i="19"/>
  <c r="GN7" i="19"/>
  <c r="GA8" i="19"/>
  <c r="FQ8" i="19"/>
  <c r="FG8" i="19"/>
  <c r="EW8" i="19"/>
  <c r="EM8" i="19"/>
  <c r="EC8" i="19"/>
  <c r="DS8" i="19"/>
  <c r="DL7" i="19"/>
  <c r="DI8" i="19"/>
  <c r="CY8" i="19"/>
  <c r="CO8" i="19"/>
  <c r="CE8" i="19"/>
  <c r="BU8" i="19"/>
  <c r="BK8" i="19"/>
  <c r="BA8" i="19"/>
  <c r="AQ8" i="19"/>
  <c r="AG8" i="19"/>
  <c r="W8" i="19"/>
  <c r="M8" i="19"/>
  <c r="GK8" i="18"/>
  <c r="GA8" i="18"/>
  <c r="FQ8" i="18"/>
  <c r="FG8" i="18"/>
  <c r="EW8" i="18"/>
  <c r="EM8" i="18"/>
  <c r="EC8" i="18"/>
  <c r="DS8" i="18"/>
  <c r="DI8" i="18"/>
  <c r="CY8" i="18"/>
  <c r="CR7" i="18"/>
  <c r="CO8" i="18"/>
  <c r="CE8" i="18"/>
  <c r="BU8" i="18"/>
  <c r="BK9" i="18"/>
  <c r="BA8" i="18"/>
  <c r="AQ8" i="18"/>
  <c r="AG8" i="18"/>
  <c r="W8" i="18"/>
  <c r="M8" i="18"/>
  <c r="C8" i="19"/>
  <c r="GK8" i="17"/>
  <c r="GA8" i="17"/>
  <c r="FQ8" i="17"/>
  <c r="FG8" i="17"/>
  <c r="EW8" i="17"/>
  <c r="EM8" i="17"/>
  <c r="EC8" i="17"/>
  <c r="DS8" i="17"/>
  <c r="DI8" i="17"/>
  <c r="CY8" i="17"/>
  <c r="CO8" i="17"/>
  <c r="CE8" i="17"/>
  <c r="BU8" i="17"/>
  <c r="BK8" i="17"/>
  <c r="BA8" i="17"/>
  <c r="AQ8" i="17"/>
  <c r="AG8" i="17"/>
  <c r="W8" i="17"/>
  <c r="M8" i="17"/>
  <c r="GK8" i="16"/>
  <c r="GD7" i="16"/>
  <c r="GA8" i="16"/>
  <c r="FQ8" i="16"/>
  <c r="FG8" i="16"/>
  <c r="EW8" i="16"/>
  <c r="EZ7" i="16"/>
  <c r="EM8" i="16"/>
  <c r="EC8" i="16"/>
  <c r="DS8" i="16"/>
  <c r="DI8" i="16"/>
  <c r="CY8" i="16"/>
  <c r="CO8" i="16"/>
  <c r="CH7" i="16"/>
  <c r="CE8" i="16"/>
  <c r="BU8" i="16"/>
  <c r="BK8" i="16"/>
  <c r="C367" i="15"/>
  <c r="C328" i="15"/>
  <c r="C294" i="15"/>
  <c r="C256" i="15"/>
  <c r="C219" i="15"/>
  <c r="C175" i="15"/>
  <c r="C136" i="15"/>
  <c r="C95" i="15"/>
  <c r="C40" i="15" s="1"/>
  <c r="C7" i="15"/>
  <c r="C767" i="15" l="1"/>
  <c r="C722" i="15"/>
  <c r="C688" i="15"/>
  <c r="C651" i="15"/>
  <c r="C615" i="15"/>
  <c r="C574" i="15"/>
  <c r="C532" i="15"/>
  <c r="C491" i="15"/>
  <c r="C453" i="15"/>
  <c r="C408" i="15"/>
  <c r="GN8" i="19"/>
  <c r="GK9" i="19"/>
  <c r="GA9" i="19"/>
  <c r="FQ9" i="19"/>
  <c r="FG9" i="19"/>
  <c r="EW9" i="19"/>
  <c r="EM9" i="19"/>
  <c r="EC9" i="19"/>
  <c r="DS9" i="19"/>
  <c r="DL8" i="19"/>
  <c r="DI9" i="19"/>
  <c r="CY9" i="19"/>
  <c r="CO9" i="19"/>
  <c r="CE9" i="19"/>
  <c r="BU9" i="19"/>
  <c r="BK9" i="19"/>
  <c r="BA9" i="19"/>
  <c r="AQ9" i="19"/>
  <c r="AG9" i="19"/>
  <c r="W9" i="19"/>
  <c r="M9" i="19"/>
  <c r="GK9" i="18"/>
  <c r="GA9" i="18"/>
  <c r="FQ9" i="18"/>
  <c r="FG9" i="18"/>
  <c r="EW9" i="18"/>
  <c r="EM9" i="18"/>
  <c r="EC9" i="18"/>
  <c r="DS9" i="18"/>
  <c r="DI9" i="18"/>
  <c r="CY9" i="18"/>
  <c r="CR8" i="18"/>
  <c r="CO9" i="18"/>
  <c r="CE9" i="18"/>
  <c r="BU9" i="18"/>
  <c r="BK10" i="18"/>
  <c r="BA9" i="18"/>
  <c r="AQ9" i="18"/>
  <c r="AG9" i="18"/>
  <c r="W9" i="18"/>
  <c r="M9" i="18"/>
  <c r="C9" i="19"/>
  <c r="GK9" i="17"/>
  <c r="GA9" i="17"/>
  <c r="FQ9" i="17"/>
  <c r="FG9" i="17"/>
  <c r="EW9" i="17"/>
  <c r="EM9" i="17"/>
  <c r="EC9" i="17"/>
  <c r="DS9" i="17"/>
  <c r="DI9" i="17"/>
  <c r="CY9" i="17"/>
  <c r="CO9" i="17"/>
  <c r="CE9" i="17"/>
  <c r="BU9" i="17"/>
  <c r="BK9" i="17"/>
  <c r="BA9" i="17"/>
  <c r="AQ9" i="17"/>
  <c r="AG9" i="17"/>
  <c r="W9" i="17"/>
  <c r="M9" i="17"/>
  <c r="GK9" i="16"/>
  <c r="GD8" i="16"/>
  <c r="GA9" i="16"/>
  <c r="FQ9" i="16"/>
  <c r="FG9" i="16"/>
  <c r="EZ8" i="16"/>
  <c r="EW9" i="16"/>
  <c r="EM9" i="16"/>
  <c r="EC9" i="16"/>
  <c r="DS9" i="16"/>
  <c r="CY9" i="16"/>
  <c r="CO9" i="16"/>
  <c r="CE9" i="16"/>
  <c r="CH8" i="16"/>
  <c r="BU9" i="16"/>
  <c r="BK9" i="16"/>
  <c r="C368" i="15"/>
  <c r="C329" i="15"/>
  <c r="C295" i="15"/>
  <c r="C257" i="15"/>
  <c r="C220" i="15"/>
  <c r="C176" i="15"/>
  <c r="C137" i="15"/>
  <c r="C41" i="15"/>
  <c r="C8" i="15"/>
  <c r="C768" i="15" l="1"/>
  <c r="C723" i="15"/>
  <c r="C689" i="15"/>
  <c r="C652" i="15"/>
  <c r="C616" i="15"/>
  <c r="C575" i="15"/>
  <c r="C533" i="15"/>
  <c r="C492" i="15"/>
  <c r="C454" i="15"/>
  <c r="C409" i="15"/>
  <c r="GN9" i="19"/>
  <c r="GK10" i="19"/>
  <c r="GA10" i="19"/>
  <c r="FQ10" i="19"/>
  <c r="FG10" i="19"/>
  <c r="EW10" i="19"/>
  <c r="EM10" i="19"/>
  <c r="EC10" i="19"/>
  <c r="DS10" i="19"/>
  <c r="DI10" i="19"/>
  <c r="DL9" i="19"/>
  <c r="CY10" i="19"/>
  <c r="CO10" i="19"/>
  <c r="CE10" i="19"/>
  <c r="BU10" i="19"/>
  <c r="BK10" i="19"/>
  <c r="BA10" i="19"/>
  <c r="AQ10" i="19"/>
  <c r="AG10" i="19"/>
  <c r="W10" i="19"/>
  <c r="M10" i="19"/>
  <c r="GK10" i="18"/>
  <c r="GA10" i="18"/>
  <c r="FQ10" i="18"/>
  <c r="FG10" i="18"/>
  <c r="EW10" i="18"/>
  <c r="EM10" i="18"/>
  <c r="EC10" i="18"/>
  <c r="DS10" i="18"/>
  <c r="DI10" i="18"/>
  <c r="CY10" i="18"/>
  <c r="CO10" i="18"/>
  <c r="CR9" i="18"/>
  <c r="CE10" i="18"/>
  <c r="BU10" i="18"/>
  <c r="BK11" i="18"/>
  <c r="BA10" i="18"/>
  <c r="AQ10" i="18"/>
  <c r="AG10" i="18"/>
  <c r="W10" i="18"/>
  <c r="M10" i="18"/>
  <c r="C10" i="19"/>
  <c r="GK10" i="17"/>
  <c r="GA10" i="17"/>
  <c r="FQ10" i="17"/>
  <c r="FG10" i="17"/>
  <c r="EW10" i="17"/>
  <c r="EM10" i="17"/>
  <c r="EC10" i="17"/>
  <c r="DS10" i="17"/>
  <c r="DI10" i="17"/>
  <c r="CY10" i="17"/>
  <c r="CO10" i="17"/>
  <c r="CE10" i="17"/>
  <c r="BU10" i="17"/>
  <c r="BK10" i="17"/>
  <c r="BA10" i="17"/>
  <c r="AQ10" i="17"/>
  <c r="AG10" i="17"/>
  <c r="W10" i="17"/>
  <c r="M10" i="17"/>
  <c r="GK10" i="16"/>
  <c r="GA10" i="16"/>
  <c r="GD9" i="16"/>
  <c r="FQ10" i="16"/>
  <c r="FG10" i="16"/>
  <c r="EW10" i="16"/>
  <c r="EZ9" i="16"/>
  <c r="EM10" i="16"/>
  <c r="EC10" i="16"/>
  <c r="DS10" i="16"/>
  <c r="DI10" i="16"/>
  <c r="CY10" i="16"/>
  <c r="CO10" i="16"/>
  <c r="CH9" i="16"/>
  <c r="CE10" i="16"/>
  <c r="BU10" i="16"/>
  <c r="BK10" i="16"/>
  <c r="C369" i="15"/>
  <c r="C330" i="15"/>
  <c r="C296" i="15"/>
  <c r="C258" i="15"/>
  <c r="C221" i="15"/>
  <c r="C177" i="15"/>
  <c r="C138" i="15"/>
  <c r="C42" i="15"/>
  <c r="C9" i="15"/>
  <c r="C769" i="15" l="1"/>
  <c r="C724" i="15"/>
  <c r="C690" i="15"/>
  <c r="C653" i="15"/>
  <c r="C617" i="15"/>
  <c r="C576" i="15"/>
  <c r="C534" i="15"/>
  <c r="C493" i="15"/>
  <c r="C455" i="15"/>
  <c r="C410" i="15"/>
  <c r="GK11" i="19"/>
  <c r="GN10" i="19"/>
  <c r="GA11" i="19"/>
  <c r="FQ11" i="19"/>
  <c r="FG11" i="19"/>
  <c r="EW11" i="19"/>
  <c r="EM11" i="19"/>
  <c r="EC11" i="19"/>
  <c r="DS11" i="19"/>
  <c r="DL10" i="19"/>
  <c r="DI11" i="19"/>
  <c r="CY11" i="19"/>
  <c r="CO11" i="19"/>
  <c r="CE11" i="19"/>
  <c r="BU11" i="19"/>
  <c r="BK11" i="19"/>
  <c r="BA11" i="19"/>
  <c r="AQ11" i="19"/>
  <c r="AG11" i="19"/>
  <c r="W11" i="19"/>
  <c r="M11" i="19"/>
  <c r="GK11" i="18"/>
  <c r="GA11" i="18"/>
  <c r="FQ11" i="18"/>
  <c r="FG11" i="18"/>
  <c r="EW11" i="18"/>
  <c r="EM11" i="18"/>
  <c r="EC11" i="18"/>
  <c r="DS11" i="18"/>
  <c r="DI11" i="18"/>
  <c r="CY11" i="18"/>
  <c r="CR10" i="18"/>
  <c r="CO11" i="18"/>
  <c r="CE11" i="18"/>
  <c r="BU11" i="18"/>
  <c r="BK12" i="18"/>
  <c r="BA11" i="18"/>
  <c r="AQ11" i="18"/>
  <c r="AG11" i="18"/>
  <c r="W11" i="18"/>
  <c r="M11" i="18"/>
  <c r="C11" i="19"/>
  <c r="GK11" i="17"/>
  <c r="GA11" i="17"/>
  <c r="FQ11" i="17"/>
  <c r="FG11" i="17"/>
  <c r="EW11" i="17"/>
  <c r="EM11" i="17"/>
  <c r="EC11" i="17"/>
  <c r="DS11" i="17"/>
  <c r="DI11" i="17"/>
  <c r="CY11" i="17"/>
  <c r="CO11" i="17"/>
  <c r="CE11" i="17"/>
  <c r="BU11" i="17"/>
  <c r="BK11" i="17"/>
  <c r="BA11" i="17"/>
  <c r="AQ11" i="17"/>
  <c r="AG11" i="17"/>
  <c r="W11" i="17"/>
  <c r="M11" i="17"/>
  <c r="GK11" i="16"/>
  <c r="GA11" i="16"/>
  <c r="GD10" i="16"/>
  <c r="FQ11" i="16"/>
  <c r="FG11" i="16"/>
  <c r="EZ10" i="16"/>
  <c r="EW11" i="16"/>
  <c r="EM11" i="16"/>
  <c r="EC11" i="16"/>
  <c r="DS11" i="16"/>
  <c r="DI11" i="16"/>
  <c r="CY11" i="16"/>
  <c r="CO11" i="16"/>
  <c r="CH10" i="16"/>
  <c r="CE11" i="16"/>
  <c r="BU11" i="16"/>
  <c r="BK11" i="16"/>
  <c r="C370" i="15"/>
  <c r="C331" i="15"/>
  <c r="C297" i="15"/>
  <c r="C259" i="15"/>
  <c r="C222" i="15"/>
  <c r="C178" i="15"/>
  <c r="C139" i="15"/>
  <c r="C43" i="15"/>
  <c r="C10" i="15"/>
  <c r="C770" i="15" l="1"/>
  <c r="C725" i="15"/>
  <c r="C691" i="15"/>
  <c r="C654" i="15"/>
  <c r="C618" i="15"/>
  <c r="C577" i="15"/>
  <c r="C535" i="15"/>
  <c r="C494" i="15"/>
  <c r="C456" i="15"/>
  <c r="C411" i="15"/>
  <c r="GK12" i="19"/>
  <c r="GN11" i="19"/>
  <c r="GA12" i="19"/>
  <c r="FQ12" i="19"/>
  <c r="FG12" i="19"/>
  <c r="EW12" i="19"/>
  <c r="EM12" i="19"/>
  <c r="EC12" i="19"/>
  <c r="DS12" i="19"/>
  <c r="DL11" i="19"/>
  <c r="DI12" i="19"/>
  <c r="CY12" i="19"/>
  <c r="CO12" i="19"/>
  <c r="CE12" i="19"/>
  <c r="BU12" i="19"/>
  <c r="BK12" i="19"/>
  <c r="BA12" i="19"/>
  <c r="AQ12" i="19"/>
  <c r="AG12" i="19"/>
  <c r="W12" i="19"/>
  <c r="M12" i="19"/>
  <c r="GK12" i="18"/>
  <c r="GA12" i="18"/>
  <c r="FQ12" i="18"/>
  <c r="FG12" i="18"/>
  <c r="EW12" i="18"/>
  <c r="EM12" i="18"/>
  <c r="EC12" i="18"/>
  <c r="DS12" i="18"/>
  <c r="DI12" i="18"/>
  <c r="CY12" i="18"/>
  <c r="CR11" i="18"/>
  <c r="CO12" i="18"/>
  <c r="CE12" i="18"/>
  <c r="BU12" i="18"/>
  <c r="BK13" i="18"/>
  <c r="BA12" i="18"/>
  <c r="AQ12" i="18"/>
  <c r="AG12" i="18"/>
  <c r="W12" i="18"/>
  <c r="M12" i="18"/>
  <c r="C12" i="19"/>
  <c r="GK12" i="17"/>
  <c r="GA12" i="17"/>
  <c r="FQ12" i="17"/>
  <c r="FG12" i="17"/>
  <c r="EW12" i="17"/>
  <c r="EM12" i="17"/>
  <c r="EC12" i="17"/>
  <c r="DS12" i="17"/>
  <c r="DI12" i="17"/>
  <c r="CY12" i="17"/>
  <c r="CO12" i="17"/>
  <c r="CE12" i="17"/>
  <c r="BU12" i="17"/>
  <c r="BK12" i="17"/>
  <c r="BA12" i="17"/>
  <c r="AQ12" i="17"/>
  <c r="AG12" i="17"/>
  <c r="W12" i="17"/>
  <c r="M12" i="17"/>
  <c r="GK12" i="16"/>
  <c r="GD11" i="16"/>
  <c r="GA12" i="16"/>
  <c r="FQ12" i="16"/>
  <c r="FG12" i="16"/>
  <c r="EZ11" i="16"/>
  <c r="EW12" i="16"/>
  <c r="EM12" i="16"/>
  <c r="EC12" i="16"/>
  <c r="DS12" i="16"/>
  <c r="DI12" i="16"/>
  <c r="CY12" i="16"/>
  <c r="CO12" i="16"/>
  <c r="CH11" i="16"/>
  <c r="CE12" i="16"/>
  <c r="BU12" i="16"/>
  <c r="C371" i="15"/>
  <c r="C332" i="15"/>
  <c r="C298" i="15"/>
  <c r="C260" i="15"/>
  <c r="C223" i="15"/>
  <c r="C179" i="15"/>
  <c r="C140" i="15"/>
  <c r="C44" i="15"/>
  <c r="C11" i="15"/>
  <c r="C771" i="15" l="1"/>
  <c r="C726" i="15"/>
  <c r="C692" i="15"/>
  <c r="C655" i="15"/>
  <c r="C619" i="15"/>
  <c r="C578" i="15"/>
  <c r="C536" i="15"/>
  <c r="C495" i="15"/>
  <c r="C457" i="15"/>
  <c r="C412" i="15"/>
  <c r="GK13" i="19"/>
  <c r="GN12" i="19"/>
  <c r="GA13" i="19"/>
  <c r="FQ13" i="19"/>
  <c r="FG13" i="19"/>
  <c r="EW13" i="19"/>
  <c r="EM13" i="19"/>
  <c r="EC13" i="19"/>
  <c r="DS13" i="19"/>
  <c r="DL12" i="19"/>
  <c r="DI13" i="19"/>
  <c r="CY13" i="19"/>
  <c r="CO13" i="19"/>
  <c r="CE13" i="19"/>
  <c r="BU13" i="19"/>
  <c r="BK13" i="19"/>
  <c r="BA13" i="19"/>
  <c r="AQ13" i="19"/>
  <c r="AG13" i="19"/>
  <c r="W13" i="19"/>
  <c r="M13" i="19"/>
  <c r="GK13" i="18"/>
  <c r="GA13" i="18"/>
  <c r="FQ13" i="18"/>
  <c r="FG13" i="18"/>
  <c r="EW13" i="18"/>
  <c r="EM13" i="18"/>
  <c r="EC13" i="18"/>
  <c r="DS13" i="18"/>
  <c r="DI13" i="18"/>
  <c r="CY13" i="18"/>
  <c r="CR12" i="18"/>
  <c r="CO13" i="18"/>
  <c r="CE13" i="18"/>
  <c r="BU13" i="18"/>
  <c r="BK14" i="18"/>
  <c r="BA13" i="18"/>
  <c r="AQ13" i="18"/>
  <c r="AG13" i="18"/>
  <c r="W13" i="18"/>
  <c r="M13" i="18"/>
  <c r="C13" i="19"/>
  <c r="GK13" i="17"/>
  <c r="GA13" i="17"/>
  <c r="FQ13" i="17"/>
  <c r="FG13" i="17"/>
  <c r="EW13" i="17"/>
  <c r="EM13" i="17"/>
  <c r="EC13" i="17"/>
  <c r="DS13" i="17"/>
  <c r="DI13" i="17"/>
  <c r="CY13" i="17"/>
  <c r="CO13" i="17"/>
  <c r="CE13" i="17"/>
  <c r="BU13" i="17"/>
  <c r="BK13" i="17"/>
  <c r="BA13" i="17"/>
  <c r="AQ13" i="17"/>
  <c r="AG13" i="17"/>
  <c r="W13" i="17"/>
  <c r="M13" i="17"/>
  <c r="GK13" i="16"/>
  <c r="GD12" i="16"/>
  <c r="GA13" i="16"/>
  <c r="FQ13" i="16"/>
  <c r="FG13" i="16"/>
  <c r="EZ12" i="16"/>
  <c r="EW13" i="16"/>
  <c r="EM13" i="16"/>
  <c r="EC13" i="16"/>
  <c r="DS13" i="16"/>
  <c r="DI13" i="16"/>
  <c r="CY13" i="16"/>
  <c r="CO13" i="16"/>
  <c r="CH12" i="16"/>
  <c r="CE13" i="16"/>
  <c r="BU13" i="16"/>
  <c r="BK13" i="16"/>
  <c r="C372" i="15"/>
  <c r="C333" i="15"/>
  <c r="C299" i="15"/>
  <c r="C261" i="15"/>
  <c r="C224" i="15"/>
  <c r="C180" i="15"/>
  <c r="C141" i="15"/>
  <c r="C45" i="15"/>
  <c r="C12" i="15"/>
  <c r="C772" i="15" l="1"/>
  <c r="C727" i="15"/>
  <c r="C693" i="15"/>
  <c r="C656" i="15"/>
  <c r="C620" i="15"/>
  <c r="C579" i="15"/>
  <c r="C537" i="15"/>
  <c r="C496" i="15"/>
  <c r="C458" i="15"/>
  <c r="C413" i="15"/>
  <c r="GN13" i="19"/>
  <c r="GK14" i="19"/>
  <c r="GA14" i="19"/>
  <c r="FQ14" i="19"/>
  <c r="FG14" i="19"/>
  <c r="EW14" i="19"/>
  <c r="EM14" i="19"/>
  <c r="EC14" i="19"/>
  <c r="DS14" i="19"/>
  <c r="DL13" i="19"/>
  <c r="DI14" i="19"/>
  <c r="CY14" i="19"/>
  <c r="CO14" i="19"/>
  <c r="CE14" i="19"/>
  <c r="BU14" i="19"/>
  <c r="BK14" i="19"/>
  <c r="BA14" i="19"/>
  <c r="AQ14" i="19"/>
  <c r="AG14" i="19"/>
  <c r="W14" i="19"/>
  <c r="M14" i="19"/>
  <c r="GA14" i="18"/>
  <c r="FQ14" i="18"/>
  <c r="FG14" i="18"/>
  <c r="EW14" i="18"/>
  <c r="EM14" i="18"/>
  <c r="EC14" i="18"/>
  <c r="DS14" i="18"/>
  <c r="DI14" i="18"/>
  <c r="CY14" i="18"/>
  <c r="CR13" i="18"/>
  <c r="CO14" i="18"/>
  <c r="CE14" i="18"/>
  <c r="BU14" i="18"/>
  <c r="BK15" i="18"/>
  <c r="BA14" i="18"/>
  <c r="AQ14" i="18"/>
  <c r="AG14" i="18"/>
  <c r="W14" i="18"/>
  <c r="M14" i="18"/>
  <c r="C14" i="19"/>
  <c r="GK14" i="17"/>
  <c r="GA14" i="17"/>
  <c r="FQ14" i="17"/>
  <c r="FG14" i="17"/>
  <c r="EW14" i="17"/>
  <c r="EM14" i="17"/>
  <c r="EC14" i="17"/>
  <c r="DS14" i="17"/>
  <c r="DI14" i="17"/>
  <c r="CY14" i="17"/>
  <c r="CO14" i="17"/>
  <c r="CE14" i="17"/>
  <c r="BU14" i="17"/>
  <c r="BK14" i="17"/>
  <c r="BA14" i="17"/>
  <c r="AQ14" i="17"/>
  <c r="AG14" i="17"/>
  <c r="W14" i="17"/>
  <c r="M14" i="17"/>
  <c r="GK14" i="16"/>
  <c r="GD13" i="16"/>
  <c r="GA14" i="16"/>
  <c r="FQ14" i="16"/>
  <c r="FG14" i="16"/>
  <c r="EZ13" i="16"/>
  <c r="EW14" i="16"/>
  <c r="EM14" i="16"/>
  <c r="EC14" i="16"/>
  <c r="DS14" i="16"/>
  <c r="DI14" i="16"/>
  <c r="CY14" i="16"/>
  <c r="CO14" i="16"/>
  <c r="CH13" i="16"/>
  <c r="CE14" i="16"/>
  <c r="BU14" i="16"/>
  <c r="BK14" i="16"/>
  <c r="C373" i="15"/>
  <c r="C334" i="15"/>
  <c r="C300" i="15"/>
  <c r="C262" i="15"/>
  <c r="C225" i="15"/>
  <c r="C181" i="15"/>
  <c r="C142" i="15"/>
  <c r="C46" i="15"/>
  <c r="C96" i="15" s="1"/>
  <c r="C13" i="15"/>
  <c r="C773" i="15" l="1"/>
  <c r="C728" i="15"/>
  <c r="C694" i="15"/>
  <c r="C657" i="15"/>
  <c r="C621" i="15"/>
  <c r="C580" i="15"/>
  <c r="C538" i="15"/>
  <c r="C497" i="15"/>
  <c r="C459" i="15"/>
  <c r="C414" i="15"/>
  <c r="GN14" i="19"/>
  <c r="GK15" i="19"/>
  <c r="GA15" i="19"/>
  <c r="FQ15" i="19"/>
  <c r="FG15" i="19"/>
  <c r="EW15" i="19"/>
  <c r="EM15" i="19"/>
  <c r="EC15" i="19"/>
  <c r="DS15" i="19"/>
  <c r="DL14" i="19"/>
  <c r="DI15" i="19"/>
  <c r="CY15" i="19"/>
  <c r="CO15" i="19"/>
  <c r="CE15" i="19"/>
  <c r="BU15" i="19"/>
  <c r="BK15" i="19"/>
  <c r="BA15" i="19"/>
  <c r="AQ15" i="19"/>
  <c r="AG15" i="19"/>
  <c r="W15" i="19"/>
  <c r="M15" i="19"/>
  <c r="GK15" i="18"/>
  <c r="GA15" i="18"/>
  <c r="FQ15" i="18"/>
  <c r="FG15" i="18"/>
  <c r="EW15" i="18"/>
  <c r="EM15" i="18"/>
  <c r="EC15" i="18"/>
  <c r="DS15" i="18"/>
  <c r="DI15" i="18"/>
  <c r="CY15" i="18"/>
  <c r="CR14" i="18"/>
  <c r="CO15" i="18"/>
  <c r="CE15" i="18"/>
  <c r="BU15" i="18"/>
  <c r="BK16" i="18"/>
  <c r="BA15" i="18"/>
  <c r="AQ15" i="18"/>
  <c r="AG15" i="18"/>
  <c r="W15" i="18"/>
  <c r="M15" i="18"/>
  <c r="C15" i="19"/>
  <c r="GK15" i="17"/>
  <c r="GA15" i="17"/>
  <c r="FQ15" i="17"/>
  <c r="FG15" i="17"/>
  <c r="EW15" i="17"/>
  <c r="EM15" i="17"/>
  <c r="EC15" i="17"/>
  <c r="DS15" i="17"/>
  <c r="DI15" i="17"/>
  <c r="CY15" i="17"/>
  <c r="CO15" i="17"/>
  <c r="CE15" i="17"/>
  <c r="BU15" i="17"/>
  <c r="BK15" i="17"/>
  <c r="BA15" i="17"/>
  <c r="AQ15" i="17"/>
  <c r="AG15" i="17"/>
  <c r="W15" i="17"/>
  <c r="M15" i="17"/>
  <c r="GK15" i="16"/>
  <c r="GA15" i="16"/>
  <c r="GD14" i="16"/>
  <c r="FQ15" i="16"/>
  <c r="FG15" i="16"/>
  <c r="EZ14" i="16"/>
  <c r="EW15" i="16"/>
  <c r="EM15" i="16"/>
  <c r="EC15" i="16"/>
  <c r="DS15" i="16"/>
  <c r="DI15" i="16"/>
  <c r="CY15" i="16"/>
  <c r="CO15" i="16"/>
  <c r="CH14" i="16"/>
  <c r="CE15" i="16"/>
  <c r="BU15" i="16"/>
  <c r="BK15" i="16"/>
  <c r="C374" i="15"/>
  <c r="C335" i="15"/>
  <c r="C301" i="15"/>
  <c r="C263" i="15"/>
  <c r="C226" i="15"/>
  <c r="C182" i="15"/>
  <c r="C143" i="15"/>
  <c r="C47" i="15"/>
  <c r="C14" i="15"/>
  <c r="C774" i="15" l="1"/>
  <c r="C729" i="15"/>
  <c r="C695" i="15"/>
  <c r="C658" i="15"/>
  <c r="C622" i="15"/>
  <c r="C581" i="15"/>
  <c r="C539" i="15"/>
  <c r="C498" i="15"/>
  <c r="C460" i="15"/>
  <c r="C415" i="15"/>
  <c r="GN15" i="19"/>
  <c r="GK16" i="19"/>
  <c r="GA16" i="19"/>
  <c r="FQ16" i="19"/>
  <c r="FG16" i="19"/>
  <c r="EW16" i="19"/>
  <c r="EM16" i="19"/>
  <c r="EC16" i="19"/>
  <c r="DS16" i="19"/>
  <c r="DL15" i="19"/>
  <c r="DI16" i="19"/>
  <c r="CY16" i="19"/>
  <c r="CO16" i="19"/>
  <c r="CE16" i="19"/>
  <c r="BU16" i="19"/>
  <c r="BK16" i="19"/>
  <c r="BA16" i="19"/>
  <c r="AQ16" i="19"/>
  <c r="AG16" i="19"/>
  <c r="W16" i="19"/>
  <c r="M16" i="19"/>
  <c r="GK16" i="18"/>
  <c r="GA16" i="18"/>
  <c r="FQ16" i="18"/>
  <c r="FG16" i="18"/>
  <c r="EW16" i="18"/>
  <c r="EM16" i="18"/>
  <c r="EC16" i="18"/>
  <c r="DS16" i="18"/>
  <c r="DI16" i="18"/>
  <c r="CY16" i="18"/>
  <c r="CO16" i="18"/>
  <c r="CR15" i="18"/>
  <c r="CE16" i="18"/>
  <c r="BU16" i="18"/>
  <c r="BK17" i="18"/>
  <c r="BA16" i="18"/>
  <c r="AQ16" i="18"/>
  <c r="AG16" i="18"/>
  <c r="W16" i="18"/>
  <c r="M16" i="18"/>
  <c r="C16" i="19"/>
  <c r="GK16" i="17"/>
  <c r="GA16" i="17"/>
  <c r="FQ16" i="17"/>
  <c r="FG16" i="17"/>
  <c r="EW16" i="17"/>
  <c r="EM16" i="17"/>
  <c r="EC16" i="17"/>
  <c r="DS16" i="17"/>
  <c r="DI16" i="17"/>
  <c r="CY16" i="17"/>
  <c r="CO16" i="17"/>
  <c r="CE16" i="17"/>
  <c r="BU16" i="17"/>
  <c r="BK16" i="17"/>
  <c r="BA16" i="17"/>
  <c r="AQ16" i="17"/>
  <c r="AG16" i="17"/>
  <c r="W16" i="17"/>
  <c r="M16" i="17"/>
  <c r="GK16" i="16"/>
  <c r="GA16" i="16"/>
  <c r="GD15" i="16"/>
  <c r="FQ16" i="16"/>
  <c r="FG16" i="16"/>
  <c r="EZ15" i="16"/>
  <c r="EW16" i="16"/>
  <c r="EM16" i="16"/>
  <c r="EC16" i="16"/>
  <c r="DS16" i="16"/>
  <c r="DI16" i="16"/>
  <c r="CY16" i="16"/>
  <c r="CO16" i="16"/>
  <c r="CE16" i="16"/>
  <c r="CH15" i="16"/>
  <c r="BU16" i="16"/>
  <c r="BK16" i="16"/>
  <c r="C375" i="15"/>
  <c r="C336" i="15"/>
  <c r="C302" i="15"/>
  <c r="C264" i="15"/>
  <c r="C227" i="15"/>
  <c r="C183" i="15"/>
  <c r="C144" i="15"/>
  <c r="C48" i="15"/>
  <c r="C15" i="15"/>
  <c r="C775" i="15" l="1"/>
  <c r="C730" i="15"/>
  <c r="C696" i="15"/>
  <c r="C659" i="15"/>
  <c r="C623" i="15"/>
  <c r="C582" i="15"/>
  <c r="C540" i="15"/>
  <c r="C499" i="15"/>
  <c r="C461" i="15"/>
  <c r="C416" i="15"/>
  <c r="GN16" i="19"/>
  <c r="GK17" i="19"/>
  <c r="GA17" i="19"/>
  <c r="FQ17" i="19"/>
  <c r="FG17" i="19"/>
  <c r="EW17" i="19"/>
  <c r="EM17" i="19"/>
  <c r="EC17" i="19"/>
  <c r="DS17" i="19"/>
  <c r="DL16" i="19"/>
  <c r="DI17" i="19"/>
  <c r="CY17" i="19"/>
  <c r="CO17" i="19"/>
  <c r="CE17" i="19"/>
  <c r="BU17" i="19"/>
  <c r="BK17" i="19"/>
  <c r="BA17" i="19"/>
  <c r="AQ17" i="19"/>
  <c r="AG17" i="19"/>
  <c r="W17" i="19"/>
  <c r="M17" i="19"/>
  <c r="GK17" i="18"/>
  <c r="GA17" i="18"/>
  <c r="FQ17" i="18"/>
  <c r="FG17" i="18"/>
  <c r="EW17" i="18"/>
  <c r="EM17" i="18"/>
  <c r="EC17" i="18"/>
  <c r="DS17" i="18"/>
  <c r="DI17" i="18"/>
  <c r="CY17" i="18"/>
  <c r="CR16" i="18"/>
  <c r="CO17" i="18"/>
  <c r="CE17" i="18"/>
  <c r="BU17" i="18"/>
  <c r="BK18" i="18"/>
  <c r="BA17" i="18"/>
  <c r="AQ17" i="18"/>
  <c r="AG17" i="18"/>
  <c r="W17" i="18"/>
  <c r="M17" i="18"/>
  <c r="C17" i="19"/>
  <c r="GK17" i="17"/>
  <c r="GA17" i="17"/>
  <c r="FQ17" i="17"/>
  <c r="FG17" i="17"/>
  <c r="EW17" i="17"/>
  <c r="EM17" i="17"/>
  <c r="EC17" i="17"/>
  <c r="DS17" i="17"/>
  <c r="DI17" i="17"/>
  <c r="CY17" i="17"/>
  <c r="CO17" i="17"/>
  <c r="CE17" i="17"/>
  <c r="BU17" i="17"/>
  <c r="BK17" i="17"/>
  <c r="BA17" i="17"/>
  <c r="AQ17" i="17"/>
  <c r="AG17" i="17"/>
  <c r="W17" i="17"/>
  <c r="M17" i="17"/>
  <c r="GK17" i="16"/>
  <c r="GA17" i="16"/>
  <c r="GD16" i="16"/>
  <c r="FQ17" i="16"/>
  <c r="FG17" i="16"/>
  <c r="EZ16" i="16"/>
  <c r="EW17" i="16"/>
  <c r="EM17" i="16"/>
  <c r="EC17" i="16"/>
  <c r="DS17" i="16"/>
  <c r="DI17" i="16"/>
  <c r="CY17" i="16"/>
  <c r="CO17" i="16"/>
  <c r="CH16" i="16"/>
  <c r="CE17" i="16"/>
  <c r="BU17" i="16"/>
  <c r="BK17" i="16"/>
  <c r="C376" i="15"/>
  <c r="C337" i="15"/>
  <c r="C303" i="15"/>
  <c r="C265" i="15"/>
  <c r="C228" i="15"/>
  <c r="C184" i="15"/>
  <c r="C145" i="15"/>
  <c r="C49" i="15"/>
  <c r="C16" i="15"/>
  <c r="C776" i="15" l="1"/>
  <c r="C731" i="15"/>
  <c r="C697" i="15"/>
  <c r="C660" i="15"/>
  <c r="C624" i="15"/>
  <c r="C583" i="15"/>
  <c r="C541" i="15"/>
  <c r="C500" i="15"/>
  <c r="C462" i="15"/>
  <c r="C417" i="15"/>
  <c r="GN17" i="19"/>
  <c r="GK18" i="19"/>
  <c r="GA18" i="19"/>
  <c r="FQ18" i="19"/>
  <c r="FG18" i="19"/>
  <c r="EW18" i="19"/>
  <c r="EM18" i="19"/>
  <c r="EC18" i="19"/>
  <c r="DS18" i="19"/>
  <c r="DL17" i="19"/>
  <c r="DI18" i="19"/>
  <c r="CY18" i="19"/>
  <c r="CO18" i="19"/>
  <c r="CE18" i="19"/>
  <c r="BU18" i="19"/>
  <c r="BK18" i="19"/>
  <c r="BA18" i="19"/>
  <c r="AQ18" i="19"/>
  <c r="AG18" i="19"/>
  <c r="W18" i="19"/>
  <c r="M18" i="19"/>
  <c r="GK18" i="18"/>
  <c r="GA18" i="18"/>
  <c r="FQ18" i="18"/>
  <c r="FG18" i="18"/>
  <c r="EW18" i="18"/>
  <c r="EM18" i="18"/>
  <c r="EC18" i="18"/>
  <c r="DS18" i="18"/>
  <c r="DI18" i="18"/>
  <c r="CY18" i="18"/>
  <c r="CR17" i="18"/>
  <c r="CO18" i="18"/>
  <c r="CE18" i="18"/>
  <c r="BU18" i="18"/>
  <c r="BK19" i="18"/>
  <c r="BA18" i="18"/>
  <c r="AQ18" i="18"/>
  <c r="AG18" i="18"/>
  <c r="W18" i="18"/>
  <c r="M18" i="18"/>
  <c r="C18" i="19"/>
  <c r="GK18" i="17"/>
  <c r="GA18" i="17"/>
  <c r="FQ18" i="17"/>
  <c r="FG18" i="17"/>
  <c r="EW18" i="17"/>
  <c r="EM18" i="17"/>
  <c r="EC18" i="17"/>
  <c r="DS18" i="17"/>
  <c r="DI18" i="17"/>
  <c r="CY18" i="17"/>
  <c r="CO18" i="17"/>
  <c r="CE18" i="17"/>
  <c r="BU18" i="17"/>
  <c r="BK18" i="17"/>
  <c r="BA18" i="17"/>
  <c r="AQ18" i="17"/>
  <c r="AG18" i="17"/>
  <c r="W18" i="17"/>
  <c r="M18" i="17"/>
  <c r="GK18" i="16"/>
  <c r="GD17" i="16"/>
  <c r="GA18" i="16"/>
  <c r="FQ18" i="16"/>
  <c r="FG18" i="16"/>
  <c r="EZ17" i="16"/>
  <c r="EW18" i="16"/>
  <c r="EM18" i="16"/>
  <c r="EC18" i="16"/>
  <c r="DS18" i="16"/>
  <c r="DI18" i="16"/>
  <c r="CY18" i="16"/>
  <c r="CO18" i="16"/>
  <c r="CH17" i="16"/>
  <c r="CE18" i="16"/>
  <c r="BU18" i="16"/>
  <c r="BK18" i="16"/>
  <c r="C377" i="15"/>
  <c r="C338" i="15"/>
  <c r="C304" i="15"/>
  <c r="C266" i="15"/>
  <c r="C229" i="15"/>
  <c r="C185" i="15"/>
  <c r="C146" i="15"/>
  <c r="C50" i="15"/>
  <c r="C17" i="15"/>
  <c r="C777" i="15" l="1"/>
  <c r="C732" i="15"/>
  <c r="C698" i="15"/>
  <c r="C661" i="15"/>
  <c r="C625" i="15"/>
  <c r="C584" i="15"/>
  <c r="C542" i="15"/>
  <c r="C501" i="15"/>
  <c r="C463" i="15"/>
  <c r="C418" i="15"/>
  <c r="GN18" i="19"/>
  <c r="GK19" i="19"/>
  <c r="GA19" i="19"/>
  <c r="FQ19" i="19"/>
  <c r="FG19" i="19"/>
  <c r="EW19" i="19"/>
  <c r="EM19" i="19"/>
  <c r="EC19" i="19"/>
  <c r="DS19" i="19"/>
  <c r="DL18" i="19"/>
  <c r="DI19" i="19"/>
  <c r="CY19" i="19"/>
  <c r="CO19" i="19"/>
  <c r="CE19" i="19"/>
  <c r="BU19" i="19"/>
  <c r="BK19" i="19"/>
  <c r="BA19" i="19"/>
  <c r="AQ19" i="19"/>
  <c r="AG19" i="19"/>
  <c r="W19" i="19"/>
  <c r="M19" i="19"/>
  <c r="GK19" i="18"/>
  <c r="GA19" i="18"/>
  <c r="FQ19" i="18"/>
  <c r="FG19" i="18"/>
  <c r="EW19" i="18"/>
  <c r="EM19" i="18"/>
  <c r="EC19" i="18"/>
  <c r="DS19" i="18"/>
  <c r="DI19" i="18"/>
  <c r="CY19" i="18"/>
  <c r="CR18" i="18"/>
  <c r="CO19" i="18"/>
  <c r="CE19" i="18"/>
  <c r="BU19" i="18"/>
  <c r="BK20" i="18"/>
  <c r="BA19" i="18"/>
  <c r="AQ19" i="18"/>
  <c r="AG19" i="18"/>
  <c r="W19" i="18"/>
  <c r="M19" i="18"/>
  <c r="C19" i="19"/>
  <c r="GK19" i="17"/>
  <c r="GA19" i="17"/>
  <c r="FQ19" i="17"/>
  <c r="FG19" i="17"/>
  <c r="EW19" i="17"/>
  <c r="EM19" i="17"/>
  <c r="EC19" i="17"/>
  <c r="DS19" i="17"/>
  <c r="DI19" i="17"/>
  <c r="CY19" i="17"/>
  <c r="CO19" i="17"/>
  <c r="CE19" i="17"/>
  <c r="BU19" i="17"/>
  <c r="BK19" i="17"/>
  <c r="BA19" i="17"/>
  <c r="AQ19" i="17"/>
  <c r="AG19" i="17"/>
  <c r="W19" i="17"/>
  <c r="M19" i="17"/>
  <c r="GK19" i="16"/>
  <c r="GA19" i="16"/>
  <c r="GD18" i="16"/>
  <c r="FQ19" i="16"/>
  <c r="FG19" i="16"/>
  <c r="EZ18" i="16"/>
  <c r="EW19" i="16"/>
  <c r="EM19" i="16"/>
  <c r="EC19" i="16"/>
  <c r="DS19" i="16"/>
  <c r="DI19" i="16"/>
  <c r="CY19" i="16"/>
  <c r="CO19" i="16"/>
  <c r="CH18" i="16"/>
  <c r="CE19" i="16"/>
  <c r="BU19" i="16"/>
  <c r="BK19" i="16"/>
  <c r="C378" i="15"/>
  <c r="C339" i="15"/>
  <c r="C305" i="15"/>
  <c r="C267" i="15"/>
  <c r="C230" i="15"/>
  <c r="C186" i="15"/>
  <c r="C147" i="15"/>
  <c r="C51" i="15"/>
  <c r="C18" i="15"/>
  <c r="C778" i="15" l="1"/>
  <c r="C733" i="15"/>
  <c r="C699" i="15"/>
  <c r="C662" i="15"/>
  <c r="C626" i="15"/>
  <c r="C585" i="15"/>
  <c r="C543" i="15"/>
  <c r="C502" i="15"/>
  <c r="C464" i="15"/>
  <c r="C419" i="15"/>
  <c r="GN19" i="19"/>
  <c r="GK20" i="19"/>
  <c r="GA20" i="19"/>
  <c r="FQ20" i="19"/>
  <c r="FG20" i="19"/>
  <c r="EW20" i="19"/>
  <c r="EM20" i="19"/>
  <c r="EC20" i="19"/>
  <c r="DS20" i="19"/>
  <c r="DL19" i="19"/>
  <c r="DI20" i="19"/>
  <c r="CY20" i="19"/>
  <c r="CO20" i="19"/>
  <c r="CE20" i="19"/>
  <c r="BU20" i="19"/>
  <c r="BK20" i="19"/>
  <c r="BA20" i="19"/>
  <c r="AQ20" i="19"/>
  <c r="AG20" i="19"/>
  <c r="W20" i="19"/>
  <c r="M20" i="19"/>
  <c r="GK20" i="18"/>
  <c r="GA20" i="18"/>
  <c r="FQ20" i="18"/>
  <c r="FG20" i="18"/>
  <c r="EW20" i="18"/>
  <c r="EM20" i="18"/>
  <c r="EC20" i="18"/>
  <c r="DS20" i="18"/>
  <c r="DI20" i="18"/>
  <c r="CY20" i="18"/>
  <c r="CR19" i="18"/>
  <c r="CO20" i="18"/>
  <c r="CE20" i="18"/>
  <c r="BU20" i="18"/>
  <c r="BK21" i="18"/>
  <c r="BA20" i="18"/>
  <c r="AQ20" i="18"/>
  <c r="AG20" i="18"/>
  <c r="W20" i="18"/>
  <c r="M20" i="18"/>
  <c r="C20" i="19"/>
  <c r="GK20" i="17"/>
  <c r="GA20" i="17"/>
  <c r="FQ20" i="17"/>
  <c r="FG20" i="17"/>
  <c r="EW20" i="17"/>
  <c r="EM20" i="17"/>
  <c r="EC20" i="17"/>
  <c r="DS20" i="17"/>
  <c r="DI20" i="17"/>
  <c r="CY20" i="17"/>
  <c r="CO20" i="17"/>
  <c r="CE20" i="17"/>
  <c r="BU20" i="17"/>
  <c r="BK20" i="17"/>
  <c r="BA20" i="17"/>
  <c r="AQ20" i="17"/>
  <c r="AG20" i="17"/>
  <c r="W20" i="17"/>
  <c r="M20" i="17"/>
  <c r="GK20" i="16"/>
  <c r="GA20" i="16"/>
  <c r="GD19" i="16"/>
  <c r="FQ20" i="16"/>
  <c r="FG20" i="16"/>
  <c r="EZ19" i="16"/>
  <c r="EW20" i="16"/>
  <c r="EM20" i="16"/>
  <c r="EC20" i="16"/>
  <c r="DS20" i="16"/>
  <c r="DI20" i="16"/>
  <c r="CY20" i="16"/>
  <c r="CO20" i="16"/>
  <c r="CH19" i="16"/>
  <c r="CE20" i="16"/>
  <c r="BU20" i="16"/>
  <c r="BK20" i="16"/>
  <c r="C379" i="15"/>
  <c r="C340" i="15"/>
  <c r="C306" i="15"/>
  <c r="C268" i="15"/>
  <c r="C231" i="15"/>
  <c r="C187" i="15"/>
  <c r="C148" i="15"/>
  <c r="C52" i="15"/>
  <c r="C19" i="15"/>
  <c r="C779" i="15" l="1"/>
  <c r="C734" i="15"/>
  <c r="C700" i="15"/>
  <c r="C663" i="15"/>
  <c r="C627" i="15"/>
  <c r="C586" i="15"/>
  <c r="C544" i="15"/>
  <c r="C503" i="15"/>
  <c r="C465" i="15"/>
  <c r="C420" i="15"/>
  <c r="GN20" i="19"/>
  <c r="GK21" i="19"/>
  <c r="GA21" i="19"/>
  <c r="FQ21" i="19"/>
  <c r="FG21" i="19"/>
  <c r="EW21" i="19"/>
  <c r="EM21" i="19"/>
  <c r="EC21" i="19"/>
  <c r="DS21" i="19"/>
  <c r="DL20" i="19"/>
  <c r="DI21" i="19"/>
  <c r="CY21" i="19"/>
  <c r="CO21" i="19"/>
  <c r="CE21" i="19"/>
  <c r="BU21" i="19"/>
  <c r="BK21" i="19"/>
  <c r="BA21" i="19"/>
  <c r="AQ21" i="19"/>
  <c r="AG21" i="19"/>
  <c r="W21" i="19"/>
  <c r="M21" i="19"/>
  <c r="GK21" i="18"/>
  <c r="GA21" i="18"/>
  <c r="FQ21" i="18"/>
  <c r="FG21" i="18"/>
  <c r="EW21" i="18"/>
  <c r="EM21" i="18"/>
  <c r="EC21" i="18"/>
  <c r="DS21" i="18"/>
  <c r="DI21" i="18"/>
  <c r="CY21" i="18"/>
  <c r="CR20" i="18"/>
  <c r="CO21" i="18"/>
  <c r="CE21" i="18"/>
  <c r="BU21" i="18"/>
  <c r="BK22" i="18"/>
  <c r="BA21" i="18"/>
  <c r="AQ21" i="18"/>
  <c r="AG21" i="18"/>
  <c r="W21" i="18"/>
  <c r="M21" i="18"/>
  <c r="C21" i="19"/>
  <c r="GK21" i="17"/>
  <c r="GA21" i="17"/>
  <c r="FQ21" i="17"/>
  <c r="FG21" i="17"/>
  <c r="EW21" i="17"/>
  <c r="EM21" i="17"/>
  <c r="EC21" i="17"/>
  <c r="DS21" i="17"/>
  <c r="DI21" i="17"/>
  <c r="CY21" i="17"/>
  <c r="CO21" i="17"/>
  <c r="CE21" i="17"/>
  <c r="BU21" i="17"/>
  <c r="BK21" i="17"/>
  <c r="BA21" i="17"/>
  <c r="AQ21" i="17"/>
  <c r="AG21" i="17"/>
  <c r="W21" i="17"/>
  <c r="M21" i="17"/>
  <c r="GK21" i="16"/>
  <c r="GD20" i="16"/>
  <c r="GA21" i="16"/>
  <c r="FQ21" i="16"/>
  <c r="FG21" i="16"/>
  <c r="EZ20" i="16"/>
  <c r="EW21" i="16"/>
  <c r="EM21" i="16"/>
  <c r="EC21" i="16"/>
  <c r="DS21" i="16"/>
  <c r="DI21" i="16"/>
  <c r="CY21" i="16"/>
  <c r="CO21" i="16"/>
  <c r="CE21" i="16"/>
  <c r="CH20" i="16"/>
  <c r="BU21" i="16"/>
  <c r="BK21" i="16"/>
  <c r="C380" i="15"/>
  <c r="C341" i="15"/>
  <c r="C307" i="15"/>
  <c r="C269" i="15"/>
  <c r="C232" i="15"/>
  <c r="C188" i="15"/>
  <c r="C149" i="15"/>
  <c r="C53" i="15"/>
  <c r="C97" i="15" s="1"/>
  <c r="C20" i="15"/>
  <c r="C780" i="15" l="1"/>
  <c r="C735" i="15"/>
  <c r="C701" i="15"/>
  <c r="C664" i="15"/>
  <c r="C628" i="15"/>
  <c r="C587" i="15"/>
  <c r="C545" i="15"/>
  <c r="C504" i="15"/>
  <c r="C466" i="15"/>
  <c r="C421" i="15"/>
  <c r="GN21" i="19"/>
  <c r="GK22" i="19"/>
  <c r="GA22" i="19"/>
  <c r="FQ22" i="19"/>
  <c r="FG22" i="19"/>
  <c r="EW22" i="19"/>
  <c r="EM22" i="19"/>
  <c r="EC22" i="19"/>
  <c r="DS22" i="19"/>
  <c r="DI22" i="19"/>
  <c r="DL21" i="19"/>
  <c r="CY22" i="19"/>
  <c r="CO22" i="19"/>
  <c r="CE22" i="19"/>
  <c r="BU22" i="19"/>
  <c r="BK22" i="19"/>
  <c r="BA22" i="19"/>
  <c r="AQ22" i="19"/>
  <c r="AG22" i="19"/>
  <c r="W22" i="19"/>
  <c r="M22" i="19"/>
  <c r="GK22" i="18"/>
  <c r="GA22" i="18"/>
  <c r="FQ22" i="18"/>
  <c r="FG22" i="18"/>
  <c r="EW22" i="18"/>
  <c r="EM22" i="18"/>
  <c r="EC22" i="18"/>
  <c r="DS22" i="18"/>
  <c r="DI22" i="18"/>
  <c r="CY22" i="18"/>
  <c r="CR21" i="18"/>
  <c r="CO22" i="18"/>
  <c r="CE22" i="18"/>
  <c r="BU22" i="18"/>
  <c r="BK23" i="18"/>
  <c r="BA22" i="18"/>
  <c r="AQ22" i="18"/>
  <c r="AG22" i="18"/>
  <c r="W22" i="18"/>
  <c r="M22" i="18"/>
  <c r="C22" i="19"/>
  <c r="GK22" i="17"/>
  <c r="GA22" i="17"/>
  <c r="FQ22" i="17"/>
  <c r="FG22" i="17"/>
  <c r="EW22" i="17"/>
  <c r="EM22" i="17"/>
  <c r="EC22" i="17"/>
  <c r="DS22" i="17"/>
  <c r="DI22" i="17"/>
  <c r="CY22" i="17"/>
  <c r="CO22" i="17"/>
  <c r="CE22" i="17"/>
  <c r="BU22" i="17"/>
  <c r="BK22" i="17"/>
  <c r="BA22" i="17"/>
  <c r="AQ22" i="17"/>
  <c r="AG22" i="17"/>
  <c r="W22" i="17"/>
  <c r="M22" i="17"/>
  <c r="GK22" i="16"/>
  <c r="GD21" i="16"/>
  <c r="GA22" i="16"/>
  <c r="FQ22" i="16"/>
  <c r="FG22" i="16"/>
  <c r="EZ21" i="16"/>
  <c r="EW22" i="16"/>
  <c r="EM22" i="16"/>
  <c r="EC22" i="16"/>
  <c r="DS22" i="16"/>
  <c r="DI22" i="16"/>
  <c r="CY22" i="16"/>
  <c r="CO22" i="16"/>
  <c r="CH21" i="16"/>
  <c r="CE22" i="16"/>
  <c r="BU22" i="16"/>
  <c r="BK22" i="16"/>
  <c r="C381" i="15"/>
  <c r="C342" i="15"/>
  <c r="C308" i="15"/>
  <c r="C270" i="15"/>
  <c r="C233" i="15"/>
  <c r="C189" i="15"/>
  <c r="C150" i="15"/>
  <c r="C54" i="15"/>
  <c r="C98" i="15" s="1"/>
  <c r="C99" i="15" s="1"/>
  <c r="C100" i="15" s="1"/>
  <c r="C101" i="15" s="1"/>
  <c r="C102" i="15" s="1"/>
  <c r="C103" i="15" s="1"/>
  <c r="C104" i="15" s="1"/>
  <c r="C105" i="15" s="1"/>
  <c r="C106" i="15" s="1"/>
  <c r="C21" i="15"/>
  <c r="C781" i="15" l="1"/>
  <c r="C736" i="15"/>
  <c r="C702" i="15"/>
  <c r="C665" i="15"/>
  <c r="C629" i="15"/>
  <c r="C588" i="15"/>
  <c r="C546" i="15"/>
  <c r="C505" i="15"/>
  <c r="C467" i="15"/>
  <c r="C422" i="15"/>
  <c r="GN22" i="19"/>
  <c r="GK23" i="19"/>
  <c r="GA23" i="19"/>
  <c r="FQ23" i="19"/>
  <c r="FG23" i="19"/>
  <c r="EW23" i="19"/>
  <c r="EM23" i="19"/>
  <c r="EC23" i="19"/>
  <c r="DS23" i="19"/>
  <c r="DL22" i="19"/>
  <c r="DI23" i="19"/>
  <c r="CY23" i="19"/>
  <c r="CO23" i="19"/>
  <c r="CE23" i="19"/>
  <c r="BU23" i="19"/>
  <c r="BK23" i="19"/>
  <c r="BA23" i="19"/>
  <c r="AQ23" i="19"/>
  <c r="AG23" i="19"/>
  <c r="W23" i="19"/>
  <c r="M23" i="19"/>
  <c r="GK23" i="18"/>
  <c r="GA23" i="18"/>
  <c r="FQ23" i="18"/>
  <c r="FG23" i="18"/>
  <c r="EW23" i="18"/>
  <c r="EM23" i="18"/>
  <c r="EC23" i="18"/>
  <c r="DS23" i="18"/>
  <c r="DI23" i="18"/>
  <c r="CY23" i="18"/>
  <c r="CR22" i="18"/>
  <c r="CO23" i="18"/>
  <c r="CE23" i="18"/>
  <c r="BU23" i="18"/>
  <c r="BK24" i="18"/>
  <c r="BA23" i="18"/>
  <c r="AQ23" i="18"/>
  <c r="AG23" i="18"/>
  <c r="W23" i="18"/>
  <c r="M23" i="18"/>
  <c r="C23" i="19"/>
  <c r="GK23" i="17"/>
  <c r="GA23" i="17"/>
  <c r="FQ23" i="17"/>
  <c r="FG23" i="17"/>
  <c r="EW23" i="17"/>
  <c r="EM23" i="17"/>
  <c r="EC23" i="17"/>
  <c r="DS23" i="17"/>
  <c r="DI23" i="17"/>
  <c r="CY23" i="17"/>
  <c r="CO23" i="17"/>
  <c r="CE23" i="17"/>
  <c r="BU23" i="17"/>
  <c r="BK23" i="17"/>
  <c r="BA23" i="17"/>
  <c r="AQ23" i="17"/>
  <c r="AG23" i="17"/>
  <c r="W23" i="17"/>
  <c r="M23" i="17"/>
  <c r="GK23" i="16"/>
  <c r="GD22" i="16"/>
  <c r="GA23" i="16"/>
  <c r="FQ23" i="16"/>
  <c r="FG23" i="16"/>
  <c r="EZ22" i="16"/>
  <c r="EW23" i="16"/>
  <c r="EM23" i="16"/>
  <c r="EC23" i="16"/>
  <c r="DS23" i="16"/>
  <c r="DI23" i="16"/>
  <c r="CY23" i="16"/>
  <c r="CO23" i="16"/>
  <c r="CH22" i="16"/>
  <c r="CE23" i="16"/>
  <c r="BU23" i="16"/>
  <c r="BK23" i="16"/>
  <c r="C382" i="15"/>
  <c r="C343" i="15"/>
  <c r="C309" i="15"/>
  <c r="C271" i="15"/>
  <c r="C234" i="15"/>
  <c r="C190" i="15"/>
  <c r="C151" i="15"/>
  <c r="C55" i="15"/>
  <c r="C107" i="15" s="1"/>
  <c r="C108" i="15" s="1"/>
  <c r="C22" i="15"/>
  <c r="C782" i="15" l="1"/>
  <c r="C737" i="15"/>
  <c r="C703" i="15"/>
  <c r="C666" i="15"/>
  <c r="C630" i="15"/>
  <c r="C589" i="15"/>
  <c r="C547" i="15"/>
  <c r="C506" i="15"/>
  <c r="C468" i="15"/>
  <c r="C423" i="15"/>
  <c r="GK24" i="19"/>
  <c r="GN23" i="19"/>
  <c r="GA24" i="19"/>
  <c r="FQ24" i="19"/>
  <c r="FG24" i="19"/>
  <c r="EW24" i="19"/>
  <c r="EM24" i="19"/>
  <c r="EC24" i="19"/>
  <c r="DS24" i="19"/>
  <c r="DL23" i="19"/>
  <c r="DI24" i="19"/>
  <c r="CY24" i="19"/>
  <c r="CO24" i="19"/>
  <c r="CE24" i="19"/>
  <c r="BU24" i="19"/>
  <c r="BK24" i="19"/>
  <c r="BA24" i="19"/>
  <c r="AQ24" i="19"/>
  <c r="AG24" i="19"/>
  <c r="W24" i="19"/>
  <c r="M24" i="19"/>
  <c r="GK24" i="18"/>
  <c r="GA24" i="18"/>
  <c r="FQ24" i="18"/>
  <c r="FG24" i="18"/>
  <c r="EW24" i="18"/>
  <c r="EM24" i="18"/>
  <c r="EC24" i="18"/>
  <c r="DS24" i="18"/>
  <c r="DI24" i="18"/>
  <c r="CY24" i="18"/>
  <c r="CR23" i="18"/>
  <c r="CO24" i="18"/>
  <c r="CE24" i="18"/>
  <c r="BU24" i="18"/>
  <c r="BK25" i="18"/>
  <c r="BA24" i="18"/>
  <c r="AQ24" i="18"/>
  <c r="AG24" i="18"/>
  <c r="W24" i="18"/>
  <c r="M24" i="18"/>
  <c r="C24" i="19"/>
  <c r="GK24" i="17"/>
  <c r="GA24" i="17"/>
  <c r="FQ24" i="17"/>
  <c r="FG24" i="17"/>
  <c r="EW24" i="17"/>
  <c r="EM24" i="17"/>
  <c r="EC24" i="17"/>
  <c r="DS24" i="17"/>
  <c r="DI24" i="17"/>
  <c r="CY24" i="17"/>
  <c r="CO24" i="17"/>
  <c r="CE24" i="17"/>
  <c r="BU24" i="17"/>
  <c r="BK24" i="17"/>
  <c r="BA24" i="17"/>
  <c r="AQ24" i="17"/>
  <c r="AG24" i="17"/>
  <c r="W24" i="17"/>
  <c r="M24" i="17"/>
  <c r="GK24" i="16"/>
  <c r="GD23" i="16"/>
  <c r="GA24" i="16"/>
  <c r="FQ24" i="16"/>
  <c r="FG24" i="16"/>
  <c r="EZ23" i="16"/>
  <c r="EW24" i="16"/>
  <c r="EM24" i="16"/>
  <c r="EC24" i="16"/>
  <c r="DS24" i="16"/>
  <c r="DI24" i="16"/>
  <c r="CY24" i="16"/>
  <c r="CO24" i="16"/>
  <c r="CH23" i="16"/>
  <c r="CE24" i="16"/>
  <c r="BU24" i="16"/>
  <c r="BK24" i="16"/>
  <c r="C383" i="15"/>
  <c r="C344" i="15"/>
  <c r="C310" i="15"/>
  <c r="C272" i="15"/>
  <c r="C235" i="15"/>
  <c r="C191" i="15"/>
  <c r="C152" i="15"/>
  <c r="C56" i="15"/>
  <c r="C23" i="15"/>
  <c r="C783" i="15" l="1"/>
  <c r="C738" i="15"/>
  <c r="C704" i="15"/>
  <c r="C667" i="15"/>
  <c r="C631" i="15"/>
  <c r="C590" i="15"/>
  <c r="C548" i="15"/>
  <c r="C507" i="15"/>
  <c r="C469" i="15"/>
  <c r="C424" i="15"/>
  <c r="GN24" i="19"/>
  <c r="GK25" i="19"/>
  <c r="GA25" i="19"/>
  <c r="FQ25" i="19"/>
  <c r="FG25" i="19"/>
  <c r="EW25" i="19"/>
  <c r="EM25" i="19"/>
  <c r="EC25" i="19"/>
  <c r="DS25" i="19"/>
  <c r="DL24" i="19"/>
  <c r="DI25" i="19"/>
  <c r="CY25" i="19"/>
  <c r="CO25" i="19"/>
  <c r="CE25" i="19"/>
  <c r="BU25" i="19"/>
  <c r="BK25" i="19"/>
  <c r="BA25" i="19"/>
  <c r="AQ25" i="19"/>
  <c r="AG25" i="19"/>
  <c r="W25" i="19"/>
  <c r="M25" i="19"/>
  <c r="GK25" i="18"/>
  <c r="GA25" i="18"/>
  <c r="FQ25" i="18"/>
  <c r="FG25" i="18"/>
  <c r="EW25" i="18"/>
  <c r="EM25" i="18"/>
  <c r="EC25" i="18"/>
  <c r="DS25" i="18"/>
  <c r="DI25" i="18"/>
  <c r="CY25" i="18"/>
  <c r="CO25" i="18"/>
  <c r="CR24" i="18"/>
  <c r="CE25" i="18"/>
  <c r="BU25" i="18"/>
  <c r="BK26" i="18"/>
  <c r="BA25" i="18"/>
  <c r="AQ25" i="18"/>
  <c r="AG25" i="18"/>
  <c r="W25" i="18"/>
  <c r="M25" i="18"/>
  <c r="C25" i="19"/>
  <c r="GK25" i="17"/>
  <c r="GA25" i="17"/>
  <c r="FQ25" i="17"/>
  <c r="FG25" i="17"/>
  <c r="EW25" i="17"/>
  <c r="EM25" i="17"/>
  <c r="EC25" i="17"/>
  <c r="DS25" i="17"/>
  <c r="DI25" i="17"/>
  <c r="CY25" i="17"/>
  <c r="CO25" i="17"/>
  <c r="CE25" i="17"/>
  <c r="BU25" i="17"/>
  <c r="BK25" i="17"/>
  <c r="BA25" i="17"/>
  <c r="AQ25" i="17"/>
  <c r="AG25" i="17"/>
  <c r="W25" i="17"/>
  <c r="M25" i="17"/>
  <c r="GK25" i="16"/>
  <c r="GD24" i="16"/>
  <c r="GA25" i="16"/>
  <c r="FQ25" i="16"/>
  <c r="FG25" i="16"/>
  <c r="EZ24" i="16"/>
  <c r="EW25" i="16"/>
  <c r="EM25" i="16"/>
  <c r="EC25" i="16"/>
  <c r="DS25" i="16"/>
  <c r="DI25" i="16"/>
  <c r="CY25" i="16"/>
  <c r="CO25" i="16"/>
  <c r="CH24" i="16"/>
  <c r="CE25" i="16"/>
  <c r="BU25" i="16"/>
  <c r="BK25" i="16"/>
  <c r="C384" i="15"/>
  <c r="C345" i="15"/>
  <c r="C311" i="15"/>
  <c r="C273" i="15"/>
  <c r="C236" i="15"/>
  <c r="C192" i="15"/>
  <c r="C153" i="15"/>
  <c r="C57" i="15"/>
  <c r="C24" i="15"/>
  <c r="C784" i="15" l="1"/>
  <c r="C739" i="15"/>
  <c r="C705" i="15"/>
  <c r="C668" i="15"/>
  <c r="C632" i="15"/>
  <c r="C591" i="15"/>
  <c r="C549" i="15"/>
  <c r="C508" i="15"/>
  <c r="C470" i="15"/>
  <c r="C425" i="15"/>
  <c r="GN25" i="19"/>
  <c r="GK26" i="19"/>
  <c r="GA26" i="19"/>
  <c r="FQ26" i="19"/>
  <c r="FG26" i="19"/>
  <c r="EW26" i="19"/>
  <c r="EM26" i="19"/>
  <c r="EC26" i="19"/>
  <c r="DS26" i="19"/>
  <c r="DL25" i="19"/>
  <c r="DI26" i="19"/>
  <c r="CY26" i="19"/>
  <c r="CO26" i="19"/>
  <c r="CE26" i="19"/>
  <c r="BU26" i="19"/>
  <c r="BK26" i="19"/>
  <c r="BA26" i="19"/>
  <c r="AQ26" i="19"/>
  <c r="AG26" i="19"/>
  <c r="W26" i="19"/>
  <c r="M26" i="19"/>
  <c r="GK26" i="18"/>
  <c r="GA26" i="18"/>
  <c r="FQ26" i="18"/>
  <c r="FG26" i="18"/>
  <c r="EW26" i="18"/>
  <c r="EM26" i="18"/>
  <c r="EC26" i="18"/>
  <c r="DS26" i="18"/>
  <c r="DI26" i="18"/>
  <c r="CY26" i="18"/>
  <c r="CR25" i="18"/>
  <c r="CO26" i="18"/>
  <c r="CE26" i="18"/>
  <c r="BU26" i="18"/>
  <c r="BK27" i="18"/>
  <c r="BA26" i="18"/>
  <c r="AQ26" i="18"/>
  <c r="AG26" i="18"/>
  <c r="W26" i="18"/>
  <c r="M26" i="18"/>
  <c r="C26" i="19"/>
  <c r="GK26" i="17"/>
  <c r="GA26" i="17"/>
  <c r="FQ26" i="17"/>
  <c r="FG26" i="17"/>
  <c r="EW26" i="17"/>
  <c r="EM26" i="17"/>
  <c r="EC26" i="17"/>
  <c r="DS26" i="17"/>
  <c r="DI26" i="17"/>
  <c r="CY26" i="17"/>
  <c r="CO26" i="17"/>
  <c r="CE26" i="17"/>
  <c r="BU26" i="17"/>
  <c r="BK26" i="17"/>
  <c r="BA26" i="17"/>
  <c r="AQ26" i="17"/>
  <c r="AG26" i="17"/>
  <c r="W26" i="17"/>
  <c r="M26" i="17"/>
  <c r="GK26" i="16"/>
  <c r="GD25" i="16"/>
  <c r="GA26" i="16"/>
  <c r="FQ26" i="16"/>
  <c r="FG26" i="16"/>
  <c r="EZ25" i="16"/>
  <c r="EW26" i="16"/>
  <c r="EM26" i="16"/>
  <c r="EC26" i="16"/>
  <c r="DS26" i="16"/>
  <c r="DI26" i="16"/>
  <c r="CY26" i="16"/>
  <c r="CO26" i="16"/>
  <c r="CH25" i="16"/>
  <c r="CE26" i="16"/>
  <c r="BU26" i="16"/>
  <c r="BK26" i="16"/>
  <c r="C385" i="15"/>
  <c r="C346" i="15"/>
  <c r="C312" i="15"/>
  <c r="C274" i="15"/>
  <c r="C237" i="15"/>
  <c r="C193" i="15"/>
  <c r="C154" i="15"/>
  <c r="C58" i="15"/>
  <c r="C25" i="15"/>
  <c r="C785" i="15" l="1"/>
  <c r="C740" i="15"/>
  <c r="C706" i="15"/>
  <c r="C669" i="15"/>
  <c r="C633" i="15"/>
  <c r="C592" i="15"/>
  <c r="C550" i="15"/>
  <c r="C509" i="15"/>
  <c r="C471" i="15"/>
  <c r="C426" i="15"/>
  <c r="GN26" i="19"/>
  <c r="GK27" i="19"/>
  <c r="GA27" i="19"/>
  <c r="FQ27" i="19"/>
  <c r="FG27" i="19"/>
  <c r="EW27" i="19"/>
  <c r="EM27" i="19"/>
  <c r="EC27" i="19"/>
  <c r="DS27" i="19"/>
  <c r="DL26" i="19"/>
  <c r="DI27" i="19"/>
  <c r="CY27" i="19"/>
  <c r="CO27" i="19"/>
  <c r="CE27" i="19"/>
  <c r="BU27" i="19"/>
  <c r="BK27" i="19"/>
  <c r="BA27" i="19"/>
  <c r="AQ27" i="19"/>
  <c r="AG27" i="19"/>
  <c r="W27" i="19"/>
  <c r="M27" i="19"/>
  <c r="GK27" i="18"/>
  <c r="GA27" i="18"/>
  <c r="FQ27" i="18"/>
  <c r="FG27" i="18"/>
  <c r="EW27" i="18"/>
  <c r="EM27" i="18"/>
  <c r="EC27" i="18"/>
  <c r="DS27" i="18"/>
  <c r="DI27" i="18"/>
  <c r="CY27" i="18"/>
  <c r="CR26" i="18"/>
  <c r="CO27" i="18"/>
  <c r="CE27" i="18"/>
  <c r="BU27" i="18"/>
  <c r="BK28" i="18"/>
  <c r="BA27" i="18"/>
  <c r="AQ27" i="18"/>
  <c r="AG27" i="18"/>
  <c r="W27" i="18"/>
  <c r="M27" i="18"/>
  <c r="C27" i="19"/>
  <c r="GK27" i="17"/>
  <c r="GA27" i="17"/>
  <c r="FQ27" i="17"/>
  <c r="FG27" i="17"/>
  <c r="EW27" i="17"/>
  <c r="EM27" i="17"/>
  <c r="EC27" i="17"/>
  <c r="DS27" i="17"/>
  <c r="DI27" i="17"/>
  <c r="CY27" i="17"/>
  <c r="CO27" i="17"/>
  <c r="CE27" i="17"/>
  <c r="BU27" i="17"/>
  <c r="BK27" i="17"/>
  <c r="BA27" i="17"/>
  <c r="AQ27" i="17"/>
  <c r="AG27" i="17"/>
  <c r="W27" i="17"/>
  <c r="M27" i="17"/>
  <c r="GK27" i="16"/>
  <c r="GD26" i="16"/>
  <c r="GA27" i="16"/>
  <c r="FQ27" i="16"/>
  <c r="FG27" i="16"/>
  <c r="EZ26" i="16"/>
  <c r="EW27" i="16"/>
  <c r="EM27" i="16"/>
  <c r="EC27" i="16"/>
  <c r="DS27" i="16"/>
  <c r="DI27" i="16"/>
  <c r="CY27" i="16"/>
  <c r="CO27" i="16"/>
  <c r="CH26" i="16"/>
  <c r="CE27" i="16"/>
  <c r="BU27" i="16"/>
  <c r="BK27" i="16"/>
  <c r="C386" i="15"/>
  <c r="C347" i="15"/>
  <c r="C313" i="15"/>
  <c r="C275" i="15"/>
  <c r="C238" i="15"/>
  <c r="C194" i="15"/>
  <c r="C155" i="15"/>
  <c r="C59" i="15"/>
  <c r="C109" i="15" s="1"/>
  <c r="C26" i="15"/>
  <c r="C786" i="15" l="1"/>
  <c r="C741" i="15"/>
  <c r="C707" i="15"/>
  <c r="C670" i="15"/>
  <c r="C634" i="15"/>
  <c r="C593" i="15"/>
  <c r="C551" i="15"/>
  <c r="C510" i="15"/>
  <c r="C472" i="15"/>
  <c r="C427" i="15"/>
  <c r="GN27" i="19"/>
  <c r="GK28" i="19"/>
  <c r="GA28" i="19"/>
  <c r="FQ28" i="19"/>
  <c r="FG28" i="19"/>
  <c r="EW28" i="19"/>
  <c r="EM28" i="19"/>
  <c r="EC28" i="19"/>
  <c r="DS28" i="19"/>
  <c r="DI28" i="19"/>
  <c r="DL27" i="19"/>
  <c r="CY28" i="19"/>
  <c r="CO28" i="19"/>
  <c r="CE28" i="19"/>
  <c r="BU28" i="19"/>
  <c r="BK28" i="19"/>
  <c r="BA28" i="19"/>
  <c r="AQ28" i="19"/>
  <c r="AG28" i="19"/>
  <c r="W28" i="19"/>
  <c r="M28" i="19"/>
  <c r="GK28" i="18"/>
  <c r="GA28" i="18"/>
  <c r="FQ28" i="18"/>
  <c r="FG28" i="18"/>
  <c r="EW28" i="18"/>
  <c r="EM28" i="18"/>
  <c r="EC28" i="18"/>
  <c r="DS28" i="18"/>
  <c r="DI28" i="18"/>
  <c r="CY28" i="18"/>
  <c r="CR27" i="18"/>
  <c r="CO28" i="18"/>
  <c r="CE28" i="18"/>
  <c r="BU28" i="18"/>
  <c r="BK29" i="18"/>
  <c r="BA28" i="18"/>
  <c r="AQ28" i="18"/>
  <c r="AG28" i="18"/>
  <c r="W28" i="18"/>
  <c r="M28" i="18"/>
  <c r="C28" i="19"/>
  <c r="GK28" i="17"/>
  <c r="GA28" i="17"/>
  <c r="FQ28" i="17"/>
  <c r="FG28" i="17"/>
  <c r="EW28" i="17"/>
  <c r="EM28" i="17"/>
  <c r="EC28" i="17"/>
  <c r="DS28" i="17"/>
  <c r="DI28" i="17"/>
  <c r="CY28" i="17"/>
  <c r="CO28" i="17"/>
  <c r="CE28" i="17"/>
  <c r="BU28" i="17"/>
  <c r="BK28" i="17"/>
  <c r="BA28" i="17"/>
  <c r="AQ28" i="17"/>
  <c r="AG28" i="17"/>
  <c r="W28" i="17"/>
  <c r="M28" i="17"/>
  <c r="GK28" i="16"/>
  <c r="GA28" i="16"/>
  <c r="GD27" i="16"/>
  <c r="FQ28" i="16"/>
  <c r="FG28" i="16"/>
  <c r="EZ27" i="16"/>
  <c r="EW28" i="16"/>
  <c r="EM28" i="16"/>
  <c r="EC28" i="16"/>
  <c r="DS28" i="16"/>
  <c r="DI28" i="16"/>
  <c r="CY28" i="16"/>
  <c r="CO28" i="16"/>
  <c r="CH27" i="16"/>
  <c r="CE28" i="16"/>
  <c r="BU28" i="16"/>
  <c r="BK28" i="16"/>
  <c r="C387" i="15"/>
  <c r="C348" i="15"/>
  <c r="C314" i="15"/>
  <c r="C276" i="15"/>
  <c r="C239" i="15"/>
  <c r="C195" i="15"/>
  <c r="C156" i="15"/>
  <c r="C60" i="15"/>
  <c r="C27" i="15"/>
  <c r="C787" i="15" l="1"/>
  <c r="C742" i="15"/>
  <c r="C708" i="15"/>
  <c r="C671" i="15"/>
  <c r="C635" i="15"/>
  <c r="C594" i="15"/>
  <c r="C552" i="15"/>
  <c r="C511" i="15"/>
  <c r="C473" i="15"/>
  <c r="C428" i="15"/>
  <c r="GN28" i="19"/>
  <c r="GK29" i="19"/>
  <c r="GA29" i="19"/>
  <c r="FQ29" i="19"/>
  <c r="FG29" i="19"/>
  <c r="EW29" i="19"/>
  <c r="EM29" i="19"/>
  <c r="EC29" i="19"/>
  <c r="DS29" i="19"/>
  <c r="DL28" i="19"/>
  <c r="DI29" i="19"/>
  <c r="CY29" i="19"/>
  <c r="CO29" i="19"/>
  <c r="CE29" i="19"/>
  <c r="BU29" i="19"/>
  <c r="BK29" i="19"/>
  <c r="BA29" i="19"/>
  <c r="AQ29" i="19"/>
  <c r="AG29" i="19"/>
  <c r="W29" i="19"/>
  <c r="M29" i="19"/>
  <c r="GK29" i="18"/>
  <c r="GA29" i="18"/>
  <c r="FQ29" i="18"/>
  <c r="FG29" i="18"/>
  <c r="EW29" i="18"/>
  <c r="EM29" i="18"/>
  <c r="EC29" i="18"/>
  <c r="DS29" i="18"/>
  <c r="DI29" i="18"/>
  <c r="CY29" i="18"/>
  <c r="CR28" i="18"/>
  <c r="CO29" i="18"/>
  <c r="CE29" i="18"/>
  <c r="BU29" i="18"/>
  <c r="BK30" i="18"/>
  <c r="BA29" i="18"/>
  <c r="AQ29" i="18"/>
  <c r="AG29" i="18"/>
  <c r="W29" i="18"/>
  <c r="M29" i="18"/>
  <c r="C29" i="19"/>
  <c r="GK29" i="17"/>
  <c r="GA29" i="17"/>
  <c r="FQ29" i="17"/>
  <c r="FG29" i="17"/>
  <c r="EW29" i="17"/>
  <c r="EM29" i="17"/>
  <c r="EC29" i="17"/>
  <c r="DS29" i="17"/>
  <c r="DI29" i="17"/>
  <c r="CY29" i="17"/>
  <c r="CO29" i="17"/>
  <c r="CE29" i="17"/>
  <c r="BU29" i="17"/>
  <c r="BK29" i="17"/>
  <c r="BA29" i="17"/>
  <c r="AQ29" i="17"/>
  <c r="AG29" i="17"/>
  <c r="W29" i="17"/>
  <c r="M29" i="17"/>
  <c r="GK29" i="16"/>
  <c r="GD28" i="16"/>
  <c r="GA29" i="16"/>
  <c r="FQ29" i="16"/>
  <c r="FG29" i="16"/>
  <c r="EZ28" i="16"/>
  <c r="EW29" i="16"/>
  <c r="EM29" i="16"/>
  <c r="EC29" i="16"/>
  <c r="DS29" i="16"/>
  <c r="DI29" i="16"/>
  <c r="CY29" i="16"/>
  <c r="CO29" i="16"/>
  <c r="CH28" i="16"/>
  <c r="CE29" i="16"/>
  <c r="BU29" i="16"/>
  <c r="BK29" i="16"/>
  <c r="C388" i="15"/>
  <c r="C349" i="15"/>
  <c r="C315" i="15"/>
  <c r="C277" i="15"/>
  <c r="C240" i="15"/>
  <c r="C196" i="15"/>
  <c r="C157" i="15"/>
  <c r="C61" i="15"/>
  <c r="C110" i="15" s="1"/>
  <c r="C111" i="15" s="1"/>
  <c r="C28" i="15"/>
  <c r="C788" i="15" l="1"/>
  <c r="C743" i="15"/>
  <c r="C709" i="15"/>
  <c r="C672" i="15"/>
  <c r="C636" i="15"/>
  <c r="C595" i="15"/>
  <c r="C553" i="15"/>
  <c r="C512" i="15"/>
  <c r="C474" i="15"/>
  <c r="C429" i="15"/>
  <c r="GN29" i="19"/>
  <c r="GK30" i="19"/>
  <c r="GA30" i="19"/>
  <c r="FQ30" i="19"/>
  <c r="FG30" i="19"/>
  <c r="EW30" i="19"/>
  <c r="EM30" i="19"/>
  <c r="EC30" i="19"/>
  <c r="DS30" i="19"/>
  <c r="DL29" i="19"/>
  <c r="DI30" i="19"/>
  <c r="CY30" i="19"/>
  <c r="CO30" i="19"/>
  <c r="CE30" i="19"/>
  <c r="BU30" i="19"/>
  <c r="BK30" i="19"/>
  <c r="BA30" i="19"/>
  <c r="AQ30" i="19"/>
  <c r="AG30" i="19"/>
  <c r="W30" i="19"/>
  <c r="M30" i="19"/>
  <c r="GK30" i="18"/>
  <c r="GA30" i="18"/>
  <c r="FQ30" i="18"/>
  <c r="FG30" i="18"/>
  <c r="EW30" i="18"/>
  <c r="EM30" i="18"/>
  <c r="EC30" i="18"/>
  <c r="DS30" i="18"/>
  <c r="DI30" i="18"/>
  <c r="CY30" i="18"/>
  <c r="CR29" i="18"/>
  <c r="CO30" i="18"/>
  <c r="CR30" i="18" s="1"/>
  <c r="CE30" i="18"/>
  <c r="BU30" i="18"/>
  <c r="BK31" i="18"/>
  <c r="BA30" i="18"/>
  <c r="AQ30" i="18"/>
  <c r="AG30" i="18"/>
  <c r="W30" i="18"/>
  <c r="M30" i="18"/>
  <c r="C30" i="19"/>
  <c r="GK30" i="17"/>
  <c r="GA30" i="17"/>
  <c r="FQ30" i="17"/>
  <c r="FG30" i="17"/>
  <c r="EW30" i="17"/>
  <c r="EM30" i="17"/>
  <c r="EC30" i="17"/>
  <c r="DS30" i="17"/>
  <c r="DI30" i="17"/>
  <c r="CY30" i="17"/>
  <c r="CO30" i="17"/>
  <c r="CE30" i="17"/>
  <c r="BU30" i="17"/>
  <c r="BK30" i="17"/>
  <c r="BA30" i="17"/>
  <c r="AQ30" i="17"/>
  <c r="AG30" i="17"/>
  <c r="W30" i="17"/>
  <c r="M30" i="17"/>
  <c r="GK30" i="16"/>
  <c r="GA30" i="16"/>
  <c r="GD29" i="16"/>
  <c r="FQ30" i="16"/>
  <c r="FG30" i="16"/>
  <c r="EW30" i="16"/>
  <c r="EZ29" i="16"/>
  <c r="EM30" i="16"/>
  <c r="EC30" i="16"/>
  <c r="DS30" i="16"/>
  <c r="DI30" i="16"/>
  <c r="CY30" i="16"/>
  <c r="CO30" i="16"/>
  <c r="CH29" i="16"/>
  <c r="CE30" i="16"/>
  <c r="BU30" i="16"/>
  <c r="BK30" i="16"/>
  <c r="C389" i="15"/>
  <c r="C350" i="15"/>
  <c r="C316" i="15"/>
  <c r="C278" i="15"/>
  <c r="C241" i="15"/>
  <c r="C197" i="15"/>
  <c r="C158" i="15"/>
  <c r="C62" i="15"/>
  <c r="C112" i="15" s="1"/>
  <c r="C29" i="15"/>
  <c r="C789" i="15" l="1"/>
  <c r="C744" i="15"/>
  <c r="C710" i="15"/>
  <c r="C673" i="15"/>
  <c r="C637" i="15"/>
  <c r="C596" i="15"/>
  <c r="C554" i="15"/>
  <c r="C513" i="15"/>
  <c r="C475" i="15"/>
  <c r="C430" i="15"/>
  <c r="GN30" i="19"/>
  <c r="GK31" i="19"/>
  <c r="GA31" i="19"/>
  <c r="FQ31" i="19"/>
  <c r="FG31" i="19"/>
  <c r="EW31" i="19"/>
  <c r="EM31" i="19"/>
  <c r="EC31" i="19"/>
  <c r="DS31" i="19"/>
  <c r="DL30" i="19"/>
  <c r="DI31" i="19"/>
  <c r="CY31" i="19"/>
  <c r="CO31" i="19"/>
  <c r="CE31" i="19"/>
  <c r="BU31" i="19"/>
  <c r="BK31" i="19"/>
  <c r="BA31" i="19"/>
  <c r="AQ31" i="19"/>
  <c r="AG31" i="19"/>
  <c r="W31" i="19"/>
  <c r="M31" i="19"/>
  <c r="GK31" i="18"/>
  <c r="GA31" i="18"/>
  <c r="FQ31" i="18"/>
  <c r="FG31" i="18"/>
  <c r="EW31" i="18"/>
  <c r="EM31" i="18"/>
  <c r="EC31" i="18"/>
  <c r="DS31" i="18"/>
  <c r="DI31" i="18"/>
  <c r="CY31" i="18"/>
  <c r="CE31" i="18"/>
  <c r="BU31" i="18"/>
  <c r="BK32" i="18"/>
  <c r="BA31" i="18"/>
  <c r="AQ31" i="18"/>
  <c r="AG31" i="18"/>
  <c r="W31" i="18"/>
  <c r="M31" i="18"/>
  <c r="C31" i="19"/>
  <c r="GK31" i="17"/>
  <c r="GA31" i="17"/>
  <c r="FQ31" i="17"/>
  <c r="FG31" i="17"/>
  <c r="EW31" i="17"/>
  <c r="EM31" i="17"/>
  <c r="EC31" i="17"/>
  <c r="DS31" i="17"/>
  <c r="DI31" i="17"/>
  <c r="CY31" i="17"/>
  <c r="CO31" i="17"/>
  <c r="CE31" i="17"/>
  <c r="BU31" i="17"/>
  <c r="BK31" i="17"/>
  <c r="BA31" i="17"/>
  <c r="AQ31" i="17"/>
  <c r="AG31" i="17"/>
  <c r="W31" i="17"/>
  <c r="M31" i="17"/>
  <c r="GK31" i="16"/>
  <c r="GD30" i="16"/>
  <c r="GA31" i="16"/>
  <c r="FQ31" i="16"/>
  <c r="FG31" i="16"/>
  <c r="EZ30" i="16"/>
  <c r="EW31" i="16"/>
  <c r="EM31" i="16"/>
  <c r="EC31" i="16"/>
  <c r="DS31" i="16"/>
  <c r="DI31" i="16"/>
  <c r="CY31" i="16"/>
  <c r="CO31" i="16"/>
  <c r="CE31" i="16"/>
  <c r="CH30" i="16"/>
  <c r="BU31" i="16"/>
  <c r="BK31" i="16"/>
  <c r="C390" i="15"/>
  <c r="C351" i="15"/>
  <c r="C317" i="15"/>
  <c r="D316" i="15" s="1"/>
  <c r="C279" i="15"/>
  <c r="C242" i="15"/>
  <c r="C198" i="15"/>
  <c r="C159" i="15"/>
  <c r="C63" i="15"/>
  <c r="C30" i="15"/>
  <c r="C790" i="15" l="1"/>
  <c r="C745" i="15"/>
  <c r="C711" i="15"/>
  <c r="D710" i="15" s="1"/>
  <c r="C674" i="15"/>
  <c r="C638" i="15"/>
  <c r="C597" i="15"/>
  <c r="C555" i="15"/>
  <c r="C514" i="15"/>
  <c r="C476" i="15"/>
  <c r="C431" i="15"/>
  <c r="GN31" i="19"/>
  <c r="GK32" i="19"/>
  <c r="GA32" i="19"/>
  <c r="FQ32" i="19"/>
  <c r="FG32" i="19"/>
  <c r="EW32" i="19"/>
  <c r="EM32" i="19"/>
  <c r="EC32" i="19"/>
  <c r="DS32" i="19"/>
  <c r="DL31" i="19"/>
  <c r="DI32" i="19"/>
  <c r="CY32" i="19"/>
  <c r="CO32" i="19"/>
  <c r="CE32" i="19"/>
  <c r="BU32" i="19"/>
  <c r="BK32" i="19"/>
  <c r="BA32" i="19"/>
  <c r="AQ32" i="19"/>
  <c r="AG32" i="19"/>
  <c r="W32" i="19"/>
  <c r="M32" i="19"/>
  <c r="GK32" i="18"/>
  <c r="GA32" i="18"/>
  <c r="FQ32" i="18"/>
  <c r="FG32" i="18"/>
  <c r="EW32" i="18"/>
  <c r="EM32" i="18"/>
  <c r="EC32" i="18"/>
  <c r="DS32" i="18"/>
  <c r="DI32" i="18"/>
  <c r="CY32" i="18"/>
  <c r="CE32" i="18"/>
  <c r="BU32" i="18"/>
  <c r="BK33" i="18"/>
  <c r="BA32" i="18"/>
  <c r="AQ32" i="18"/>
  <c r="AG32" i="18"/>
  <c r="W32" i="18"/>
  <c r="M32" i="18"/>
  <c r="C32" i="19"/>
  <c r="GK32" i="17"/>
  <c r="GA32" i="17"/>
  <c r="FQ32" i="17"/>
  <c r="FG32" i="17"/>
  <c r="EW32" i="17"/>
  <c r="EM32" i="17"/>
  <c r="EC32" i="17"/>
  <c r="DS32" i="17"/>
  <c r="DI32" i="17"/>
  <c r="CY32" i="17"/>
  <c r="CO32" i="17"/>
  <c r="CE32" i="17"/>
  <c r="BU32" i="17"/>
  <c r="BK32" i="17"/>
  <c r="BA32" i="17"/>
  <c r="AQ32" i="17"/>
  <c r="AJ28" i="17"/>
  <c r="AJ25" i="17"/>
  <c r="AJ22" i="17"/>
  <c r="AJ21" i="17"/>
  <c r="AJ6" i="17"/>
  <c r="AJ31" i="17"/>
  <c r="M32" i="17"/>
  <c r="GK32" i="16"/>
  <c r="GD31" i="16"/>
  <c r="GA32" i="16"/>
  <c r="FQ32" i="16"/>
  <c r="FG32" i="16"/>
  <c r="EZ31" i="16"/>
  <c r="EW32" i="16"/>
  <c r="EM32" i="16"/>
  <c r="EC32" i="16"/>
  <c r="DS32" i="16"/>
  <c r="DI32" i="16"/>
  <c r="CY32" i="16"/>
  <c r="CO32" i="16"/>
  <c r="CH31" i="16"/>
  <c r="CE32" i="16"/>
  <c r="BU32" i="16"/>
  <c r="BK32" i="16"/>
  <c r="C391" i="15"/>
  <c r="C352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F291" i="15" s="1"/>
  <c r="D317" i="15"/>
  <c r="F317" i="15" s="1"/>
  <c r="C280" i="15"/>
  <c r="C243" i="15"/>
  <c r="C199" i="15"/>
  <c r="C160" i="15"/>
  <c r="C64" i="15"/>
  <c r="D30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F26" i="15" s="1"/>
  <c r="D27" i="15"/>
  <c r="D28" i="15"/>
  <c r="D29" i="15"/>
  <c r="F12" i="15" l="1"/>
  <c r="C791" i="15"/>
  <c r="C746" i="15"/>
  <c r="D709" i="15"/>
  <c r="D708" i="15"/>
  <c r="D707" i="15"/>
  <c r="D706" i="15"/>
  <c r="D705" i="15"/>
  <c r="D704" i="15"/>
  <c r="D703" i="15"/>
  <c r="D702" i="15"/>
  <c r="D701" i="15"/>
  <c r="D700" i="15"/>
  <c r="D699" i="15"/>
  <c r="D698" i="15"/>
  <c r="D697" i="15"/>
  <c r="D696" i="15"/>
  <c r="D695" i="15"/>
  <c r="D694" i="15"/>
  <c r="D693" i="15"/>
  <c r="D692" i="15"/>
  <c r="D691" i="15"/>
  <c r="D690" i="15"/>
  <c r="D689" i="15"/>
  <c r="D688" i="15"/>
  <c r="D687" i="15"/>
  <c r="D686" i="15"/>
  <c r="D685" i="15"/>
  <c r="D711" i="15"/>
  <c r="F711" i="15" s="1"/>
  <c r="D684" i="15"/>
  <c r="F684" i="15" s="1"/>
  <c r="C675" i="15"/>
  <c r="C639" i="15"/>
  <c r="C598" i="15"/>
  <c r="C556" i="15"/>
  <c r="C515" i="15"/>
  <c r="C477" i="15"/>
  <c r="C432" i="15"/>
  <c r="F29" i="15"/>
  <c r="GN32" i="19"/>
  <c r="GK33" i="19"/>
  <c r="GN33" i="19" s="1"/>
  <c r="GA33" i="19"/>
  <c r="FQ33" i="19"/>
  <c r="FG33" i="19"/>
  <c r="EW33" i="19"/>
  <c r="EM33" i="19"/>
  <c r="EC33" i="19"/>
  <c r="DS33" i="19"/>
  <c r="DL32" i="19"/>
  <c r="DI33" i="19"/>
  <c r="CY33" i="19"/>
  <c r="CO33" i="19"/>
  <c r="CE33" i="19"/>
  <c r="BU33" i="19"/>
  <c r="BK33" i="19"/>
  <c r="BA33" i="19"/>
  <c r="AQ33" i="19"/>
  <c r="AG33" i="19"/>
  <c r="W33" i="19"/>
  <c r="M33" i="19"/>
  <c r="GK33" i="18"/>
  <c r="GA33" i="18"/>
  <c r="FQ33" i="18"/>
  <c r="FG33" i="18"/>
  <c r="EW33" i="18"/>
  <c r="EM33" i="18"/>
  <c r="EC33" i="18"/>
  <c r="DS33" i="18"/>
  <c r="DI33" i="18"/>
  <c r="CY33" i="18"/>
  <c r="CE33" i="18"/>
  <c r="BU33" i="18"/>
  <c r="BK34" i="18"/>
  <c r="BA33" i="18"/>
  <c r="AQ33" i="18"/>
  <c r="AG33" i="18"/>
  <c r="W33" i="18"/>
  <c r="M33" i="18"/>
  <c r="C33" i="19"/>
  <c r="C34" i="19"/>
  <c r="D32" i="19" s="1"/>
  <c r="GK33" i="17"/>
  <c r="GA33" i="17"/>
  <c r="FQ33" i="17"/>
  <c r="FG33" i="17"/>
  <c r="EW33" i="17"/>
  <c r="EM33" i="17"/>
  <c r="EC33" i="17"/>
  <c r="DS33" i="17"/>
  <c r="DI33" i="17"/>
  <c r="CY33" i="17"/>
  <c r="CO33" i="17"/>
  <c r="CE33" i="17"/>
  <c r="BU33" i="17"/>
  <c r="BK33" i="17"/>
  <c r="BA33" i="17"/>
  <c r="AQ33" i="17"/>
  <c r="AJ30" i="17"/>
  <c r="AJ29" i="17"/>
  <c r="AJ20" i="17"/>
  <c r="AJ19" i="17"/>
  <c r="AJ18" i="17"/>
  <c r="AJ17" i="17"/>
  <c r="AJ16" i="17"/>
  <c r="AJ15" i="17"/>
  <c r="AJ14" i="17"/>
  <c r="AJ13" i="17"/>
  <c r="AJ12" i="17"/>
  <c r="AJ11" i="17"/>
  <c r="AJ10" i="17"/>
  <c r="AJ9" i="17"/>
  <c r="AJ8" i="17"/>
  <c r="AJ7" i="17"/>
  <c r="AJ27" i="17"/>
  <c r="AJ26" i="17"/>
  <c r="AJ24" i="17"/>
  <c r="AJ23" i="17"/>
  <c r="M33" i="17"/>
  <c r="GK33" i="16"/>
  <c r="GD32" i="16"/>
  <c r="GA33" i="16"/>
  <c r="GD33" i="16" s="1"/>
  <c r="FQ33" i="16"/>
  <c r="FG33" i="16"/>
  <c r="EZ32" i="16"/>
  <c r="EW33" i="16"/>
  <c r="EZ33" i="16" s="1"/>
  <c r="EM33" i="16"/>
  <c r="EC33" i="16"/>
  <c r="DS33" i="16"/>
  <c r="DI33" i="16"/>
  <c r="CY33" i="16"/>
  <c r="CO33" i="16"/>
  <c r="CH32" i="16"/>
  <c r="CE33" i="16"/>
  <c r="CH33" i="16" s="1"/>
  <c r="BU33" i="16"/>
  <c r="BK33" i="16"/>
  <c r="C392" i="15"/>
  <c r="C353" i="15"/>
  <c r="F25" i="15"/>
  <c r="F310" i="15"/>
  <c r="F293" i="15"/>
  <c r="F316" i="15"/>
  <c r="F315" i="15"/>
  <c r="F309" i="15"/>
  <c r="F308" i="15"/>
  <c r="F307" i="15"/>
  <c r="F306" i="15"/>
  <c r="F305" i="15"/>
  <c r="F304" i="15"/>
  <c r="F303" i="15"/>
  <c r="F302" i="15"/>
  <c r="F301" i="15"/>
  <c r="F300" i="15"/>
  <c r="F299" i="15"/>
  <c r="F298" i="15"/>
  <c r="F297" i="15"/>
  <c r="F296" i="15"/>
  <c r="F295" i="15"/>
  <c r="F294" i="15"/>
  <c r="F314" i="15"/>
  <c r="F312" i="15"/>
  <c r="F292" i="15"/>
  <c r="F313" i="15"/>
  <c r="F311" i="15"/>
  <c r="F15" i="15"/>
  <c r="C281" i="15"/>
  <c r="F8" i="15"/>
  <c r="C244" i="15"/>
  <c r="C200" i="15"/>
  <c r="F5" i="15"/>
  <c r="C161" i="15"/>
  <c r="F19" i="15"/>
  <c r="F28" i="15"/>
  <c r="F22" i="15"/>
  <c r="C65" i="15"/>
  <c r="F6" i="15"/>
  <c r="F11" i="15"/>
  <c r="F17" i="15"/>
  <c r="F21" i="15"/>
  <c r="F7" i="15"/>
  <c r="F9" i="15"/>
  <c r="F16" i="15"/>
  <c r="F18" i="15"/>
  <c r="F24" i="15"/>
  <c r="F27" i="15"/>
  <c r="F14" i="15"/>
  <c r="F30" i="15"/>
  <c r="F10" i="15"/>
  <c r="F13" i="15"/>
  <c r="F20" i="15"/>
  <c r="F23" i="15"/>
  <c r="C792" i="15" l="1"/>
  <c r="C747" i="15"/>
  <c r="F710" i="15"/>
  <c r="F709" i="15"/>
  <c r="C676" i="15"/>
  <c r="D675" i="15" s="1"/>
  <c r="C640" i="15"/>
  <c r="D639" i="15" s="1"/>
  <c r="C599" i="15"/>
  <c r="C557" i="15"/>
  <c r="C516" i="15"/>
  <c r="C478" i="15"/>
  <c r="C433" i="15"/>
  <c r="F708" i="15"/>
  <c r="F707" i="15"/>
  <c r="F706" i="15"/>
  <c r="F705" i="15"/>
  <c r="F704" i="15"/>
  <c r="F703" i="15"/>
  <c r="F702" i="15"/>
  <c r="F701" i="15"/>
  <c r="F700" i="15"/>
  <c r="F699" i="15"/>
  <c r="F698" i="15"/>
  <c r="F697" i="15"/>
  <c r="F696" i="15"/>
  <c r="F695" i="15"/>
  <c r="F694" i="15"/>
  <c r="F693" i="15"/>
  <c r="F692" i="15"/>
  <c r="F691" i="15"/>
  <c r="F690" i="15"/>
  <c r="F689" i="15"/>
  <c r="F688" i="15"/>
  <c r="F687" i="15"/>
  <c r="F686" i="15"/>
  <c r="F685" i="15"/>
  <c r="F712" i="15" s="1"/>
  <c r="F713" i="15" s="1"/>
  <c r="F714" i="15" s="1"/>
  <c r="GA34" i="19"/>
  <c r="FT10" i="19"/>
  <c r="FT6" i="19"/>
  <c r="FT33" i="19"/>
  <c r="EW34" i="19"/>
  <c r="EM34" i="19"/>
  <c r="EC34" i="19"/>
  <c r="DS34" i="19"/>
  <c r="DL33" i="19"/>
  <c r="DI34" i="19"/>
  <c r="CY34" i="19"/>
  <c r="CO34" i="19"/>
  <c r="CE34" i="19"/>
  <c r="BU34" i="19"/>
  <c r="BK34" i="19"/>
  <c r="BA34" i="19"/>
  <c r="AQ34" i="19"/>
  <c r="AG34" i="19"/>
  <c r="W34" i="19"/>
  <c r="M34" i="19"/>
  <c r="GK34" i="18"/>
  <c r="GA34" i="18"/>
  <c r="FQ34" i="18"/>
  <c r="FG34" i="18"/>
  <c r="EW34" i="18"/>
  <c r="EM34" i="18"/>
  <c r="EC34" i="18"/>
  <c r="DS34" i="18"/>
  <c r="DI34" i="18"/>
  <c r="CY34" i="18"/>
  <c r="CE34" i="18"/>
  <c r="BU34" i="18"/>
  <c r="BK35" i="18"/>
  <c r="BA34" i="18"/>
  <c r="AQ34" i="18"/>
  <c r="AG34" i="18"/>
  <c r="W34" i="18"/>
  <c r="M34" i="18"/>
  <c r="D31" i="19"/>
  <c r="D30" i="19"/>
  <c r="F30" i="19" s="1"/>
  <c r="D29" i="19"/>
  <c r="F29" i="19" s="1"/>
  <c r="D28" i="19"/>
  <c r="F28" i="19" s="1"/>
  <c r="D27" i="19"/>
  <c r="F27" i="19" s="1"/>
  <c r="D26" i="19"/>
  <c r="F26" i="19" s="1"/>
  <c r="D25" i="19"/>
  <c r="F25" i="19" s="1"/>
  <c r="D24" i="19"/>
  <c r="F24" i="19" s="1"/>
  <c r="D23" i="19"/>
  <c r="F23" i="19" s="1"/>
  <c r="D22" i="19"/>
  <c r="F22" i="19" s="1"/>
  <c r="D21" i="19"/>
  <c r="F21" i="19" s="1"/>
  <c r="D20" i="19"/>
  <c r="F20" i="19" s="1"/>
  <c r="D19" i="19"/>
  <c r="F19" i="19" s="1"/>
  <c r="D18" i="19"/>
  <c r="F18" i="19" s="1"/>
  <c r="D17" i="19"/>
  <c r="F17" i="19" s="1"/>
  <c r="D16" i="19"/>
  <c r="F16" i="19" s="1"/>
  <c r="D15" i="19"/>
  <c r="F15" i="19" s="1"/>
  <c r="D14" i="19"/>
  <c r="F14" i="19" s="1"/>
  <c r="D13" i="19"/>
  <c r="F13" i="19" s="1"/>
  <c r="D12" i="19"/>
  <c r="F12" i="19" s="1"/>
  <c r="D11" i="19"/>
  <c r="F11" i="19" s="1"/>
  <c r="D10" i="19"/>
  <c r="F10" i="19" s="1"/>
  <c r="D9" i="19"/>
  <c r="F9" i="19" s="1"/>
  <c r="D8" i="19"/>
  <c r="F8" i="19" s="1"/>
  <c r="D7" i="19"/>
  <c r="D6" i="19"/>
  <c r="F6" i="19" s="1"/>
  <c r="D34" i="19"/>
  <c r="F34" i="19" s="1"/>
  <c r="D33" i="19"/>
  <c r="F33" i="19" s="1"/>
  <c r="GK34" i="17"/>
  <c r="GA34" i="17"/>
  <c r="FQ34" i="17"/>
  <c r="FG34" i="17"/>
  <c r="EW34" i="17"/>
  <c r="EP24" i="17"/>
  <c r="EP16" i="17"/>
  <c r="EP13" i="17"/>
  <c r="EP12" i="17"/>
  <c r="EP10" i="17"/>
  <c r="EP6" i="17"/>
  <c r="EP33" i="17"/>
  <c r="DS34" i="17"/>
  <c r="DI34" i="17"/>
  <c r="CY34" i="17"/>
  <c r="CR30" i="17"/>
  <c r="CR25" i="17"/>
  <c r="CR21" i="17"/>
  <c r="CR18" i="17"/>
  <c r="CR14" i="17"/>
  <c r="CR13" i="17"/>
  <c r="CR11" i="17"/>
  <c r="CR9" i="17"/>
  <c r="CR6" i="17"/>
  <c r="CR33" i="17"/>
  <c r="BU34" i="17"/>
  <c r="BK34" i="17"/>
  <c r="BA34" i="17"/>
  <c r="AT29" i="17"/>
  <c r="AT21" i="17"/>
  <c r="AT18" i="17"/>
  <c r="AT17" i="17"/>
  <c r="AT10" i="17"/>
  <c r="AT8" i="17"/>
  <c r="AT6" i="17"/>
  <c r="AT33" i="17"/>
  <c r="M34" i="17"/>
  <c r="GK34" i="16"/>
  <c r="FQ34" i="16"/>
  <c r="FJ19" i="16"/>
  <c r="FJ13" i="16"/>
  <c r="FJ11" i="16"/>
  <c r="FJ9" i="16"/>
  <c r="FJ6" i="16"/>
  <c r="FJ33" i="16"/>
  <c r="EM34" i="16"/>
  <c r="EC34" i="16"/>
  <c r="DS34" i="16"/>
  <c r="DT33" i="16"/>
  <c r="DI34" i="16"/>
  <c r="CY34" i="16"/>
  <c r="CR28" i="16"/>
  <c r="CR27" i="16"/>
  <c r="CR23" i="16"/>
  <c r="CR19" i="16"/>
  <c r="CR14" i="16"/>
  <c r="CR11" i="16"/>
  <c r="CR9" i="16"/>
  <c r="CR7" i="16"/>
  <c r="CR6" i="16"/>
  <c r="CR33" i="16"/>
  <c r="BU34" i="16"/>
  <c r="BK34" i="16"/>
  <c r="C393" i="15"/>
  <c r="C354" i="15"/>
  <c r="F318" i="15"/>
  <c r="F319" i="15" s="1"/>
  <c r="F320" i="15" s="1"/>
  <c r="C282" i="15"/>
  <c r="C245" i="15"/>
  <c r="C201" i="15"/>
  <c r="C162" i="15"/>
  <c r="C66" i="15"/>
  <c r="F31" i="15"/>
  <c r="F32" i="15" s="1"/>
  <c r="F33" i="15" s="1"/>
  <c r="C793" i="15" l="1"/>
  <c r="C748" i="15"/>
  <c r="D674" i="15"/>
  <c r="D673" i="15"/>
  <c r="D672" i="15"/>
  <c r="D671" i="15"/>
  <c r="D670" i="15"/>
  <c r="D669" i="15"/>
  <c r="D668" i="15"/>
  <c r="D667" i="15"/>
  <c r="D666" i="15"/>
  <c r="D665" i="15"/>
  <c r="D664" i="15"/>
  <c r="D663" i="15"/>
  <c r="D662" i="15"/>
  <c r="D661" i="15"/>
  <c r="D660" i="15"/>
  <c r="D659" i="15"/>
  <c r="D658" i="15"/>
  <c r="D657" i="15"/>
  <c r="D656" i="15"/>
  <c r="D655" i="15"/>
  <c r="D654" i="15"/>
  <c r="D653" i="15"/>
  <c r="D652" i="15"/>
  <c r="D651" i="15"/>
  <c r="D650" i="15"/>
  <c r="D649" i="15"/>
  <c r="D648" i="15"/>
  <c r="F648" i="15" s="1"/>
  <c r="D676" i="15"/>
  <c r="F676" i="15" s="1"/>
  <c r="D638" i="15"/>
  <c r="D637" i="15"/>
  <c r="D636" i="15"/>
  <c r="D635" i="15"/>
  <c r="D634" i="15"/>
  <c r="D633" i="15"/>
  <c r="D632" i="15"/>
  <c r="D631" i="15"/>
  <c r="F631" i="15" s="1"/>
  <c r="D630" i="15"/>
  <c r="D629" i="15"/>
  <c r="D628" i="15"/>
  <c r="D627" i="15"/>
  <c r="D626" i="15"/>
  <c r="D625" i="15"/>
  <c r="F625" i="15" s="1"/>
  <c r="D624" i="15"/>
  <c r="D623" i="15"/>
  <c r="F623" i="15" s="1"/>
  <c r="D622" i="15"/>
  <c r="D621" i="15"/>
  <c r="D620" i="15"/>
  <c r="D619" i="15"/>
  <c r="F619" i="15" s="1"/>
  <c r="D618" i="15"/>
  <c r="D617" i="15"/>
  <c r="D616" i="15"/>
  <c r="D615" i="15"/>
  <c r="D614" i="15"/>
  <c r="D613" i="15"/>
  <c r="D612" i="15"/>
  <c r="F612" i="15" s="1"/>
  <c r="D640" i="15"/>
  <c r="F640" i="15" s="1"/>
  <c r="C600" i="15"/>
  <c r="C558" i="15"/>
  <c r="C517" i="15"/>
  <c r="C479" i="15"/>
  <c r="C434" i="15"/>
  <c r="GA35" i="19"/>
  <c r="FT32" i="19"/>
  <c r="FT31" i="19"/>
  <c r="FT30" i="19"/>
  <c r="FT29" i="19"/>
  <c r="FT28" i="19"/>
  <c r="FT27" i="19"/>
  <c r="FT26" i="19"/>
  <c r="FT25" i="19"/>
  <c r="FT24" i="19"/>
  <c r="FT23" i="19"/>
  <c r="FT22" i="19"/>
  <c r="FT21" i="19"/>
  <c r="FT20" i="19"/>
  <c r="FT19" i="19"/>
  <c r="FT18" i="19"/>
  <c r="FT17" i="19"/>
  <c r="FT16" i="19"/>
  <c r="FT15" i="19"/>
  <c r="FT14" i="19"/>
  <c r="FT13" i="19"/>
  <c r="FT12" i="19"/>
  <c r="FT11" i="19"/>
  <c r="FT9" i="19"/>
  <c r="FT8" i="19"/>
  <c r="FT7" i="19"/>
  <c r="EW35" i="19"/>
  <c r="EM35" i="19"/>
  <c r="EC35" i="19"/>
  <c r="DS35" i="19"/>
  <c r="DI35" i="19"/>
  <c r="DL34" i="19"/>
  <c r="CY35" i="19"/>
  <c r="CO35" i="19"/>
  <c r="CE35" i="19"/>
  <c r="BX24" i="19"/>
  <c r="BX20" i="19"/>
  <c r="BX17" i="19"/>
  <c r="BX16" i="19"/>
  <c r="BX14" i="19"/>
  <c r="BX13" i="19"/>
  <c r="BX6" i="19"/>
  <c r="BX34" i="19"/>
  <c r="BA35" i="19"/>
  <c r="AQ35" i="19"/>
  <c r="AG35" i="19"/>
  <c r="W35" i="19"/>
  <c r="P11" i="19"/>
  <c r="P6" i="19"/>
  <c r="P34" i="19"/>
  <c r="F7" i="19"/>
  <c r="G5" i="19" s="1"/>
  <c r="H5" i="19" s="1"/>
  <c r="I5" i="19" s="1"/>
  <c r="F32" i="19"/>
  <c r="F31" i="19"/>
  <c r="GK35" i="18"/>
  <c r="GA35" i="18"/>
  <c r="FQ35" i="18"/>
  <c r="FG35" i="18"/>
  <c r="EW35" i="18"/>
  <c r="EM35" i="18"/>
  <c r="EC35" i="18"/>
  <c r="DS35" i="18"/>
  <c r="DT34" i="18" s="1"/>
  <c r="DI35" i="18"/>
  <c r="CY35" i="18"/>
  <c r="CE35" i="18"/>
  <c r="BU35" i="18"/>
  <c r="BK36" i="18"/>
  <c r="BA35" i="18"/>
  <c r="AQ35" i="18"/>
  <c r="AG35" i="18"/>
  <c r="W35" i="18"/>
  <c r="M35" i="18"/>
  <c r="GK35" i="17"/>
  <c r="GA35" i="17"/>
  <c r="FQ35" i="17"/>
  <c r="FG35" i="17"/>
  <c r="EW35" i="17"/>
  <c r="EP32" i="17"/>
  <c r="EP31" i="17"/>
  <c r="EP23" i="17"/>
  <c r="EP22" i="17"/>
  <c r="EP21" i="17"/>
  <c r="EP20" i="17"/>
  <c r="EP19" i="17"/>
  <c r="EP18" i="17"/>
  <c r="EP17" i="17"/>
  <c r="EP14" i="17"/>
  <c r="EP11" i="17"/>
  <c r="EP9" i="17"/>
  <c r="EP8" i="17"/>
  <c r="EP7" i="17"/>
  <c r="EP30" i="17"/>
  <c r="EP29" i="17"/>
  <c r="EP28" i="17"/>
  <c r="EP27" i="17"/>
  <c r="EP26" i="17"/>
  <c r="EP25" i="17"/>
  <c r="EP15" i="17"/>
  <c r="DS35" i="17"/>
  <c r="DI35" i="17"/>
  <c r="CY35" i="17"/>
  <c r="CR32" i="17"/>
  <c r="CR31" i="17"/>
  <c r="CR17" i="17"/>
  <c r="CR16" i="17"/>
  <c r="CR15" i="17"/>
  <c r="CR12" i="17"/>
  <c r="CR10" i="17"/>
  <c r="CR29" i="17"/>
  <c r="CR28" i="17"/>
  <c r="CR27" i="17"/>
  <c r="CR26" i="17"/>
  <c r="CR24" i="17"/>
  <c r="CR23" i="17"/>
  <c r="CR22" i="17"/>
  <c r="CR20" i="17"/>
  <c r="CR19" i="17"/>
  <c r="CR8" i="17"/>
  <c r="CR7" i="17"/>
  <c r="BU35" i="17"/>
  <c r="BK35" i="17"/>
  <c r="BA35" i="17"/>
  <c r="AT32" i="17"/>
  <c r="AT31" i="17"/>
  <c r="AT16" i="17"/>
  <c r="AT14" i="17"/>
  <c r="AT12" i="17"/>
  <c r="AT11" i="17"/>
  <c r="AT7" i="17"/>
  <c r="AT30" i="17"/>
  <c r="AT28" i="17"/>
  <c r="AT27" i="17"/>
  <c r="AT26" i="17"/>
  <c r="AT25" i="17"/>
  <c r="AT24" i="17"/>
  <c r="AT23" i="17"/>
  <c r="AT22" i="17"/>
  <c r="AT20" i="17"/>
  <c r="AT19" i="17"/>
  <c r="AT15" i="17"/>
  <c r="AT13" i="17"/>
  <c r="AT9" i="17"/>
  <c r="M35" i="17"/>
  <c r="GK35" i="16"/>
  <c r="FQ35" i="16"/>
  <c r="FJ32" i="16"/>
  <c r="FJ31" i="16"/>
  <c r="FJ30" i="16"/>
  <c r="FJ29" i="16"/>
  <c r="FJ28" i="16"/>
  <c r="FJ27" i="16"/>
  <c r="FJ26" i="16"/>
  <c r="FJ25" i="16"/>
  <c r="FJ24" i="16"/>
  <c r="FJ23" i="16"/>
  <c r="FJ22" i="16"/>
  <c r="FJ21" i="16"/>
  <c r="FJ20" i="16"/>
  <c r="FJ18" i="16"/>
  <c r="FJ17" i="16"/>
  <c r="FJ16" i="16"/>
  <c r="FJ15" i="16"/>
  <c r="FJ14" i="16"/>
  <c r="FJ12" i="16"/>
  <c r="FJ10" i="16"/>
  <c r="FJ8" i="16"/>
  <c r="FJ7" i="16"/>
  <c r="EM35" i="16"/>
  <c r="EF22" i="16"/>
  <c r="EF11" i="16"/>
  <c r="EF6" i="16"/>
  <c r="EF34" i="16"/>
  <c r="DT32" i="16"/>
  <c r="DT31" i="16"/>
  <c r="DT30" i="16"/>
  <c r="DT29" i="16"/>
  <c r="DT28" i="16"/>
  <c r="DT27" i="16"/>
  <c r="DT26" i="16"/>
  <c r="DT25" i="16"/>
  <c r="DT24" i="16"/>
  <c r="DT23" i="16"/>
  <c r="DT22" i="16"/>
  <c r="DT21" i="16"/>
  <c r="DV21" i="16" s="1"/>
  <c r="DT20" i="16"/>
  <c r="DT19" i="16"/>
  <c r="DT18" i="16"/>
  <c r="DT17" i="16"/>
  <c r="DT16" i="16"/>
  <c r="DT15" i="16"/>
  <c r="DT14" i="16"/>
  <c r="DV14" i="16" s="1"/>
  <c r="DT13" i="16"/>
  <c r="DT12" i="16"/>
  <c r="DV12" i="16" s="1"/>
  <c r="DT11" i="16"/>
  <c r="DT10" i="16"/>
  <c r="DV10" i="16" s="1"/>
  <c r="DT9" i="16"/>
  <c r="DT8" i="16"/>
  <c r="DT7" i="16"/>
  <c r="DT6" i="16"/>
  <c r="DV6" i="16" s="1"/>
  <c r="DT34" i="16"/>
  <c r="DV34" i="16" s="1"/>
  <c r="DJ8" i="16"/>
  <c r="DJ9" i="16"/>
  <c r="DL9" i="16" s="1"/>
  <c r="DJ34" i="16"/>
  <c r="DL34" i="16" s="1"/>
  <c r="DJ6" i="16"/>
  <c r="DL6" i="16" s="1"/>
  <c r="DJ7" i="16"/>
  <c r="DL7" i="16" s="1"/>
  <c r="DJ10" i="16"/>
  <c r="DL10" i="16" s="1"/>
  <c r="DJ11" i="16"/>
  <c r="DL11" i="16" s="1"/>
  <c r="DJ12" i="16"/>
  <c r="DL12" i="16" s="1"/>
  <c r="DJ13" i="16"/>
  <c r="DJ14" i="16"/>
  <c r="DL14" i="16" s="1"/>
  <c r="DJ15" i="16"/>
  <c r="DJ16" i="16"/>
  <c r="DL16" i="16" s="1"/>
  <c r="DJ17" i="16"/>
  <c r="DL17" i="16" s="1"/>
  <c r="DJ18" i="16"/>
  <c r="DL18" i="16" s="1"/>
  <c r="DJ19" i="16"/>
  <c r="DL19" i="16" s="1"/>
  <c r="DJ20" i="16"/>
  <c r="DL20" i="16" s="1"/>
  <c r="DJ21" i="16"/>
  <c r="DL21" i="16" s="1"/>
  <c r="DJ22" i="16"/>
  <c r="DL22" i="16" s="1"/>
  <c r="DJ23" i="16"/>
  <c r="DL23" i="16" s="1"/>
  <c r="DJ24" i="16"/>
  <c r="DL24" i="16" s="1"/>
  <c r="DJ25" i="16"/>
  <c r="DL25" i="16" s="1"/>
  <c r="DJ26" i="16"/>
  <c r="DL26" i="16" s="1"/>
  <c r="DJ27" i="16"/>
  <c r="DL27" i="16" s="1"/>
  <c r="DJ28" i="16"/>
  <c r="DL28" i="16" s="1"/>
  <c r="DJ29" i="16"/>
  <c r="DL29" i="16" s="1"/>
  <c r="DJ30" i="16"/>
  <c r="DL30" i="16" s="1"/>
  <c r="DJ31" i="16"/>
  <c r="DL31" i="16" s="1"/>
  <c r="DJ32" i="16"/>
  <c r="DL32" i="16" s="1"/>
  <c r="DJ33" i="16"/>
  <c r="DL33" i="16" s="1"/>
  <c r="CY35" i="16"/>
  <c r="CR32" i="16"/>
  <c r="CR31" i="16"/>
  <c r="CR26" i="16"/>
  <c r="CR25" i="16"/>
  <c r="CR24" i="16"/>
  <c r="CR29" i="16"/>
  <c r="CR22" i="16"/>
  <c r="CR21" i="16"/>
  <c r="CR20" i="16"/>
  <c r="CR15" i="16"/>
  <c r="CR13" i="16"/>
  <c r="CR12" i="16"/>
  <c r="CR8" i="16"/>
  <c r="CR18" i="16"/>
  <c r="CR16" i="16"/>
  <c r="CR10" i="16"/>
  <c r="CR30" i="16"/>
  <c r="BU35" i="16"/>
  <c r="BK35" i="16"/>
  <c r="C394" i="15"/>
  <c r="C355" i="15"/>
  <c r="D354" i="15" s="1"/>
  <c r="C283" i="15"/>
  <c r="D282" i="15" s="1"/>
  <c r="C246" i="15"/>
  <c r="D245" i="15" s="1"/>
  <c r="C202" i="15"/>
  <c r="C163" i="15"/>
  <c r="D162" i="15" s="1"/>
  <c r="C67" i="15"/>
  <c r="F670" i="15" l="1"/>
  <c r="F668" i="15"/>
  <c r="F664" i="15"/>
  <c r="F662" i="15"/>
  <c r="F660" i="15"/>
  <c r="F658" i="15"/>
  <c r="F655" i="15"/>
  <c r="F653" i="15"/>
  <c r="F629" i="15"/>
  <c r="F673" i="15"/>
  <c r="F628" i="15"/>
  <c r="F622" i="15"/>
  <c r="F617" i="15"/>
  <c r="F615" i="15"/>
  <c r="C794" i="15"/>
  <c r="C749" i="15"/>
  <c r="F675" i="15"/>
  <c r="F674" i="15"/>
  <c r="F639" i="15"/>
  <c r="F638" i="15"/>
  <c r="C601" i="15"/>
  <c r="C559" i="15"/>
  <c r="C518" i="15"/>
  <c r="C480" i="15"/>
  <c r="D479" i="15" s="1"/>
  <c r="C435" i="15"/>
  <c r="F650" i="15"/>
  <c r="F636" i="15"/>
  <c r="F634" i="15"/>
  <c r="F632" i="15"/>
  <c r="F630" i="15"/>
  <c r="F618" i="15"/>
  <c r="F613" i="15"/>
  <c r="F672" i="15"/>
  <c r="F667" i="15"/>
  <c r="F665" i="15"/>
  <c r="F663" i="15"/>
  <c r="F661" i="15"/>
  <c r="F659" i="15"/>
  <c r="F657" i="15"/>
  <c r="F651" i="15"/>
  <c r="F626" i="15"/>
  <c r="F624" i="15"/>
  <c r="F621" i="15"/>
  <c r="F620" i="15"/>
  <c r="F671" i="15"/>
  <c r="F669" i="15"/>
  <c r="F666" i="15"/>
  <c r="F656" i="15"/>
  <c r="F654" i="15"/>
  <c r="F652" i="15"/>
  <c r="F649" i="15"/>
  <c r="F637" i="15"/>
  <c r="F635" i="15"/>
  <c r="F633" i="15"/>
  <c r="F627" i="15"/>
  <c r="F616" i="15"/>
  <c r="F614" i="15"/>
  <c r="GA36" i="19"/>
  <c r="EW36" i="19"/>
  <c r="EM36" i="19"/>
  <c r="EC36" i="19"/>
  <c r="DV32" i="19"/>
  <c r="DV31" i="19"/>
  <c r="DV30" i="19"/>
  <c r="DV27" i="19"/>
  <c r="DV24" i="19"/>
  <c r="DV22" i="19"/>
  <c r="DV18" i="19"/>
  <c r="DV16" i="19"/>
  <c r="DV14" i="19"/>
  <c r="DV8" i="19"/>
  <c r="DV7" i="19"/>
  <c r="DV6" i="19"/>
  <c r="DV35" i="19"/>
  <c r="DL35" i="19"/>
  <c r="CY36" i="19"/>
  <c r="CO36" i="19"/>
  <c r="CE36" i="19"/>
  <c r="BX33" i="19"/>
  <c r="BX32" i="19"/>
  <c r="BX12" i="19"/>
  <c r="BX11" i="19"/>
  <c r="BX10" i="19"/>
  <c r="BX9" i="19"/>
  <c r="BX8" i="19"/>
  <c r="BX7" i="19"/>
  <c r="BX15" i="19"/>
  <c r="BX31" i="19"/>
  <c r="BX30" i="19"/>
  <c r="BX29" i="19"/>
  <c r="BX28" i="19"/>
  <c r="BX27" i="19"/>
  <c r="BX26" i="19"/>
  <c r="BX25" i="19"/>
  <c r="BX23" i="19"/>
  <c r="BX22" i="19"/>
  <c r="BX21" i="19"/>
  <c r="BX19" i="19"/>
  <c r="BX18" i="19"/>
  <c r="BA36" i="19"/>
  <c r="AQ36" i="19"/>
  <c r="AJ32" i="19"/>
  <c r="AJ28" i="19"/>
  <c r="AJ25" i="19"/>
  <c r="AJ23" i="19"/>
  <c r="AJ18" i="19"/>
  <c r="AJ17" i="19"/>
  <c r="AJ16" i="19"/>
  <c r="AJ14" i="19"/>
  <c r="AJ12" i="19"/>
  <c r="AJ11" i="19"/>
  <c r="AJ6" i="19"/>
  <c r="AJ35" i="19"/>
  <c r="P33" i="19"/>
  <c r="P32" i="19"/>
  <c r="P31" i="19"/>
  <c r="P30" i="19"/>
  <c r="P29" i="19"/>
  <c r="P28" i="19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12" i="19"/>
  <c r="P10" i="19"/>
  <c r="P9" i="19"/>
  <c r="P8" i="19"/>
  <c r="P7" i="19"/>
  <c r="GK36" i="18"/>
  <c r="GA36" i="18"/>
  <c r="FQ36" i="18"/>
  <c r="FG36" i="18"/>
  <c r="EW36" i="18"/>
  <c r="EM36" i="18"/>
  <c r="EF31" i="18"/>
  <c r="EF27" i="18"/>
  <c r="EF24" i="18"/>
  <c r="EF23" i="18"/>
  <c r="EF20" i="18"/>
  <c r="EF17" i="18"/>
  <c r="EF16" i="18"/>
  <c r="EF14" i="18"/>
  <c r="EF6" i="18"/>
  <c r="EF35" i="18"/>
  <c r="DT33" i="18"/>
  <c r="DT32" i="18"/>
  <c r="DT31" i="18"/>
  <c r="DT30" i="18"/>
  <c r="DT29" i="18"/>
  <c r="DT28" i="18"/>
  <c r="DT27" i="18"/>
  <c r="DT26" i="18"/>
  <c r="DT25" i="18"/>
  <c r="DT24" i="18"/>
  <c r="DV24" i="18" s="1"/>
  <c r="DT23" i="18"/>
  <c r="DT22" i="18"/>
  <c r="DT21" i="18"/>
  <c r="DT20" i="18"/>
  <c r="DT19" i="18"/>
  <c r="DT18" i="18"/>
  <c r="DT17" i="18"/>
  <c r="DV17" i="18" s="1"/>
  <c r="DT16" i="18"/>
  <c r="DT15" i="18"/>
  <c r="DV15" i="18" s="1"/>
  <c r="DT14" i="18"/>
  <c r="DT13" i="18"/>
  <c r="DV13" i="18" s="1"/>
  <c r="DT12" i="18"/>
  <c r="DT11" i="18"/>
  <c r="DT10" i="18"/>
  <c r="DT9" i="18"/>
  <c r="DT8" i="18"/>
  <c r="DV8" i="18" s="1"/>
  <c r="DT7" i="18"/>
  <c r="DT6" i="18"/>
  <c r="DV6" i="18" s="1"/>
  <c r="DT35" i="18"/>
  <c r="DV35" i="18" s="1"/>
  <c r="CY36" i="18"/>
  <c r="CE36" i="18"/>
  <c r="BU36" i="18"/>
  <c r="BK37" i="18"/>
  <c r="BA36" i="18"/>
  <c r="AQ36" i="18"/>
  <c r="AG36" i="18"/>
  <c r="W36" i="18"/>
  <c r="M36" i="18"/>
  <c r="GK36" i="17"/>
  <c r="GA36" i="17"/>
  <c r="FQ36" i="17"/>
  <c r="FG36" i="17"/>
  <c r="EW36" i="17"/>
  <c r="DV20" i="17"/>
  <c r="DV16" i="17"/>
  <c r="DV13" i="17"/>
  <c r="DV10" i="17"/>
  <c r="DV8" i="17"/>
  <c r="DV6" i="17"/>
  <c r="DV35" i="17"/>
  <c r="CY36" i="17"/>
  <c r="BU36" i="17"/>
  <c r="BN20" i="17"/>
  <c r="BN17" i="17"/>
  <c r="BN13" i="17"/>
  <c r="BN10" i="17"/>
  <c r="BN9" i="17"/>
  <c r="BN8" i="17"/>
  <c r="BN6" i="17"/>
  <c r="BN35" i="17"/>
  <c r="M36" i="17"/>
  <c r="GK36" i="16"/>
  <c r="FQ36" i="16"/>
  <c r="EM36" i="16"/>
  <c r="EF33" i="16"/>
  <c r="EF32" i="16"/>
  <c r="EF21" i="16"/>
  <c r="EF20" i="16"/>
  <c r="EF19" i="16"/>
  <c r="EF18" i="16"/>
  <c r="EF17" i="16"/>
  <c r="EF16" i="16"/>
  <c r="EF15" i="16"/>
  <c r="EF14" i="16"/>
  <c r="EF13" i="16"/>
  <c r="EF12" i="16"/>
  <c r="EF10" i="16"/>
  <c r="EF9" i="16"/>
  <c r="EF8" i="16"/>
  <c r="EF7" i="16"/>
  <c r="EF31" i="16"/>
  <c r="EF30" i="16"/>
  <c r="EF29" i="16"/>
  <c r="EF28" i="16"/>
  <c r="EF27" i="16"/>
  <c r="EF26" i="16"/>
  <c r="EF25" i="16"/>
  <c r="EF24" i="16"/>
  <c r="EF23" i="16"/>
  <c r="DV33" i="16"/>
  <c r="DV32" i="16"/>
  <c r="DV31" i="16"/>
  <c r="DV30" i="16"/>
  <c r="DV29" i="16"/>
  <c r="DV28" i="16"/>
  <c r="DV27" i="16"/>
  <c r="DV26" i="16"/>
  <c r="DV25" i="16"/>
  <c r="DV24" i="16"/>
  <c r="DV23" i="16"/>
  <c r="DV22" i="16"/>
  <c r="DV20" i="16"/>
  <c r="DV19" i="16"/>
  <c r="DV18" i="16"/>
  <c r="DV17" i="16"/>
  <c r="DV15" i="16"/>
  <c r="DV13" i="16"/>
  <c r="DV11" i="16"/>
  <c r="DV9" i="16"/>
  <c r="DV7" i="16"/>
  <c r="DV16" i="16"/>
  <c r="DV8" i="16"/>
  <c r="DL15" i="16"/>
  <c r="DL8" i="16"/>
  <c r="DL13" i="16"/>
  <c r="DM5" i="16" s="1"/>
  <c r="DN5" i="16" s="1"/>
  <c r="DO5" i="16" s="1"/>
  <c r="CY36" i="16"/>
  <c r="CZ35" i="16" s="1"/>
  <c r="BV35" i="16"/>
  <c r="BK36" i="16"/>
  <c r="BL35" i="16" s="1"/>
  <c r="C395" i="15"/>
  <c r="D394" i="15" s="1"/>
  <c r="D353" i="15"/>
  <c r="D352" i="15"/>
  <c r="D351" i="15"/>
  <c r="D350" i="15"/>
  <c r="D349" i="15"/>
  <c r="D348" i="15"/>
  <c r="D347" i="15"/>
  <c r="D346" i="15"/>
  <c r="D345" i="15"/>
  <c r="D344" i="15"/>
  <c r="D343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F326" i="15" s="1"/>
  <c r="D355" i="15"/>
  <c r="F355" i="15" s="1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F254" i="15" s="1"/>
  <c r="D283" i="15"/>
  <c r="F283" i="15" s="1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F217" i="15" s="1"/>
  <c r="D246" i="15"/>
  <c r="F246" i="15" s="1"/>
  <c r="C203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F134" i="15" s="1"/>
  <c r="D163" i="15"/>
  <c r="F163" i="15" s="1"/>
  <c r="C68" i="15"/>
  <c r="C113" i="15" s="1"/>
  <c r="C795" i="15" l="1"/>
  <c r="C750" i="15"/>
  <c r="C602" i="15"/>
  <c r="C560" i="15"/>
  <c r="C519" i="15"/>
  <c r="D478" i="15"/>
  <c r="D477" i="15"/>
  <c r="D476" i="15"/>
  <c r="D475" i="15"/>
  <c r="D474" i="15"/>
  <c r="D473" i="15"/>
  <c r="D472" i="15"/>
  <c r="D471" i="15"/>
  <c r="D470" i="15"/>
  <c r="D469" i="15"/>
  <c r="D468" i="15"/>
  <c r="D467" i="15"/>
  <c r="D466" i="15"/>
  <c r="D465" i="15"/>
  <c r="D464" i="15"/>
  <c r="D463" i="15"/>
  <c r="D462" i="15"/>
  <c r="D461" i="15"/>
  <c r="D460" i="15"/>
  <c r="D459" i="15"/>
  <c r="D458" i="15"/>
  <c r="D457" i="15"/>
  <c r="D456" i="15"/>
  <c r="D455" i="15"/>
  <c r="D454" i="15"/>
  <c r="F454" i="15" s="1"/>
  <c r="D453" i="15"/>
  <c r="D452" i="15"/>
  <c r="D451" i="15"/>
  <c r="D450" i="15"/>
  <c r="F450" i="15" s="1"/>
  <c r="D480" i="15"/>
  <c r="F480" i="15" s="1"/>
  <c r="C436" i="15"/>
  <c r="F677" i="15"/>
  <c r="F678" i="15" s="1"/>
  <c r="F679" i="15" s="1"/>
  <c r="F641" i="15"/>
  <c r="F642" i="15" s="1"/>
  <c r="F643" i="15" s="1"/>
  <c r="GA37" i="19"/>
  <c r="EW37" i="19"/>
  <c r="EM37" i="19"/>
  <c r="EC37" i="19"/>
  <c r="DV34" i="19"/>
  <c r="DV33" i="19"/>
  <c r="DV29" i="19"/>
  <c r="DV21" i="19"/>
  <c r="DV19" i="19"/>
  <c r="DV17" i="19"/>
  <c r="DV13" i="19"/>
  <c r="DV12" i="19"/>
  <c r="DV9" i="19"/>
  <c r="DV26" i="19"/>
  <c r="DV23" i="19"/>
  <c r="DV20" i="19"/>
  <c r="DV10" i="19"/>
  <c r="DV28" i="19"/>
  <c r="DV25" i="19"/>
  <c r="DV15" i="19"/>
  <c r="DV11" i="19"/>
  <c r="CY37" i="19"/>
  <c r="CR32" i="19"/>
  <c r="CR31" i="19"/>
  <c r="CR26" i="19"/>
  <c r="CR24" i="19"/>
  <c r="CR22" i="19"/>
  <c r="CR19" i="19"/>
  <c r="CR17" i="19"/>
  <c r="CR13" i="19"/>
  <c r="CR10" i="19"/>
  <c r="CR9" i="19"/>
  <c r="CR7" i="19"/>
  <c r="CR6" i="19"/>
  <c r="CR36" i="19"/>
  <c r="BA37" i="19"/>
  <c r="AQ37" i="19"/>
  <c r="AJ34" i="19"/>
  <c r="AJ33" i="19"/>
  <c r="AJ10" i="19"/>
  <c r="AJ9" i="19"/>
  <c r="AJ8" i="19"/>
  <c r="AJ7" i="19"/>
  <c r="AJ31" i="19"/>
  <c r="AJ30" i="19"/>
  <c r="AJ29" i="19"/>
  <c r="AJ27" i="19"/>
  <c r="AJ26" i="19"/>
  <c r="AJ24" i="19"/>
  <c r="AJ22" i="19"/>
  <c r="AJ21" i="19"/>
  <c r="AJ19" i="19"/>
  <c r="AJ20" i="19"/>
  <c r="AJ13" i="19"/>
  <c r="AJ15" i="19"/>
  <c r="GK37" i="18"/>
  <c r="GA37" i="18"/>
  <c r="FQ37" i="18"/>
  <c r="FG37" i="18"/>
  <c r="EW37" i="18"/>
  <c r="EM37" i="18"/>
  <c r="EF34" i="18"/>
  <c r="EF33" i="18"/>
  <c r="EF13" i="18"/>
  <c r="EF12" i="18"/>
  <c r="EF11" i="18"/>
  <c r="EF10" i="18"/>
  <c r="EF9" i="18"/>
  <c r="EF8" i="18"/>
  <c r="EF7" i="18"/>
  <c r="EF32" i="18"/>
  <c r="EF30" i="18"/>
  <c r="EF29" i="18"/>
  <c r="EF28" i="18"/>
  <c r="EF26" i="18"/>
  <c r="EF25" i="18"/>
  <c r="EF22" i="18"/>
  <c r="EF21" i="18"/>
  <c r="EF19" i="18"/>
  <c r="EF18" i="18"/>
  <c r="EF15" i="18"/>
  <c r="DV34" i="18"/>
  <c r="DV33" i="18"/>
  <c r="DV32" i="18"/>
  <c r="DV31" i="18"/>
  <c r="DV30" i="18"/>
  <c r="DV29" i="18"/>
  <c r="DV28" i="18"/>
  <c r="DV27" i="18"/>
  <c r="DV26" i="18"/>
  <c r="DV25" i="18"/>
  <c r="DV23" i="18"/>
  <c r="DV22" i="18"/>
  <c r="DV21" i="18"/>
  <c r="DV20" i="18"/>
  <c r="DV18" i="18"/>
  <c r="DV16" i="18"/>
  <c r="DV9" i="18"/>
  <c r="DV7" i="18"/>
  <c r="DV19" i="18"/>
  <c r="DV14" i="18"/>
  <c r="DV12" i="18"/>
  <c r="DV11" i="18"/>
  <c r="DV10" i="18"/>
  <c r="CY37" i="18"/>
  <c r="CE37" i="18"/>
  <c r="BU37" i="18"/>
  <c r="BK38" i="18"/>
  <c r="BA37" i="18"/>
  <c r="AQ37" i="18"/>
  <c r="AG37" i="18"/>
  <c r="W37" i="18"/>
  <c r="M37" i="18"/>
  <c r="GK37" i="17"/>
  <c r="GA37" i="17"/>
  <c r="FQ37" i="17"/>
  <c r="FG37" i="17"/>
  <c r="EW37" i="17"/>
  <c r="DV34" i="17"/>
  <c r="DV33" i="17"/>
  <c r="DV32" i="17"/>
  <c r="DV31" i="17"/>
  <c r="DV30" i="17"/>
  <c r="DV29" i="17"/>
  <c r="DV28" i="17"/>
  <c r="DV27" i="17"/>
  <c r="DV26" i="17"/>
  <c r="DV25" i="17"/>
  <c r="DV24" i="17"/>
  <c r="DV23" i="17"/>
  <c r="DV22" i="17"/>
  <c r="DV21" i="17"/>
  <c r="DV19" i="17"/>
  <c r="DV18" i="17"/>
  <c r="DV17" i="17"/>
  <c r="DV15" i="17"/>
  <c r="DV14" i="17"/>
  <c r="DV12" i="17"/>
  <c r="DV11" i="17"/>
  <c r="DV9" i="17"/>
  <c r="DV7" i="17"/>
  <c r="CY37" i="17"/>
  <c r="BU37" i="17"/>
  <c r="BN34" i="17"/>
  <c r="BN33" i="17"/>
  <c r="BN7" i="17"/>
  <c r="BN32" i="17"/>
  <c r="BN31" i="17"/>
  <c r="BN30" i="17"/>
  <c r="BN29" i="17"/>
  <c r="BN28" i="17"/>
  <c r="BN27" i="17"/>
  <c r="BN26" i="17"/>
  <c r="BN25" i="17"/>
  <c r="BN24" i="17"/>
  <c r="BN23" i="17"/>
  <c r="BN22" i="17"/>
  <c r="BN21" i="17"/>
  <c r="BN19" i="17"/>
  <c r="BN18" i="17"/>
  <c r="BN16" i="17"/>
  <c r="BN15" i="17"/>
  <c r="BN14" i="17"/>
  <c r="BN12" i="17"/>
  <c r="BN11" i="17"/>
  <c r="P18" i="17"/>
  <c r="P12" i="17"/>
  <c r="P10" i="17"/>
  <c r="P9" i="17"/>
  <c r="P7" i="17"/>
  <c r="P6" i="17"/>
  <c r="P36" i="17"/>
  <c r="GK37" i="16"/>
  <c r="FQ37" i="16"/>
  <c r="EM37" i="16"/>
  <c r="CZ34" i="16"/>
  <c r="CZ33" i="16"/>
  <c r="CZ32" i="16"/>
  <c r="CZ31" i="16"/>
  <c r="DB31" i="16" s="1"/>
  <c r="CZ30" i="16"/>
  <c r="CZ29" i="16"/>
  <c r="CZ28" i="16"/>
  <c r="CZ27" i="16"/>
  <c r="CZ26" i="16"/>
  <c r="CZ25" i="16"/>
  <c r="CZ24" i="16"/>
  <c r="DB24" i="16" s="1"/>
  <c r="CZ23" i="16"/>
  <c r="CZ22" i="16"/>
  <c r="CZ21" i="16"/>
  <c r="CZ20" i="16"/>
  <c r="DB20" i="16" s="1"/>
  <c r="CZ19" i="16"/>
  <c r="CZ18" i="16"/>
  <c r="CZ17" i="16"/>
  <c r="DB17" i="16" s="1"/>
  <c r="CZ16" i="16"/>
  <c r="CZ15" i="16"/>
  <c r="CZ14" i="16"/>
  <c r="DB14" i="16" s="1"/>
  <c r="CZ13" i="16"/>
  <c r="CZ12" i="16"/>
  <c r="CZ11" i="16"/>
  <c r="CZ10" i="16"/>
  <c r="CZ9" i="16"/>
  <c r="CZ8" i="16"/>
  <c r="CZ7" i="16"/>
  <c r="CZ6" i="16"/>
  <c r="DB6" i="16" s="1"/>
  <c r="CZ36" i="16"/>
  <c r="DB36" i="16" s="1"/>
  <c r="BV34" i="16"/>
  <c r="BV33" i="16"/>
  <c r="BV32" i="16"/>
  <c r="BV31" i="16"/>
  <c r="BV30" i="16"/>
  <c r="BV29" i="16"/>
  <c r="BV28" i="16"/>
  <c r="BV27" i="16"/>
  <c r="BV26" i="16"/>
  <c r="BV25" i="16"/>
  <c r="BV24" i="16"/>
  <c r="BV23" i="16"/>
  <c r="BV22" i="16"/>
  <c r="BV21" i="16"/>
  <c r="BV20" i="16"/>
  <c r="BV19" i="16"/>
  <c r="BV18" i="16"/>
  <c r="BV17" i="16"/>
  <c r="BV16" i="16"/>
  <c r="BV15" i="16"/>
  <c r="BV14" i="16"/>
  <c r="BV13" i="16"/>
  <c r="BV12" i="16"/>
  <c r="BV11" i="16"/>
  <c r="BV10" i="16"/>
  <c r="BV9" i="16"/>
  <c r="BV8" i="16"/>
  <c r="BV7" i="16"/>
  <c r="BV6" i="16"/>
  <c r="BX6" i="16" s="1"/>
  <c r="BV36" i="16"/>
  <c r="BX36" i="16" s="1"/>
  <c r="BL34" i="16"/>
  <c r="BL33" i="16"/>
  <c r="BL32" i="16"/>
  <c r="BL31" i="16"/>
  <c r="BL30" i="16"/>
  <c r="BL29" i="16"/>
  <c r="BL28" i="16"/>
  <c r="BL27" i="16"/>
  <c r="BL26" i="16"/>
  <c r="BL25" i="16"/>
  <c r="BL24" i="16"/>
  <c r="BL23" i="16"/>
  <c r="BL22" i="16"/>
  <c r="BL21" i="16"/>
  <c r="BL20" i="16"/>
  <c r="BL19" i="16"/>
  <c r="BL18" i="16"/>
  <c r="BL17" i="16"/>
  <c r="BL16" i="16"/>
  <c r="BL15" i="16"/>
  <c r="BL14" i="16"/>
  <c r="BL13" i="16"/>
  <c r="BL12" i="16"/>
  <c r="BL11" i="16"/>
  <c r="BL10" i="16"/>
  <c r="BL9" i="16"/>
  <c r="BL8" i="16"/>
  <c r="BL7" i="16"/>
  <c r="BL6" i="16"/>
  <c r="BN6" i="16" s="1"/>
  <c r="BL36" i="16"/>
  <c r="BN36" i="16" s="1"/>
  <c r="D393" i="15"/>
  <c r="D392" i="15"/>
  <c r="D391" i="15"/>
  <c r="D390" i="15"/>
  <c r="D389" i="15"/>
  <c r="D388" i="15"/>
  <c r="D387" i="15"/>
  <c r="D386" i="15"/>
  <c r="D385" i="15"/>
  <c r="D384" i="15"/>
  <c r="D383" i="15"/>
  <c r="D382" i="15"/>
  <c r="D381" i="15"/>
  <c r="D380" i="15"/>
  <c r="D379" i="15"/>
  <c r="D378" i="15"/>
  <c r="D377" i="15"/>
  <c r="D376" i="15"/>
  <c r="D375" i="15"/>
  <c r="D374" i="15"/>
  <c r="D373" i="15"/>
  <c r="D372" i="15"/>
  <c r="D371" i="15"/>
  <c r="D370" i="15"/>
  <c r="D369" i="15"/>
  <c r="D368" i="15"/>
  <c r="D367" i="15"/>
  <c r="D366" i="15"/>
  <c r="D365" i="15"/>
  <c r="D364" i="15"/>
  <c r="F364" i="15" s="1"/>
  <c r="D395" i="15"/>
  <c r="F395" i="15" s="1"/>
  <c r="F354" i="15"/>
  <c r="F353" i="15"/>
  <c r="F352" i="15"/>
  <c r="F351" i="15"/>
  <c r="F350" i="15"/>
  <c r="F349" i="15"/>
  <c r="F348" i="15"/>
  <c r="F347" i="15"/>
  <c r="F346" i="15"/>
  <c r="F345" i="15"/>
  <c r="F344" i="15"/>
  <c r="F343" i="15"/>
  <c r="F342" i="15"/>
  <c r="F341" i="15"/>
  <c r="F340" i="15"/>
  <c r="F339" i="15"/>
  <c r="F338" i="15"/>
  <c r="F337" i="15"/>
  <c r="F336" i="15"/>
  <c r="F335" i="15"/>
  <c r="F334" i="15"/>
  <c r="F333" i="15"/>
  <c r="F332" i="15"/>
  <c r="F331" i="15"/>
  <c r="F330" i="15"/>
  <c r="F329" i="15"/>
  <c r="F328" i="15"/>
  <c r="F327" i="15"/>
  <c r="F272" i="15"/>
  <c r="F277" i="15"/>
  <c r="F268" i="15"/>
  <c r="F263" i="15"/>
  <c r="F260" i="15"/>
  <c r="F255" i="15"/>
  <c r="F267" i="15"/>
  <c r="F274" i="15"/>
  <c r="F259" i="15"/>
  <c r="F271" i="15"/>
  <c r="F266" i="15"/>
  <c r="F282" i="15"/>
  <c r="F281" i="15"/>
  <c r="F257" i="15"/>
  <c r="F269" i="15"/>
  <c r="F265" i="15"/>
  <c r="F262" i="15"/>
  <c r="F280" i="15"/>
  <c r="F278" i="15"/>
  <c r="F276" i="15"/>
  <c r="F275" i="15"/>
  <c r="F273" i="15"/>
  <c r="F264" i="15"/>
  <c r="F261" i="15"/>
  <c r="F258" i="15"/>
  <c r="F256" i="15"/>
  <c r="F279" i="15"/>
  <c r="F270" i="15"/>
  <c r="F239" i="15"/>
  <c r="F233" i="15"/>
  <c r="F245" i="15"/>
  <c r="F244" i="15"/>
  <c r="F238" i="15"/>
  <c r="F237" i="15"/>
  <c r="F236" i="15"/>
  <c r="F235" i="15"/>
  <c r="F234" i="15"/>
  <c r="F232" i="15"/>
  <c r="F231" i="15"/>
  <c r="F230" i="15"/>
  <c r="F229" i="15"/>
  <c r="F228" i="15"/>
  <c r="F227" i="15"/>
  <c r="F226" i="15"/>
  <c r="F225" i="15"/>
  <c r="F224" i="15"/>
  <c r="F223" i="15"/>
  <c r="F222" i="15"/>
  <c r="F221" i="15"/>
  <c r="F220" i="15"/>
  <c r="F219" i="15"/>
  <c r="F218" i="15"/>
  <c r="F243" i="15"/>
  <c r="F242" i="15"/>
  <c r="F241" i="15"/>
  <c r="F240" i="15"/>
  <c r="C204" i="15"/>
  <c r="F151" i="15"/>
  <c r="F150" i="15"/>
  <c r="F141" i="15"/>
  <c r="F139" i="15"/>
  <c r="F138" i="15"/>
  <c r="F162" i="15"/>
  <c r="F161" i="15"/>
  <c r="F160" i="15"/>
  <c r="F159" i="15"/>
  <c r="F157" i="15"/>
  <c r="F155" i="15"/>
  <c r="F153" i="15"/>
  <c r="F149" i="15"/>
  <c r="F148" i="15"/>
  <c r="F147" i="15"/>
  <c r="F146" i="15"/>
  <c r="F145" i="15"/>
  <c r="F144" i="15"/>
  <c r="F143" i="15"/>
  <c r="F142" i="15"/>
  <c r="F137" i="15"/>
  <c r="F136" i="15"/>
  <c r="F135" i="15"/>
  <c r="F158" i="15"/>
  <c r="F156" i="15"/>
  <c r="F154" i="15"/>
  <c r="F152" i="15"/>
  <c r="F140" i="15"/>
  <c r="C69" i="15"/>
  <c r="F372" i="15" l="1"/>
  <c r="F383" i="15"/>
  <c r="F379" i="15"/>
  <c r="F377" i="15"/>
  <c r="F371" i="15"/>
  <c r="F367" i="15"/>
  <c r="F365" i="15"/>
  <c r="C796" i="15"/>
  <c r="C751" i="15"/>
  <c r="C603" i="15"/>
  <c r="C561" i="15"/>
  <c r="C520" i="15"/>
  <c r="F479" i="15"/>
  <c r="F478" i="15"/>
  <c r="C437" i="15"/>
  <c r="F477" i="15"/>
  <c r="F476" i="15"/>
  <c r="F475" i="15"/>
  <c r="F474" i="15"/>
  <c r="F473" i="15"/>
  <c r="F472" i="15"/>
  <c r="F471" i="15"/>
  <c r="F470" i="15"/>
  <c r="F469" i="15"/>
  <c r="F468" i="15"/>
  <c r="F467" i="15"/>
  <c r="F466" i="15"/>
  <c r="F465" i="15"/>
  <c r="F464" i="15"/>
  <c r="F463" i="15"/>
  <c r="F462" i="15"/>
  <c r="F461" i="15"/>
  <c r="F460" i="15"/>
  <c r="F459" i="15"/>
  <c r="F458" i="15"/>
  <c r="F457" i="15"/>
  <c r="F456" i="15"/>
  <c r="F455" i="15"/>
  <c r="F453" i="15"/>
  <c r="F452" i="15"/>
  <c r="F451" i="15"/>
  <c r="F392" i="15"/>
  <c r="F385" i="15"/>
  <c r="F381" i="15"/>
  <c r="EW38" i="19"/>
  <c r="EM38" i="19"/>
  <c r="EC38" i="19"/>
  <c r="CY38" i="19"/>
  <c r="CR35" i="19"/>
  <c r="CR34" i="19"/>
  <c r="CR30" i="19"/>
  <c r="CR28" i="19"/>
  <c r="CR25" i="19"/>
  <c r="CR23" i="19"/>
  <c r="CR20" i="19"/>
  <c r="CR33" i="19"/>
  <c r="CR29" i="19"/>
  <c r="CR27" i="19"/>
  <c r="CR21" i="19"/>
  <c r="CR18" i="19"/>
  <c r="CR15" i="19"/>
  <c r="CR12" i="19"/>
  <c r="CR16" i="19"/>
  <c r="CR14" i="19"/>
  <c r="CR11" i="19"/>
  <c r="CR8" i="19"/>
  <c r="BA38" i="19"/>
  <c r="AQ38" i="19"/>
  <c r="GK38" i="18"/>
  <c r="GA38" i="18"/>
  <c r="FQ38" i="18"/>
  <c r="FG38" i="18"/>
  <c r="EW38" i="18"/>
  <c r="EM38" i="18"/>
  <c r="DB32" i="18"/>
  <c r="DB27" i="18"/>
  <c r="DB24" i="18"/>
  <c r="DB20" i="18"/>
  <c r="DB17" i="18"/>
  <c r="DB15" i="18"/>
  <c r="DB13" i="18"/>
  <c r="DB11" i="18"/>
  <c r="DB9" i="18"/>
  <c r="DB6" i="18"/>
  <c r="DB37" i="18"/>
  <c r="BU38" i="18"/>
  <c r="BK39" i="18"/>
  <c r="BA38" i="18"/>
  <c r="AQ38" i="18"/>
  <c r="AG38" i="18"/>
  <c r="W38" i="18"/>
  <c r="X37" i="18" s="1"/>
  <c r="M38" i="18"/>
  <c r="GK38" i="17"/>
  <c r="GA38" i="17"/>
  <c r="FQ38" i="17"/>
  <c r="FG38" i="17"/>
  <c r="EW38" i="17"/>
  <c r="CY38" i="17"/>
  <c r="BU38" i="17"/>
  <c r="P35" i="17"/>
  <c r="P34" i="17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7" i="17"/>
  <c r="P16" i="17"/>
  <c r="P15" i="17"/>
  <c r="P14" i="17"/>
  <c r="P11" i="17"/>
  <c r="P13" i="17"/>
  <c r="P8" i="17"/>
  <c r="GK38" i="16"/>
  <c r="GL37" i="16" s="1"/>
  <c r="FT6" i="16"/>
  <c r="FT37" i="16"/>
  <c r="EM38" i="16"/>
  <c r="DB35" i="16"/>
  <c r="DB34" i="16"/>
  <c r="DB33" i="16"/>
  <c r="DB32" i="16"/>
  <c r="DB30" i="16"/>
  <c r="DB29" i="16"/>
  <c r="DB28" i="16"/>
  <c r="DB27" i="16"/>
  <c r="DB25" i="16"/>
  <c r="DB23" i="16"/>
  <c r="DB22" i="16"/>
  <c r="DB19" i="16"/>
  <c r="DB18" i="16"/>
  <c r="DB16" i="16"/>
  <c r="DB15" i="16"/>
  <c r="DB13" i="16"/>
  <c r="DB11" i="16"/>
  <c r="DB8" i="16"/>
  <c r="DB26" i="16"/>
  <c r="DB21" i="16"/>
  <c r="DB12" i="16"/>
  <c r="DB10" i="16"/>
  <c r="DB7" i="16"/>
  <c r="BX35" i="16"/>
  <c r="BX34" i="16"/>
  <c r="BX33" i="16"/>
  <c r="BX32" i="16"/>
  <c r="BX31" i="16"/>
  <c r="BX30" i="16"/>
  <c r="BX29" i="16"/>
  <c r="BX28" i="16"/>
  <c r="BX27" i="16"/>
  <c r="BX26" i="16"/>
  <c r="BX25" i="16"/>
  <c r="BX24" i="16"/>
  <c r="BX23" i="16"/>
  <c r="BX22" i="16"/>
  <c r="BX21" i="16"/>
  <c r="BX20" i="16"/>
  <c r="BX19" i="16"/>
  <c r="BX18" i="16"/>
  <c r="BX17" i="16"/>
  <c r="BX16" i="16"/>
  <c r="BX15" i="16"/>
  <c r="BX14" i="16"/>
  <c r="BX13" i="16"/>
  <c r="BX12" i="16"/>
  <c r="BX11" i="16"/>
  <c r="BX10" i="16"/>
  <c r="BX9" i="16"/>
  <c r="BX8" i="16"/>
  <c r="BX7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N19" i="16"/>
  <c r="BN18" i="16"/>
  <c r="BN17" i="16"/>
  <c r="BN16" i="16"/>
  <c r="BN15" i="16"/>
  <c r="BN14" i="16"/>
  <c r="BN13" i="16"/>
  <c r="BN12" i="16"/>
  <c r="BN11" i="16"/>
  <c r="BN10" i="16"/>
  <c r="BN9" i="16"/>
  <c r="BN8" i="16"/>
  <c r="BN7" i="16"/>
  <c r="F394" i="15"/>
  <c r="F393" i="15"/>
  <c r="F370" i="15"/>
  <c r="F368" i="15"/>
  <c r="F391" i="15"/>
  <c r="F389" i="15"/>
  <c r="F387" i="15"/>
  <c r="F378" i="15"/>
  <c r="F376" i="15"/>
  <c r="F375" i="15"/>
  <c r="F373" i="15"/>
  <c r="F369" i="15"/>
  <c r="F390" i="15"/>
  <c r="F388" i="15"/>
  <c r="F386" i="15"/>
  <c r="F384" i="15"/>
  <c r="F382" i="15"/>
  <c r="F380" i="15"/>
  <c r="F374" i="15"/>
  <c r="F366" i="15"/>
  <c r="F356" i="15"/>
  <c r="F357" i="15" s="1"/>
  <c r="F358" i="15" s="1"/>
  <c r="F284" i="15"/>
  <c r="F285" i="15" s="1"/>
  <c r="F286" i="15" s="1"/>
  <c r="F247" i="15"/>
  <c r="F248" i="15" s="1"/>
  <c r="F249" i="15" s="1"/>
  <c r="C205" i="15"/>
  <c r="F164" i="15"/>
  <c r="F165" i="15" s="1"/>
  <c r="F166" i="15" s="1"/>
  <c r="C70" i="15"/>
  <c r="C797" i="15" l="1"/>
  <c r="C752" i="15"/>
  <c r="C604" i="15"/>
  <c r="D603" i="15" s="1"/>
  <c r="C562" i="15"/>
  <c r="C521" i="15"/>
  <c r="D520" i="15" s="1"/>
  <c r="C438" i="15"/>
  <c r="F481" i="15"/>
  <c r="F482" i="15" s="1"/>
  <c r="F483" i="15" s="1"/>
  <c r="F396" i="15"/>
  <c r="F397" i="15" s="1"/>
  <c r="F398" i="15" s="1"/>
  <c r="GD32" i="19"/>
  <c r="GD28" i="19"/>
  <c r="GD23" i="19"/>
  <c r="GD18" i="19"/>
  <c r="GD17" i="19"/>
  <c r="GD7" i="19"/>
  <c r="GD6" i="19"/>
  <c r="EW39" i="19"/>
  <c r="EX38" i="19" s="1"/>
  <c r="EM39" i="19"/>
  <c r="EN38" i="19"/>
  <c r="EC39" i="19"/>
  <c r="ED38" i="19" s="1"/>
  <c r="CY39" i="19"/>
  <c r="BA39" i="19"/>
  <c r="AT30" i="19"/>
  <c r="AT26" i="19"/>
  <c r="AT23" i="19"/>
  <c r="AT20" i="19"/>
  <c r="AT16" i="19"/>
  <c r="AT14" i="19"/>
  <c r="AT7" i="19"/>
  <c r="AT6" i="19"/>
  <c r="AT38" i="19"/>
  <c r="Z6" i="19"/>
  <c r="GA39" i="18"/>
  <c r="FQ39" i="18"/>
  <c r="FG39" i="18"/>
  <c r="EW39" i="18"/>
  <c r="EM39" i="18"/>
  <c r="DB36" i="18"/>
  <c r="DB35" i="18"/>
  <c r="DB22" i="18"/>
  <c r="DB34" i="18"/>
  <c r="DB33" i="18"/>
  <c r="DB31" i="18"/>
  <c r="DB30" i="18"/>
  <c r="DB29" i="18"/>
  <c r="DB28" i="18"/>
  <c r="DB26" i="18"/>
  <c r="DB25" i="18"/>
  <c r="DB23" i="18"/>
  <c r="DB21" i="18"/>
  <c r="DB19" i="18"/>
  <c r="DB18" i="18"/>
  <c r="DB16" i="18"/>
  <c r="DB14" i="18"/>
  <c r="DB12" i="18"/>
  <c r="DB10" i="18"/>
  <c r="DB8" i="18"/>
  <c r="DB7" i="18"/>
  <c r="CH32" i="18"/>
  <c r="CH27" i="18"/>
  <c r="CH24" i="18"/>
  <c r="CH6" i="18"/>
  <c r="BK40" i="18"/>
  <c r="BA39" i="18"/>
  <c r="AQ39" i="18"/>
  <c r="AJ12" i="18"/>
  <c r="AJ7" i="18"/>
  <c r="AJ6" i="18"/>
  <c r="AJ38" i="18"/>
  <c r="X36" i="18"/>
  <c r="X35" i="18"/>
  <c r="X34" i="18"/>
  <c r="X33" i="18"/>
  <c r="X32" i="18"/>
  <c r="X31" i="18"/>
  <c r="X30" i="18"/>
  <c r="X29" i="18"/>
  <c r="X28" i="18"/>
  <c r="X27" i="18"/>
  <c r="X26" i="18"/>
  <c r="X25" i="18"/>
  <c r="X24" i="18"/>
  <c r="X23" i="18"/>
  <c r="X22" i="18"/>
  <c r="X21" i="18"/>
  <c r="X20" i="18"/>
  <c r="X19" i="18"/>
  <c r="X18" i="18"/>
  <c r="X17" i="18"/>
  <c r="X16" i="18"/>
  <c r="Z16" i="18" s="1"/>
  <c r="X15" i="18"/>
  <c r="X14" i="18"/>
  <c r="X13" i="18"/>
  <c r="X12" i="18"/>
  <c r="X11" i="18"/>
  <c r="X10" i="18"/>
  <c r="X9" i="18"/>
  <c r="X8" i="18"/>
  <c r="X7" i="18"/>
  <c r="X6" i="18"/>
  <c r="Z6" i="18" s="1"/>
  <c r="X38" i="18"/>
  <c r="Z38" i="18" s="1"/>
  <c r="GK39" i="17"/>
  <c r="GA39" i="17"/>
  <c r="FT26" i="17"/>
  <c r="FT19" i="17"/>
  <c r="FT14" i="17"/>
  <c r="FT13" i="17"/>
  <c r="FT9" i="17"/>
  <c r="FT8" i="17"/>
  <c r="FT6" i="17"/>
  <c r="FT38" i="17"/>
  <c r="EZ19" i="17"/>
  <c r="EZ18" i="17"/>
  <c r="EZ9" i="17"/>
  <c r="EZ7" i="17"/>
  <c r="EZ6" i="17"/>
  <c r="EZ38" i="17"/>
  <c r="DL27" i="17"/>
  <c r="DL17" i="17"/>
  <c r="DL6" i="17"/>
  <c r="BU39" i="17"/>
  <c r="BD26" i="17"/>
  <c r="BD20" i="17"/>
  <c r="BD16" i="17"/>
  <c r="BD12" i="17"/>
  <c r="BD6" i="17"/>
  <c r="GL36" i="16"/>
  <c r="GL35" i="16"/>
  <c r="GL34" i="16"/>
  <c r="GL33" i="16"/>
  <c r="GL32" i="16"/>
  <c r="GL31" i="16"/>
  <c r="GN31" i="16" s="1"/>
  <c r="GL30" i="16"/>
  <c r="GN30" i="16" s="1"/>
  <c r="GL29" i="16"/>
  <c r="GL28" i="16"/>
  <c r="GL27" i="16"/>
  <c r="GL26" i="16"/>
  <c r="GL25" i="16"/>
  <c r="GL24" i="16"/>
  <c r="GN24" i="16" s="1"/>
  <c r="GL23" i="16"/>
  <c r="GL22" i="16"/>
  <c r="GL21" i="16"/>
  <c r="GL20" i="16"/>
  <c r="GL19" i="16"/>
  <c r="GL18" i="16"/>
  <c r="GL17" i="16"/>
  <c r="GL16" i="16"/>
  <c r="GL15" i="16"/>
  <c r="GN15" i="16" s="1"/>
  <c r="GL14" i="16"/>
  <c r="GL13" i="16"/>
  <c r="GL12" i="16"/>
  <c r="GN12" i="16" s="1"/>
  <c r="GL11" i="16"/>
  <c r="GL10" i="16"/>
  <c r="GL9" i="16"/>
  <c r="GL8" i="16"/>
  <c r="GL7" i="16"/>
  <c r="GL6" i="16"/>
  <c r="GN6" i="16" s="1"/>
  <c r="GL38" i="16"/>
  <c r="GN38" i="16" s="1"/>
  <c r="FT36" i="16"/>
  <c r="FT35" i="16"/>
  <c r="FT34" i="16"/>
  <c r="FT33" i="16"/>
  <c r="FT32" i="16"/>
  <c r="FT31" i="16"/>
  <c r="FT30" i="16"/>
  <c r="FT29" i="16"/>
  <c r="FT28" i="16"/>
  <c r="FT27" i="16"/>
  <c r="FT26" i="16"/>
  <c r="FT25" i="16"/>
  <c r="FT24" i="16"/>
  <c r="FT23" i="16"/>
  <c r="FT22" i="16"/>
  <c r="FT21" i="16"/>
  <c r="FT20" i="16"/>
  <c r="FT19" i="16"/>
  <c r="FT18" i="16"/>
  <c r="FT17" i="16"/>
  <c r="FT16" i="16"/>
  <c r="FT15" i="16"/>
  <c r="FT14" i="16"/>
  <c r="FT13" i="16"/>
  <c r="FT12" i="16"/>
  <c r="FT11" i="16"/>
  <c r="FT10" i="16"/>
  <c r="FT9" i="16"/>
  <c r="FT8" i="16"/>
  <c r="FT7" i="16"/>
  <c r="EM39" i="16"/>
  <c r="C206" i="15"/>
  <c r="C71" i="15"/>
  <c r="C114" i="15" s="1"/>
  <c r="C115" i="15" s="1"/>
  <c r="C116" i="15" s="1"/>
  <c r="C798" i="15" l="1"/>
  <c r="C753" i="15"/>
  <c r="D602" i="15"/>
  <c r="D601" i="15"/>
  <c r="D600" i="15"/>
  <c r="D599" i="15"/>
  <c r="D598" i="15"/>
  <c r="D597" i="15"/>
  <c r="D596" i="15"/>
  <c r="F596" i="15" s="1"/>
  <c r="D595" i="15"/>
  <c r="D594" i="15"/>
  <c r="D593" i="15"/>
  <c r="D592" i="15"/>
  <c r="D591" i="15"/>
  <c r="D590" i="15"/>
  <c r="D589" i="15"/>
  <c r="D588" i="15"/>
  <c r="D587" i="15"/>
  <c r="D586" i="15"/>
  <c r="D585" i="15"/>
  <c r="F585" i="15" s="1"/>
  <c r="D584" i="15"/>
  <c r="D583" i="15"/>
  <c r="D582" i="15"/>
  <c r="D581" i="15"/>
  <c r="D580" i="15"/>
  <c r="F580" i="15" s="1"/>
  <c r="D579" i="15"/>
  <c r="D578" i="15"/>
  <c r="D577" i="15"/>
  <c r="D576" i="15"/>
  <c r="D575" i="15"/>
  <c r="D574" i="15"/>
  <c r="D573" i="15"/>
  <c r="D572" i="15"/>
  <c r="D571" i="15"/>
  <c r="F571" i="15" s="1"/>
  <c r="D604" i="15"/>
  <c r="F604" i="15" s="1"/>
  <c r="C563" i="15"/>
  <c r="D562" i="15" s="1"/>
  <c r="D519" i="15"/>
  <c r="D518" i="15"/>
  <c r="D517" i="15"/>
  <c r="D516" i="15"/>
  <c r="D515" i="15"/>
  <c r="D514" i="15"/>
  <c r="F514" i="15" s="1"/>
  <c r="D513" i="15"/>
  <c r="D512" i="15"/>
  <c r="F512" i="15" s="1"/>
  <c r="D511" i="15"/>
  <c r="D510" i="15"/>
  <c r="F510" i="15" s="1"/>
  <c r="D509" i="15"/>
  <c r="D508" i="15"/>
  <c r="D507" i="15"/>
  <c r="D506" i="15"/>
  <c r="D505" i="15"/>
  <c r="F505" i="15" s="1"/>
  <c r="D504" i="15"/>
  <c r="D503" i="15"/>
  <c r="D502" i="15"/>
  <c r="D501" i="15"/>
  <c r="D500" i="15"/>
  <c r="D499" i="15"/>
  <c r="D498" i="15"/>
  <c r="D497" i="15"/>
  <c r="D496" i="15"/>
  <c r="D495" i="15"/>
  <c r="D494" i="15"/>
  <c r="D493" i="15"/>
  <c r="D492" i="15"/>
  <c r="D491" i="15"/>
  <c r="D490" i="15"/>
  <c r="D489" i="15"/>
  <c r="D488" i="15"/>
  <c r="F488" i="15" s="1"/>
  <c r="D521" i="15"/>
  <c r="F521" i="15" s="1"/>
  <c r="C439" i="15"/>
  <c r="GD34" i="19"/>
  <c r="GD14" i="19"/>
  <c r="GD12" i="19"/>
  <c r="GD10" i="19"/>
  <c r="GD27" i="19"/>
  <c r="GD21" i="19"/>
  <c r="GD37" i="19"/>
  <c r="GD36" i="19"/>
  <c r="GD29" i="19"/>
  <c r="GD26" i="19"/>
  <c r="GD25" i="19"/>
  <c r="GD24" i="19"/>
  <c r="GD22" i="19"/>
  <c r="GD19" i="19"/>
  <c r="GD16" i="19"/>
  <c r="GD13" i="19"/>
  <c r="GD9" i="19"/>
  <c r="GD35" i="19"/>
  <c r="GD33" i="19"/>
  <c r="GD31" i="19"/>
  <c r="GD30" i="19"/>
  <c r="GD20" i="19"/>
  <c r="GD15" i="19"/>
  <c r="GD11" i="19"/>
  <c r="GD8" i="19"/>
  <c r="FJ14" i="19"/>
  <c r="FJ9" i="19"/>
  <c r="FJ7" i="19"/>
  <c r="FJ6" i="19"/>
  <c r="EX37" i="19"/>
  <c r="EX36" i="19"/>
  <c r="EX35" i="19"/>
  <c r="EX34" i="19"/>
  <c r="EX33" i="19"/>
  <c r="EX32" i="19"/>
  <c r="EX31" i="19"/>
  <c r="EZ31" i="19" s="1"/>
  <c r="EX30" i="19"/>
  <c r="EX29" i="19"/>
  <c r="EX28" i="19"/>
  <c r="EX27" i="19"/>
  <c r="EX26" i="19"/>
  <c r="EX25" i="19"/>
  <c r="EX24" i="19"/>
  <c r="EX23" i="19"/>
  <c r="EX22" i="19"/>
  <c r="EX21" i="19"/>
  <c r="EX20" i="19"/>
  <c r="EX19" i="19"/>
  <c r="EX18" i="19"/>
  <c r="EX17" i="19"/>
  <c r="EX16" i="19"/>
  <c r="EX15" i="19"/>
  <c r="EX14" i="19"/>
  <c r="EX13" i="19"/>
  <c r="EX12" i="19"/>
  <c r="EX11" i="19"/>
  <c r="EX10" i="19"/>
  <c r="EX9" i="19"/>
  <c r="EX8" i="19"/>
  <c r="EX7" i="19"/>
  <c r="EZ7" i="19" s="1"/>
  <c r="EX6" i="19"/>
  <c r="EZ6" i="19" s="1"/>
  <c r="EX39" i="19"/>
  <c r="EZ39" i="19" s="1"/>
  <c r="EN37" i="19"/>
  <c r="EN36" i="19"/>
  <c r="EN35" i="19"/>
  <c r="EN34" i="19"/>
  <c r="EN33" i="19"/>
  <c r="EN32" i="19"/>
  <c r="EN31" i="19"/>
  <c r="EN30" i="19"/>
  <c r="EN29" i="19"/>
  <c r="EN28" i="19"/>
  <c r="EN27" i="19"/>
  <c r="EP27" i="19" s="1"/>
  <c r="EN26" i="19"/>
  <c r="EN25" i="19"/>
  <c r="EN24" i="19"/>
  <c r="EN23" i="19"/>
  <c r="EP23" i="19" s="1"/>
  <c r="EN22" i="19"/>
  <c r="EN21" i="19"/>
  <c r="EN20" i="19"/>
  <c r="EP20" i="19" s="1"/>
  <c r="EN19" i="19"/>
  <c r="EN18" i="19"/>
  <c r="EN17" i="19"/>
  <c r="EP17" i="19" s="1"/>
  <c r="EN16" i="19"/>
  <c r="EN15" i="19"/>
  <c r="EP15" i="19" s="1"/>
  <c r="EN14" i="19"/>
  <c r="EP14" i="19" s="1"/>
  <c r="EN13" i="19"/>
  <c r="EN12" i="19"/>
  <c r="EP12" i="19" s="1"/>
  <c r="EN11" i="19"/>
  <c r="EN10" i="19"/>
  <c r="EP10" i="19" s="1"/>
  <c r="EN9" i="19"/>
  <c r="EN8" i="19"/>
  <c r="EP8" i="19" s="1"/>
  <c r="EN7" i="19"/>
  <c r="EN6" i="19"/>
  <c r="EP6" i="19" s="1"/>
  <c r="EN39" i="19"/>
  <c r="EP39" i="19" s="1"/>
  <c r="ED37" i="19"/>
  <c r="ED36" i="19"/>
  <c r="ED35" i="19"/>
  <c r="ED34" i="19"/>
  <c r="ED33" i="19"/>
  <c r="ED32" i="19"/>
  <c r="ED31" i="19"/>
  <c r="ED30" i="19"/>
  <c r="ED29" i="19"/>
  <c r="ED28" i="19"/>
  <c r="ED27" i="19"/>
  <c r="ED26" i="19"/>
  <c r="ED25" i="19"/>
  <c r="EF25" i="19" s="1"/>
  <c r="ED24" i="19"/>
  <c r="ED23" i="19"/>
  <c r="ED22" i="19"/>
  <c r="ED21" i="19"/>
  <c r="ED20" i="19"/>
  <c r="ED19" i="19"/>
  <c r="ED18" i="19"/>
  <c r="EF18" i="19" s="1"/>
  <c r="ED17" i="19"/>
  <c r="ED16" i="19"/>
  <c r="EF16" i="19" s="1"/>
  <c r="ED15" i="19"/>
  <c r="ED14" i="19"/>
  <c r="EF14" i="19" s="1"/>
  <c r="ED13" i="19"/>
  <c r="ED12" i="19"/>
  <c r="EF12" i="19" s="1"/>
  <c r="ED11" i="19"/>
  <c r="ED10" i="19"/>
  <c r="ED9" i="19"/>
  <c r="EF9" i="19" s="1"/>
  <c r="ED8" i="19"/>
  <c r="ED7" i="19"/>
  <c r="EF7" i="19" s="1"/>
  <c r="ED6" i="19"/>
  <c r="EF6" i="19" s="1"/>
  <c r="ED39" i="19"/>
  <c r="EF39" i="19" s="1"/>
  <c r="CY40" i="19"/>
  <c r="BA40" i="19"/>
  <c r="AT37" i="19"/>
  <c r="AT36" i="19"/>
  <c r="AT32" i="19"/>
  <c r="AT18" i="19"/>
  <c r="AT12" i="19"/>
  <c r="AT10" i="19"/>
  <c r="AT8" i="19"/>
  <c r="AT35" i="19"/>
  <c r="AT34" i="19"/>
  <c r="AT33" i="19"/>
  <c r="AT31" i="19"/>
  <c r="AT29" i="19"/>
  <c r="AT28" i="19"/>
  <c r="AT27" i="19"/>
  <c r="AT25" i="19"/>
  <c r="AT24" i="19"/>
  <c r="AT22" i="19"/>
  <c r="AT21" i="19"/>
  <c r="AT19" i="19"/>
  <c r="AT17" i="19"/>
  <c r="AT15" i="19"/>
  <c r="AT13" i="19"/>
  <c r="AT11" i="19"/>
  <c r="AT9" i="19"/>
  <c r="Z35" i="19"/>
  <c r="Z34" i="19"/>
  <c r="Z33" i="19"/>
  <c r="Z32" i="19"/>
  <c r="Z31" i="19"/>
  <c r="Z30" i="19"/>
  <c r="Z29" i="19"/>
  <c r="Z28" i="19"/>
  <c r="Z27" i="19"/>
  <c r="Z26" i="19"/>
  <c r="Z25" i="19"/>
  <c r="Z24" i="19"/>
  <c r="Z23" i="19"/>
  <c r="Z22" i="19"/>
  <c r="Z21" i="19"/>
  <c r="Z20" i="19"/>
  <c r="Z19" i="19"/>
  <c r="Z18" i="19"/>
  <c r="Z17" i="19"/>
  <c r="Z16" i="19"/>
  <c r="Z15" i="19"/>
  <c r="Z14" i="19"/>
  <c r="Z13" i="19"/>
  <c r="Z12" i="19"/>
  <c r="Z11" i="19"/>
  <c r="Z10" i="19"/>
  <c r="Z9" i="19"/>
  <c r="Z8" i="19"/>
  <c r="Z7" i="19"/>
  <c r="GA40" i="18"/>
  <c r="GB39" i="18" s="1"/>
  <c r="FQ40" i="18"/>
  <c r="FJ36" i="18"/>
  <c r="FJ34" i="18"/>
  <c r="FJ32" i="18"/>
  <c r="FJ30" i="18"/>
  <c r="FJ29" i="18"/>
  <c r="FJ23" i="18"/>
  <c r="FJ19" i="18"/>
  <c r="FJ17" i="18"/>
  <c r="FJ15" i="18"/>
  <c r="FJ13" i="18"/>
  <c r="FJ11" i="18"/>
  <c r="FJ10" i="18"/>
  <c r="FJ6" i="18"/>
  <c r="FJ39" i="18"/>
  <c r="EM40" i="18"/>
  <c r="CH35" i="18"/>
  <c r="CH26" i="18"/>
  <c r="CH37" i="18"/>
  <c r="CH36" i="18"/>
  <c r="CH23" i="18"/>
  <c r="CH22" i="18"/>
  <c r="CH21" i="18"/>
  <c r="CH20" i="18"/>
  <c r="CH19" i="18"/>
  <c r="CH18" i="18"/>
  <c r="CH17" i="18"/>
  <c r="CH16" i="18"/>
  <c r="CH15" i="18"/>
  <c r="CH14" i="18"/>
  <c r="CH13" i="18"/>
  <c r="CH12" i="18"/>
  <c r="CH11" i="18"/>
  <c r="CH10" i="18"/>
  <c r="CH9" i="18"/>
  <c r="CH8" i="18"/>
  <c r="CH7" i="18"/>
  <c r="CH30" i="18"/>
  <c r="CH34" i="18"/>
  <c r="CH33" i="18"/>
  <c r="CH31" i="18"/>
  <c r="CH29" i="18"/>
  <c r="CH28" i="18"/>
  <c r="CH25" i="18"/>
  <c r="BN23" i="18"/>
  <c r="BN22" i="18"/>
  <c r="BN40" i="18"/>
  <c r="BN6" i="18"/>
  <c r="BA40" i="18"/>
  <c r="AQ40" i="18"/>
  <c r="AJ37" i="18"/>
  <c r="AJ36" i="18"/>
  <c r="AJ11" i="18"/>
  <c r="AJ10" i="18"/>
  <c r="AJ9" i="18"/>
  <c r="AJ8" i="18"/>
  <c r="AJ35" i="18"/>
  <c r="AJ34" i="18"/>
  <c r="AJ33" i="18"/>
  <c r="AJ32" i="18"/>
  <c r="AJ31" i="18"/>
  <c r="AJ30" i="18"/>
  <c r="AJ29" i="18"/>
  <c r="AJ28" i="18"/>
  <c r="AJ27" i="18"/>
  <c r="AJ26" i="18"/>
  <c r="AJ25" i="18"/>
  <c r="AJ24" i="18"/>
  <c r="AJ23" i="18"/>
  <c r="AJ22" i="18"/>
  <c r="AJ21" i="18"/>
  <c r="AJ20" i="18"/>
  <c r="AJ19" i="18"/>
  <c r="AJ18" i="18"/>
  <c r="AJ17" i="18"/>
  <c r="AJ16" i="18"/>
  <c r="AJ15" i="18"/>
  <c r="AJ14" i="18"/>
  <c r="AJ13" i="18"/>
  <c r="Z37" i="18"/>
  <c r="Z36" i="18"/>
  <c r="Z15" i="18"/>
  <c r="Z14" i="18"/>
  <c r="Z13" i="18"/>
  <c r="Z12" i="18"/>
  <c r="Z11" i="18"/>
  <c r="Z10" i="18"/>
  <c r="Z9" i="18"/>
  <c r="Z8" i="18"/>
  <c r="Z35" i="18"/>
  <c r="Z34" i="18"/>
  <c r="Z33" i="18"/>
  <c r="Z32" i="18"/>
  <c r="Z31" i="18"/>
  <c r="Z30" i="18"/>
  <c r="Z29" i="18"/>
  <c r="Z28" i="18"/>
  <c r="Z27" i="18"/>
  <c r="Z26" i="18"/>
  <c r="Z25" i="18"/>
  <c r="Z24" i="18"/>
  <c r="Z23" i="18"/>
  <c r="Z22" i="18"/>
  <c r="Z21" i="18"/>
  <c r="Z20" i="18"/>
  <c r="Z19" i="18"/>
  <c r="Z18" i="18"/>
  <c r="Z17" i="18"/>
  <c r="Z7" i="18"/>
  <c r="GA40" i="17"/>
  <c r="FT37" i="17"/>
  <c r="FT36" i="17"/>
  <c r="FT16" i="17"/>
  <c r="FT10" i="17"/>
  <c r="FT7" i="17"/>
  <c r="FT35" i="17"/>
  <c r="FT34" i="17"/>
  <c r="FT33" i="17"/>
  <c r="FT32" i="17"/>
  <c r="FT31" i="17"/>
  <c r="FT30" i="17"/>
  <c r="FT29" i="17"/>
  <c r="FT28" i="17"/>
  <c r="FT27" i="17"/>
  <c r="FT25" i="17"/>
  <c r="FT24" i="17"/>
  <c r="FT23" i="17"/>
  <c r="FT22" i="17"/>
  <c r="FT21" i="17"/>
  <c r="FT20" i="17"/>
  <c r="FT18" i="17"/>
  <c r="FT17" i="17"/>
  <c r="FT15" i="17"/>
  <c r="FT12" i="17"/>
  <c r="FT11" i="17"/>
  <c r="EZ37" i="17"/>
  <c r="EZ36" i="17"/>
  <c r="EZ17" i="17"/>
  <c r="EZ16" i="17"/>
  <c r="EZ15" i="17"/>
  <c r="EZ14" i="17"/>
  <c r="EZ13" i="17"/>
  <c r="EZ12" i="17"/>
  <c r="EZ11" i="17"/>
  <c r="EZ10" i="17"/>
  <c r="EZ8" i="17"/>
  <c r="EZ35" i="17"/>
  <c r="EZ34" i="17"/>
  <c r="EZ33" i="17"/>
  <c r="EZ32" i="17"/>
  <c r="EZ31" i="17"/>
  <c r="EZ30" i="17"/>
  <c r="EZ29" i="17"/>
  <c r="EZ28" i="17"/>
  <c r="EZ27" i="17"/>
  <c r="EZ26" i="17"/>
  <c r="EZ25" i="17"/>
  <c r="EZ24" i="17"/>
  <c r="EZ23" i="17"/>
  <c r="EZ22" i="17"/>
  <c r="EZ21" i="17"/>
  <c r="EZ20" i="17"/>
  <c r="DL15" i="17"/>
  <c r="DL9" i="17"/>
  <c r="DL7" i="17"/>
  <c r="DL11" i="17"/>
  <c r="DL26" i="17"/>
  <c r="DL25" i="17"/>
  <c r="DL24" i="17"/>
  <c r="DL23" i="17"/>
  <c r="DL22" i="17"/>
  <c r="DL21" i="17"/>
  <c r="DL20" i="17"/>
  <c r="DL18" i="17"/>
  <c r="DL14" i="17"/>
  <c r="DL13" i="17"/>
  <c r="DL10" i="17"/>
  <c r="DL8" i="17"/>
  <c r="DL35" i="17"/>
  <c r="DL34" i="17"/>
  <c r="DL33" i="17"/>
  <c r="DL32" i="17"/>
  <c r="DL31" i="17"/>
  <c r="DL30" i="17"/>
  <c r="DL29" i="17"/>
  <c r="DL28" i="17"/>
  <c r="DL19" i="17"/>
  <c r="DL16" i="17"/>
  <c r="DL12" i="17"/>
  <c r="DB6" i="17"/>
  <c r="BU40" i="17"/>
  <c r="BD35" i="17"/>
  <c r="BD34" i="17"/>
  <c r="BD33" i="17"/>
  <c r="BD32" i="17"/>
  <c r="BD31" i="17"/>
  <c r="BD30" i="17"/>
  <c r="BD29" i="17"/>
  <c r="BD28" i="17"/>
  <c r="BD27" i="17"/>
  <c r="BD25" i="17"/>
  <c r="BD24" i="17"/>
  <c r="BD23" i="17"/>
  <c r="BD22" i="17"/>
  <c r="BD21" i="17"/>
  <c r="BD19" i="17"/>
  <c r="BD18" i="17"/>
  <c r="BD17" i="17"/>
  <c r="BD15" i="17"/>
  <c r="BD13" i="17"/>
  <c r="BD11" i="17"/>
  <c r="BD10" i="17"/>
  <c r="BD8" i="17"/>
  <c r="BD14" i="17"/>
  <c r="BD9" i="17"/>
  <c r="BD7" i="17"/>
  <c r="GN37" i="16"/>
  <c r="GN36" i="16"/>
  <c r="GN35" i="16"/>
  <c r="GN33" i="16"/>
  <c r="GN29" i="16"/>
  <c r="GN28" i="16"/>
  <c r="GN27" i="16"/>
  <c r="GN26" i="16"/>
  <c r="GN25" i="16"/>
  <c r="GN20" i="16"/>
  <c r="GN18" i="16"/>
  <c r="GN16" i="16"/>
  <c r="GN14" i="16"/>
  <c r="GN13" i="16"/>
  <c r="GN23" i="16"/>
  <c r="GN22" i="16"/>
  <c r="GN21" i="16"/>
  <c r="GN19" i="16"/>
  <c r="GN17" i="16"/>
  <c r="GN11" i="16"/>
  <c r="GN10" i="16"/>
  <c r="GN9" i="16"/>
  <c r="GN8" i="16"/>
  <c r="GN7" i="16"/>
  <c r="GN34" i="16"/>
  <c r="GN32" i="16"/>
  <c r="EM40" i="16"/>
  <c r="C207" i="15"/>
  <c r="C72" i="15"/>
  <c r="C117" i="15" s="1"/>
  <c r="F503" i="15" l="1"/>
  <c r="F499" i="15"/>
  <c r="F495" i="15"/>
  <c r="F494" i="15"/>
  <c r="F493" i="15"/>
  <c r="F491" i="15"/>
  <c r="F489" i="15"/>
  <c r="F518" i="15"/>
  <c r="F511" i="15"/>
  <c r="F508" i="15"/>
  <c r="F577" i="15"/>
  <c r="F593" i="15"/>
  <c r="F589" i="15"/>
  <c r="F583" i="15"/>
  <c r="F573" i="15"/>
  <c r="F515" i="15"/>
  <c r="C799" i="15"/>
  <c r="C754" i="15"/>
  <c r="F603" i="15"/>
  <c r="F602" i="15"/>
  <c r="D561" i="15"/>
  <c r="D560" i="15"/>
  <c r="D559" i="15"/>
  <c r="D558" i="15"/>
  <c r="D557" i="15"/>
  <c r="D556" i="15"/>
  <c r="D555" i="15"/>
  <c r="D554" i="15"/>
  <c r="D553" i="15"/>
  <c r="D552" i="15"/>
  <c r="D551" i="15"/>
  <c r="D550" i="15"/>
  <c r="D549" i="15"/>
  <c r="D548" i="15"/>
  <c r="D547" i="15"/>
  <c r="D546" i="15"/>
  <c r="D545" i="15"/>
  <c r="D544" i="15"/>
  <c r="F544" i="15" s="1"/>
  <c r="D543" i="15"/>
  <c r="D542" i="15"/>
  <c r="D541" i="15"/>
  <c r="D540" i="15"/>
  <c r="D539" i="15"/>
  <c r="D538" i="15"/>
  <c r="D537" i="15"/>
  <c r="D536" i="15"/>
  <c r="D535" i="15"/>
  <c r="D534" i="15"/>
  <c r="D533" i="15"/>
  <c r="D532" i="15"/>
  <c r="D531" i="15"/>
  <c r="D530" i="15"/>
  <c r="D529" i="15"/>
  <c r="F529" i="15" s="1"/>
  <c r="D563" i="15"/>
  <c r="F563" i="15" s="1"/>
  <c r="F520" i="15"/>
  <c r="F519" i="15"/>
  <c r="C440" i="15"/>
  <c r="F601" i="15"/>
  <c r="F600" i="15"/>
  <c r="F599" i="15"/>
  <c r="F598" i="15"/>
  <c r="F597" i="15"/>
  <c r="F595" i="15"/>
  <c r="F594" i="15"/>
  <c r="F592" i="15"/>
  <c r="F590" i="15"/>
  <c r="F587" i="15"/>
  <c r="F581" i="15"/>
  <c r="F578" i="15"/>
  <c r="F575" i="15"/>
  <c r="F517" i="15"/>
  <c r="F516" i="15"/>
  <c r="F513" i="15"/>
  <c r="F579" i="15"/>
  <c r="F574" i="15"/>
  <c r="F572" i="15"/>
  <c r="F506" i="15"/>
  <c r="F502" i="15"/>
  <c r="F501" i="15"/>
  <c r="F498" i="15"/>
  <c r="F490" i="15"/>
  <c r="F591" i="15"/>
  <c r="F588" i="15"/>
  <c r="F586" i="15"/>
  <c r="F584" i="15"/>
  <c r="F582" i="15"/>
  <c r="F576" i="15"/>
  <c r="F509" i="15"/>
  <c r="F507" i="15"/>
  <c r="F504" i="15"/>
  <c r="F500" i="15"/>
  <c r="F496" i="15"/>
  <c r="F492" i="15"/>
  <c r="F497" i="15"/>
  <c r="FJ33" i="19"/>
  <c r="FJ32" i="19"/>
  <c r="FJ31" i="19"/>
  <c r="FJ30" i="19"/>
  <c r="FJ29" i="19"/>
  <c r="FJ28" i="19"/>
  <c r="FJ27" i="19"/>
  <c r="FJ26" i="19"/>
  <c r="FJ25" i="19"/>
  <c r="FJ24" i="19"/>
  <c r="FJ23" i="19"/>
  <c r="FJ22" i="19"/>
  <c r="FJ21" i="19"/>
  <c r="FJ20" i="19"/>
  <c r="FJ19" i="19"/>
  <c r="FJ18" i="19"/>
  <c r="FJ17" i="19"/>
  <c r="FJ16" i="19"/>
  <c r="FJ15" i="19"/>
  <c r="FJ13" i="19"/>
  <c r="FJ12" i="19"/>
  <c r="FJ11" i="19"/>
  <c r="FJ10" i="19"/>
  <c r="FJ8" i="19"/>
  <c r="EZ26" i="19"/>
  <c r="EZ19" i="19"/>
  <c r="EZ17" i="19"/>
  <c r="EZ15" i="19"/>
  <c r="EZ11" i="19"/>
  <c r="EZ9" i="19"/>
  <c r="EZ22" i="19"/>
  <c r="EZ29" i="19"/>
  <c r="EZ38" i="19"/>
  <c r="EZ37" i="19"/>
  <c r="EZ8" i="19"/>
  <c r="EZ23" i="19"/>
  <c r="EZ20" i="19"/>
  <c r="EZ16" i="19"/>
  <c r="EZ14" i="19"/>
  <c r="EZ13" i="19"/>
  <c r="EZ36" i="19"/>
  <c r="EZ35" i="19"/>
  <c r="EZ34" i="19"/>
  <c r="EZ33" i="19"/>
  <c r="EZ32" i="19"/>
  <c r="EZ30" i="19"/>
  <c r="EZ28" i="19"/>
  <c r="EZ27" i="19"/>
  <c r="EZ25" i="19"/>
  <c r="EZ12" i="19"/>
  <c r="EZ10" i="19"/>
  <c r="EZ24" i="19"/>
  <c r="EZ21" i="19"/>
  <c r="EZ18" i="19"/>
  <c r="EP38" i="19"/>
  <c r="EP37" i="19"/>
  <c r="EP36" i="19"/>
  <c r="EP35" i="19"/>
  <c r="EP34" i="19"/>
  <c r="EP33" i="19"/>
  <c r="EP32" i="19"/>
  <c r="EP31" i="19"/>
  <c r="EP30" i="19"/>
  <c r="EP29" i="19"/>
  <c r="EP28" i="19"/>
  <c r="EP26" i="19"/>
  <c r="EP25" i="19"/>
  <c r="EP24" i="19"/>
  <c r="EP22" i="19"/>
  <c r="EP21" i="19"/>
  <c r="EP19" i="19"/>
  <c r="EP18" i="19"/>
  <c r="EP16" i="19"/>
  <c r="EP13" i="19"/>
  <c r="EP11" i="19"/>
  <c r="EP9" i="19"/>
  <c r="EP7" i="19"/>
  <c r="EF38" i="19"/>
  <c r="EF37" i="19"/>
  <c r="EF15" i="19"/>
  <c r="EF36" i="19"/>
  <c r="EF35" i="19"/>
  <c r="EF34" i="19"/>
  <c r="EF33" i="19"/>
  <c r="EF32" i="19"/>
  <c r="EF31" i="19"/>
  <c r="EF30" i="19"/>
  <c r="EF29" i="19"/>
  <c r="EF28" i="19"/>
  <c r="EF27" i="19"/>
  <c r="EF26" i="19"/>
  <c r="EF24" i="19"/>
  <c r="EF23" i="19"/>
  <c r="EF22" i="19"/>
  <c r="EF21" i="19"/>
  <c r="EF20" i="19"/>
  <c r="EF19" i="19"/>
  <c r="EF17" i="19"/>
  <c r="EF13" i="19"/>
  <c r="EF11" i="19"/>
  <c r="EF10" i="19"/>
  <c r="EF8" i="19"/>
  <c r="CY41" i="19"/>
  <c r="CZ40" i="19" s="1"/>
  <c r="BA41" i="19"/>
  <c r="GN36" i="18"/>
  <c r="GN32" i="18"/>
  <c r="GN30" i="18"/>
  <c r="GN27" i="18"/>
  <c r="GN26" i="18"/>
  <c r="GN17" i="18"/>
  <c r="GN15" i="18"/>
  <c r="GN10" i="18"/>
  <c r="GN9" i="18"/>
  <c r="GN6" i="18"/>
  <c r="GB38" i="18"/>
  <c r="GB37" i="18"/>
  <c r="GB36" i="18"/>
  <c r="GB35" i="18"/>
  <c r="GB34" i="18"/>
  <c r="GB33" i="18"/>
  <c r="GB32" i="18"/>
  <c r="GB31" i="18"/>
  <c r="GB30" i="18"/>
  <c r="GB29" i="18"/>
  <c r="GB28" i="18"/>
  <c r="GB27" i="18"/>
  <c r="GB26" i="18"/>
  <c r="GB25" i="18"/>
  <c r="GB24" i="18"/>
  <c r="GB23" i="18"/>
  <c r="GB22" i="18"/>
  <c r="GB21" i="18"/>
  <c r="GB20" i="18"/>
  <c r="GB19" i="18"/>
  <c r="GB18" i="18"/>
  <c r="GB17" i="18"/>
  <c r="GB16" i="18"/>
  <c r="GB15" i="18"/>
  <c r="GB14" i="18"/>
  <c r="GB13" i="18"/>
  <c r="GD13" i="18" s="1"/>
  <c r="GB12" i="18"/>
  <c r="GB11" i="18"/>
  <c r="GB10" i="18"/>
  <c r="GB9" i="18"/>
  <c r="GB8" i="18"/>
  <c r="GD8" i="18" s="1"/>
  <c r="GB7" i="18"/>
  <c r="GB6" i="18"/>
  <c r="GD6" i="18" s="1"/>
  <c r="GB40" i="18"/>
  <c r="GD40" i="18" s="1"/>
  <c r="FJ38" i="18"/>
  <c r="FJ37" i="18"/>
  <c r="FJ35" i="18"/>
  <c r="FJ33" i="18"/>
  <c r="FJ31" i="18"/>
  <c r="FJ28" i="18"/>
  <c r="FJ26" i="18"/>
  <c r="FJ24" i="18"/>
  <c r="FJ21" i="18"/>
  <c r="FJ18" i="18"/>
  <c r="FJ16" i="18"/>
  <c r="FJ14" i="18"/>
  <c r="FJ12" i="18"/>
  <c r="FJ27" i="18"/>
  <c r="FJ25" i="18"/>
  <c r="FJ22" i="18"/>
  <c r="FJ20" i="18"/>
  <c r="FJ9" i="18"/>
  <c r="FJ7" i="18"/>
  <c r="FJ8" i="18"/>
  <c r="EM41" i="18"/>
  <c r="BN39" i="18"/>
  <c r="BN38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AQ41" i="18"/>
  <c r="GA41" i="17"/>
  <c r="DB36" i="17"/>
  <c r="DB33" i="17"/>
  <c r="DB31" i="17"/>
  <c r="DB30" i="17"/>
  <c r="DB7" i="17"/>
  <c r="DB38" i="17"/>
  <c r="DB37" i="17"/>
  <c r="DB29" i="17"/>
  <c r="DB28" i="17"/>
  <c r="DB27" i="17"/>
  <c r="DB26" i="17"/>
  <c r="DB25" i="17"/>
  <c r="DB24" i="17"/>
  <c r="DB23" i="17"/>
  <c r="DB22" i="17"/>
  <c r="DB21" i="17"/>
  <c r="DB20" i="17"/>
  <c r="DB19" i="17"/>
  <c r="DB18" i="17"/>
  <c r="DB17" i="17"/>
  <c r="DB16" i="17"/>
  <c r="DB15" i="17"/>
  <c r="DB14" i="17"/>
  <c r="DB13" i="17"/>
  <c r="DB12" i="17"/>
  <c r="DB11" i="17"/>
  <c r="DB10" i="17"/>
  <c r="DB9" i="17"/>
  <c r="DB8" i="17"/>
  <c r="DB32" i="17"/>
  <c r="DB35" i="17"/>
  <c r="DB34" i="17"/>
  <c r="BU41" i="17"/>
  <c r="EP35" i="16"/>
  <c r="EP31" i="16"/>
  <c r="EP28" i="16"/>
  <c r="EP25" i="16"/>
  <c r="EP23" i="16"/>
  <c r="EP20" i="16"/>
  <c r="EP18" i="16"/>
  <c r="EP17" i="16"/>
  <c r="EP6" i="16"/>
  <c r="EP40" i="16"/>
  <c r="C208" i="15"/>
  <c r="C73" i="15"/>
  <c r="C118" i="15" s="1"/>
  <c r="F542" i="15" l="1"/>
  <c r="F540" i="15"/>
  <c r="F538" i="15"/>
  <c r="F537" i="15"/>
  <c r="F533" i="15"/>
  <c r="F532" i="15"/>
  <c r="F530" i="15"/>
  <c r="F560" i="15"/>
  <c r="F559" i="15"/>
  <c r="F556" i="15"/>
  <c r="F553" i="15"/>
  <c r="F551" i="15"/>
  <c r="F547" i="15"/>
  <c r="C800" i="15"/>
  <c r="C755" i="15"/>
  <c r="F562" i="15"/>
  <c r="F561" i="15"/>
  <c r="C441" i="15"/>
  <c r="D440" i="15" s="1"/>
  <c r="F536" i="15"/>
  <c r="F522" i="15"/>
  <c r="F523" i="15" s="1"/>
  <c r="F524" i="15" s="1"/>
  <c r="F558" i="15"/>
  <c r="F557" i="15"/>
  <c r="F555" i="15"/>
  <c r="F549" i="15"/>
  <c r="F546" i="15"/>
  <c r="F543" i="15"/>
  <c r="F539" i="15"/>
  <c r="F534" i="15"/>
  <c r="F531" i="15"/>
  <c r="F554" i="15"/>
  <c r="F552" i="15"/>
  <c r="F550" i="15"/>
  <c r="F548" i="15"/>
  <c r="F545" i="15"/>
  <c r="F541" i="15"/>
  <c r="F535" i="15"/>
  <c r="F605" i="15"/>
  <c r="F606" i="15" s="1"/>
  <c r="F607" i="15" s="1"/>
  <c r="CZ39" i="19"/>
  <c r="CZ38" i="19"/>
  <c r="CZ37" i="19"/>
  <c r="CZ36" i="19"/>
  <c r="CZ35" i="19"/>
  <c r="CZ34" i="19"/>
  <c r="CZ33" i="19"/>
  <c r="CZ32" i="19"/>
  <c r="DB32" i="19" s="1"/>
  <c r="CZ31" i="19"/>
  <c r="CZ30" i="19"/>
  <c r="CZ29" i="19"/>
  <c r="DB29" i="19" s="1"/>
  <c r="CZ28" i="19"/>
  <c r="CZ27" i="19"/>
  <c r="DB27" i="19" s="1"/>
  <c r="CZ26" i="19"/>
  <c r="CZ25" i="19"/>
  <c r="CZ24" i="19"/>
  <c r="DB24" i="19" s="1"/>
  <c r="CZ23" i="19"/>
  <c r="CZ22" i="19"/>
  <c r="DB22" i="19" s="1"/>
  <c r="CZ21" i="19"/>
  <c r="CZ20" i="19"/>
  <c r="CZ19" i="19"/>
  <c r="CZ18" i="19"/>
  <c r="DB18" i="19" s="1"/>
  <c r="CZ17" i="19"/>
  <c r="CZ16" i="19"/>
  <c r="CZ15" i="19"/>
  <c r="CZ14" i="19"/>
  <c r="CZ13" i="19"/>
  <c r="CZ12" i="19"/>
  <c r="CZ11" i="19"/>
  <c r="CZ10" i="19"/>
  <c r="CZ9" i="19"/>
  <c r="CZ8" i="19"/>
  <c r="CZ7" i="19"/>
  <c r="CZ6" i="19"/>
  <c r="DB6" i="19" s="1"/>
  <c r="CZ41" i="19"/>
  <c r="DB41" i="19" s="1"/>
  <c r="BA42" i="19"/>
  <c r="GN38" i="18"/>
  <c r="GN25" i="18"/>
  <c r="GN24" i="18"/>
  <c r="GN23" i="18"/>
  <c r="GN22" i="18"/>
  <c r="GN21" i="18"/>
  <c r="GN20" i="18"/>
  <c r="GN19" i="18"/>
  <c r="GN18" i="18"/>
  <c r="GN7" i="18"/>
  <c r="GN37" i="18"/>
  <c r="GN35" i="18"/>
  <c r="GN34" i="18"/>
  <c r="GN33" i="18"/>
  <c r="GN31" i="18"/>
  <c r="GN29" i="18"/>
  <c r="GN28" i="18"/>
  <c r="GN16" i="18"/>
  <c r="GN14" i="18"/>
  <c r="GN12" i="18"/>
  <c r="GN11" i="18"/>
  <c r="GN8" i="18"/>
  <c r="GD39" i="18"/>
  <c r="GD38" i="18"/>
  <c r="GD37" i="18"/>
  <c r="GD36" i="18"/>
  <c r="GD35" i="18"/>
  <c r="GD34" i="18"/>
  <c r="GD33" i="18"/>
  <c r="GD32" i="18"/>
  <c r="GD31" i="18"/>
  <c r="GD30" i="18"/>
  <c r="GD29" i="18"/>
  <c r="GD28" i="18"/>
  <c r="GD27" i="18"/>
  <c r="GD26" i="18"/>
  <c r="GD25" i="18"/>
  <c r="GD24" i="18"/>
  <c r="GD23" i="18"/>
  <c r="GD22" i="18"/>
  <c r="GD21" i="18"/>
  <c r="GD20" i="18"/>
  <c r="GD19" i="18"/>
  <c r="GD18" i="18"/>
  <c r="GD17" i="18"/>
  <c r="GD16" i="18"/>
  <c r="GD15" i="18"/>
  <c r="GD14" i="18"/>
  <c r="GD12" i="18"/>
  <c r="GD11" i="18"/>
  <c r="GD10" i="18"/>
  <c r="GD9" i="18"/>
  <c r="GD7" i="18"/>
  <c r="EZ35" i="18"/>
  <c r="EZ33" i="18"/>
  <c r="EZ16" i="18"/>
  <c r="EZ15" i="18"/>
  <c r="EZ6" i="18"/>
  <c r="AT30" i="18"/>
  <c r="AT27" i="18"/>
  <c r="AT24" i="18"/>
  <c r="AT22" i="18"/>
  <c r="AT20" i="18"/>
  <c r="AT15" i="18"/>
  <c r="AT14" i="18"/>
  <c r="AT6" i="18"/>
  <c r="AT41" i="18"/>
  <c r="GA42" i="17"/>
  <c r="BU42" i="17"/>
  <c r="EP39" i="16"/>
  <c r="EP38" i="16"/>
  <c r="EP16" i="16"/>
  <c r="EP15" i="16"/>
  <c r="EP14" i="16"/>
  <c r="EP13" i="16"/>
  <c r="EP12" i="16"/>
  <c r="EP11" i="16"/>
  <c r="EP10" i="16"/>
  <c r="EP9" i="16"/>
  <c r="EP8" i="16"/>
  <c r="EP7" i="16"/>
  <c r="EP37" i="16"/>
  <c r="EP36" i="16"/>
  <c r="EP34" i="16"/>
  <c r="EP33" i="16"/>
  <c r="EP32" i="16"/>
  <c r="EP30" i="16"/>
  <c r="EP29" i="16"/>
  <c r="EP27" i="16"/>
  <c r="EP26" i="16"/>
  <c r="EP24" i="16"/>
  <c r="EP22" i="16"/>
  <c r="EP21" i="16"/>
  <c r="EP19" i="16"/>
  <c r="C209" i="15"/>
  <c r="D208" i="15" s="1"/>
  <c r="C119" i="15"/>
  <c r="C74" i="15"/>
  <c r="C801" i="15" l="1"/>
  <c r="C756" i="15"/>
  <c r="D755" i="15" s="1"/>
  <c r="D439" i="15"/>
  <c r="D438" i="15"/>
  <c r="D437" i="15"/>
  <c r="D436" i="15"/>
  <c r="D435" i="15"/>
  <c r="D434" i="15"/>
  <c r="D433" i="15"/>
  <c r="D432" i="15"/>
  <c r="D431" i="15"/>
  <c r="D430" i="15"/>
  <c r="D429" i="15"/>
  <c r="D428" i="15"/>
  <c r="D427" i="15"/>
  <c r="D426" i="15"/>
  <c r="D425" i="15"/>
  <c r="D424" i="15"/>
  <c r="D423" i="15"/>
  <c r="D422" i="15"/>
  <c r="D421" i="15"/>
  <c r="D420" i="15"/>
  <c r="D419" i="15"/>
  <c r="D418" i="15"/>
  <c r="D417" i="15"/>
  <c r="D416" i="15"/>
  <c r="D415" i="15"/>
  <c r="D414" i="15"/>
  <c r="D413" i="15"/>
  <c r="D412" i="15"/>
  <c r="D411" i="15"/>
  <c r="D410" i="15"/>
  <c r="D409" i="15"/>
  <c r="D408" i="15"/>
  <c r="D407" i="15"/>
  <c r="D406" i="15"/>
  <c r="D405" i="15"/>
  <c r="F405" i="15" s="1"/>
  <c r="D441" i="15"/>
  <c r="F441" i="15" s="1"/>
  <c r="F564" i="15"/>
  <c r="F565" i="15" s="1"/>
  <c r="F566" i="15" s="1"/>
  <c r="DB40" i="19"/>
  <c r="DB39" i="19"/>
  <c r="DB28" i="19"/>
  <c r="DB26" i="19"/>
  <c r="DB25" i="19"/>
  <c r="DB23" i="19"/>
  <c r="DB21" i="19"/>
  <c r="DB19" i="19"/>
  <c r="DB17" i="19"/>
  <c r="DB16" i="19"/>
  <c r="DB15" i="19"/>
  <c r="DB14" i="19"/>
  <c r="DB13" i="19"/>
  <c r="DB12" i="19"/>
  <c r="DB11" i="19"/>
  <c r="DB10" i="19"/>
  <c r="DB9" i="19"/>
  <c r="DB8" i="19"/>
  <c r="DB7" i="19"/>
  <c r="DB38" i="19"/>
  <c r="DB37" i="19"/>
  <c r="DB36" i="19"/>
  <c r="DB35" i="19"/>
  <c r="DB34" i="19"/>
  <c r="DB33" i="19"/>
  <c r="DB31" i="19"/>
  <c r="DB30" i="19"/>
  <c r="DB20" i="19"/>
  <c r="BN33" i="19"/>
  <c r="BN29" i="19"/>
  <c r="BN7" i="19"/>
  <c r="BN6" i="19"/>
  <c r="EZ13" i="18"/>
  <c r="EZ12" i="18"/>
  <c r="EZ39" i="18"/>
  <c r="EZ32" i="18"/>
  <c r="EZ31" i="18"/>
  <c r="EZ30" i="18"/>
  <c r="EZ29" i="18"/>
  <c r="EZ28" i="18"/>
  <c r="EZ27" i="18"/>
  <c r="EZ26" i="18"/>
  <c r="EZ25" i="18"/>
  <c r="EZ24" i="18"/>
  <c r="EZ23" i="18"/>
  <c r="EZ22" i="18"/>
  <c r="EZ21" i="18"/>
  <c r="EZ20" i="18"/>
  <c r="EZ19" i="18"/>
  <c r="EZ18" i="18"/>
  <c r="EZ17" i="18"/>
  <c r="EZ14" i="18"/>
  <c r="EZ11" i="18"/>
  <c r="EZ10" i="18"/>
  <c r="EZ9" i="18"/>
  <c r="EZ8" i="18"/>
  <c r="EZ7" i="18"/>
  <c r="EZ38" i="18"/>
  <c r="EZ37" i="18"/>
  <c r="EZ36" i="18"/>
  <c r="EZ34" i="18"/>
  <c r="DL17" i="18"/>
  <c r="DL14" i="18"/>
  <c r="DL8" i="18"/>
  <c r="DL6" i="18"/>
  <c r="BX30" i="18"/>
  <c r="BX25" i="18"/>
  <c r="BX22" i="18"/>
  <c r="BX14" i="18"/>
  <c r="BX12" i="18"/>
  <c r="BX9" i="18"/>
  <c r="BX6" i="18"/>
  <c r="BD6" i="18"/>
  <c r="AT40" i="18"/>
  <c r="AT39" i="18"/>
  <c r="AT13" i="18"/>
  <c r="AT12" i="18"/>
  <c r="AT11" i="18"/>
  <c r="AT10" i="18"/>
  <c r="AT9" i="18"/>
  <c r="AT8" i="18"/>
  <c r="AT7" i="18"/>
  <c r="AT38" i="18"/>
  <c r="AT37" i="18"/>
  <c r="AT36" i="18"/>
  <c r="AT35" i="18"/>
  <c r="AT34" i="18"/>
  <c r="AT32" i="18"/>
  <c r="AT31" i="18"/>
  <c r="AT29" i="18"/>
  <c r="AT28" i="18"/>
  <c r="AT26" i="18"/>
  <c r="AT25" i="18"/>
  <c r="AT23" i="18"/>
  <c r="AT19" i="18"/>
  <c r="AT18" i="18"/>
  <c r="AT16" i="18"/>
  <c r="AT33" i="18"/>
  <c r="AT21" i="18"/>
  <c r="AT17" i="18"/>
  <c r="GA43" i="17"/>
  <c r="BX34" i="17"/>
  <c r="BX27" i="17"/>
  <c r="BX10" i="17"/>
  <c r="BX6" i="17"/>
  <c r="BX42" i="17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F173" i="15" s="1"/>
  <c r="D209" i="15"/>
  <c r="F209" i="15" s="1"/>
  <c r="C75" i="15"/>
  <c r="F415" i="15" l="1"/>
  <c r="F414" i="15"/>
  <c r="F412" i="15"/>
  <c r="F411" i="15"/>
  <c r="F409" i="15"/>
  <c r="C802" i="15"/>
  <c r="D801" i="15" s="1"/>
  <c r="D754" i="15"/>
  <c r="D753" i="15"/>
  <c r="D752" i="15"/>
  <c r="D751" i="15"/>
  <c r="D750" i="15"/>
  <c r="D749" i="15"/>
  <c r="D748" i="15"/>
  <c r="D747" i="15"/>
  <c r="D746" i="15"/>
  <c r="D745" i="15"/>
  <c r="D744" i="15"/>
  <c r="D743" i="15"/>
  <c r="D742" i="15"/>
  <c r="D741" i="15"/>
  <c r="D740" i="15"/>
  <c r="D739" i="15"/>
  <c r="D738" i="15"/>
  <c r="D737" i="15"/>
  <c r="D736" i="15"/>
  <c r="F736" i="15" s="1"/>
  <c r="D735" i="15"/>
  <c r="D734" i="15"/>
  <c r="D733" i="15"/>
  <c r="D732" i="15"/>
  <c r="D731" i="15"/>
  <c r="D730" i="15"/>
  <c r="D729" i="15"/>
  <c r="D728" i="15"/>
  <c r="F728" i="15" s="1"/>
  <c r="D727" i="15"/>
  <c r="D726" i="15"/>
  <c r="F726" i="15" s="1"/>
  <c r="D725" i="15"/>
  <c r="D724" i="15"/>
  <c r="D723" i="15"/>
  <c r="D722" i="15"/>
  <c r="D721" i="15"/>
  <c r="D720" i="15"/>
  <c r="D719" i="15"/>
  <c r="F719" i="15" s="1"/>
  <c r="D756" i="15"/>
  <c r="F756" i="15" s="1"/>
  <c r="F440" i="15"/>
  <c r="F439" i="15"/>
  <c r="F438" i="15"/>
  <c r="F437" i="15"/>
  <c r="F436" i="15"/>
  <c r="F435" i="15"/>
  <c r="F434" i="15"/>
  <c r="F433" i="15"/>
  <c r="F432" i="15"/>
  <c r="F431" i="15"/>
  <c r="F430" i="15"/>
  <c r="F429" i="15"/>
  <c r="F428" i="15"/>
  <c r="F427" i="15"/>
  <c r="F426" i="15"/>
  <c r="F425" i="15"/>
  <c r="F424" i="15"/>
  <c r="F423" i="15"/>
  <c r="F422" i="15"/>
  <c r="F421" i="15"/>
  <c r="F420" i="15"/>
  <c r="F419" i="15"/>
  <c r="F418" i="15"/>
  <c r="F417" i="15"/>
  <c r="F416" i="15"/>
  <c r="F410" i="15"/>
  <c r="F407" i="15"/>
  <c r="F413" i="15"/>
  <c r="F406" i="15"/>
  <c r="F442" i="15" s="1"/>
  <c r="F443" i="15" s="1"/>
  <c r="F444" i="15" s="1"/>
  <c r="F408" i="15"/>
  <c r="BN10" i="19"/>
  <c r="BN28" i="19"/>
  <c r="BN27" i="19"/>
  <c r="BN26" i="19"/>
  <c r="BN25" i="19"/>
  <c r="BN24" i="19"/>
  <c r="BN23" i="19"/>
  <c r="BN22" i="19"/>
  <c r="BN21" i="19"/>
  <c r="BN20" i="19"/>
  <c r="BN19" i="19"/>
  <c r="BN18" i="19"/>
  <c r="BN17" i="19"/>
  <c r="BN16" i="19"/>
  <c r="BN15" i="19"/>
  <c r="BN14" i="19"/>
  <c r="BN13" i="19"/>
  <c r="BN12" i="19"/>
  <c r="BN11" i="19"/>
  <c r="BN9" i="19"/>
  <c r="BN8" i="19"/>
  <c r="BN34" i="19"/>
  <c r="BN32" i="19"/>
  <c r="BN31" i="19"/>
  <c r="BN30" i="19"/>
  <c r="EP39" i="18"/>
  <c r="EP35" i="18"/>
  <c r="EP32" i="18"/>
  <c r="EP28" i="18"/>
  <c r="EP25" i="18"/>
  <c r="EP19" i="18"/>
  <c r="EP17" i="18"/>
  <c r="EP16" i="18"/>
  <c r="EP10" i="18"/>
  <c r="EP6" i="18"/>
  <c r="DL31" i="18"/>
  <c r="DL12" i="18"/>
  <c r="DL10" i="18"/>
  <c r="DL30" i="18"/>
  <c r="DL29" i="18"/>
  <c r="DL28" i="18"/>
  <c r="DL27" i="18"/>
  <c r="DL26" i="18"/>
  <c r="DL25" i="18"/>
  <c r="DL24" i="18"/>
  <c r="DL23" i="18"/>
  <c r="DL22" i="18"/>
  <c r="DL21" i="18"/>
  <c r="DL20" i="18"/>
  <c r="DL19" i="18"/>
  <c r="DL18" i="18"/>
  <c r="DL16" i="18"/>
  <c r="DL15" i="18"/>
  <c r="DL13" i="18"/>
  <c r="DL11" i="18"/>
  <c r="DL9" i="18"/>
  <c r="DL7" i="18"/>
  <c r="DL35" i="18"/>
  <c r="DL34" i="18"/>
  <c r="DL33" i="18"/>
  <c r="DL32" i="18"/>
  <c r="BX10" i="18"/>
  <c r="BX16" i="18"/>
  <c r="BX38" i="18"/>
  <c r="BX37" i="18"/>
  <c r="BX36" i="18"/>
  <c r="BX35" i="18"/>
  <c r="BX34" i="18"/>
  <c r="BX33" i="18"/>
  <c r="BX32" i="18"/>
  <c r="BX31" i="18"/>
  <c r="BX29" i="18"/>
  <c r="BX28" i="18"/>
  <c r="BX27" i="18"/>
  <c r="BX26" i="18"/>
  <c r="BX24" i="18"/>
  <c r="BX23" i="18"/>
  <c r="BX8" i="18"/>
  <c r="BX7" i="18"/>
  <c r="BX21" i="18"/>
  <c r="BX20" i="18"/>
  <c r="BX19" i="18"/>
  <c r="BX18" i="18"/>
  <c r="BX17" i="18"/>
  <c r="BX15" i="18"/>
  <c r="BX13" i="18"/>
  <c r="BX11" i="18"/>
  <c r="BD14" i="18"/>
  <c r="BD40" i="18"/>
  <c r="BD13" i="18"/>
  <c r="BD12" i="18"/>
  <c r="BD11" i="18"/>
  <c r="BD10" i="18"/>
  <c r="BD9" i="18"/>
  <c r="BD8" i="18"/>
  <c r="BD7" i="18"/>
  <c r="BD39" i="18"/>
  <c r="BD38" i="18"/>
  <c r="BD37" i="18"/>
  <c r="BD36" i="18"/>
  <c r="BD35" i="18"/>
  <c r="BD34" i="18"/>
  <c r="BD33" i="18"/>
  <c r="BD32" i="18"/>
  <c r="BD31" i="18"/>
  <c r="BD30" i="18"/>
  <c r="BD29" i="18"/>
  <c r="BD28" i="18"/>
  <c r="BD27" i="18"/>
  <c r="BD26" i="18"/>
  <c r="BD25" i="18"/>
  <c r="BD24" i="18"/>
  <c r="BD23" i="18"/>
  <c r="BD22" i="18"/>
  <c r="BD21" i="18"/>
  <c r="BD20" i="18"/>
  <c r="BD19" i="18"/>
  <c r="BD18" i="18"/>
  <c r="BD17" i="18"/>
  <c r="BD16" i="18"/>
  <c r="BD15" i="18"/>
  <c r="GD16" i="17"/>
  <c r="GD12" i="17"/>
  <c r="GD10" i="17"/>
  <c r="GD8" i="17"/>
  <c r="GD6" i="17"/>
  <c r="GD43" i="17"/>
  <c r="EF31" i="17"/>
  <c r="EF28" i="17"/>
  <c r="EF22" i="17"/>
  <c r="EF20" i="17"/>
  <c r="EF17" i="17"/>
  <c r="EF15" i="17"/>
  <c r="EF13" i="17"/>
  <c r="EF6" i="17"/>
  <c r="CH32" i="17"/>
  <c r="CH14" i="17"/>
  <c r="CH6" i="17"/>
  <c r="BX41" i="17"/>
  <c r="BX40" i="17"/>
  <c r="BX33" i="17"/>
  <c r="BX32" i="17"/>
  <c r="BX31" i="17"/>
  <c r="BX30" i="17"/>
  <c r="BX29" i="17"/>
  <c r="BX28" i="17"/>
  <c r="BX26" i="17"/>
  <c r="BX25" i="17"/>
  <c r="BX24" i="17"/>
  <c r="BX23" i="17"/>
  <c r="BX22" i="17"/>
  <c r="BX21" i="17"/>
  <c r="BX20" i="17"/>
  <c r="BX19" i="17"/>
  <c r="BX18" i="17"/>
  <c r="BX17" i="17"/>
  <c r="BX16" i="17"/>
  <c r="BX15" i="17"/>
  <c r="BX14" i="17"/>
  <c r="BX13" i="17"/>
  <c r="BX12" i="17"/>
  <c r="BX11" i="17"/>
  <c r="BX9" i="17"/>
  <c r="BX8" i="17"/>
  <c r="BX7" i="17"/>
  <c r="BX39" i="17"/>
  <c r="BX38" i="17"/>
  <c r="BX37" i="17"/>
  <c r="BX36" i="17"/>
  <c r="BX35" i="17"/>
  <c r="Z30" i="17"/>
  <c r="Z27" i="17"/>
  <c r="Z25" i="17"/>
  <c r="Z22" i="17"/>
  <c r="Z20" i="17"/>
  <c r="Z18" i="17"/>
  <c r="Z15" i="17"/>
  <c r="Z6" i="17"/>
  <c r="F200" i="15"/>
  <c r="F198" i="15"/>
  <c r="F193" i="15"/>
  <c r="F191" i="15"/>
  <c r="F189" i="15"/>
  <c r="F184" i="15"/>
  <c r="F202" i="15"/>
  <c r="F195" i="15"/>
  <c r="F176" i="15"/>
  <c r="F174" i="15"/>
  <c r="F208" i="15"/>
  <c r="F207" i="15"/>
  <c r="F188" i="15"/>
  <c r="F187" i="15"/>
  <c r="F186" i="15"/>
  <c r="F185" i="15"/>
  <c r="F183" i="15"/>
  <c r="F182" i="15"/>
  <c r="F181" i="15"/>
  <c r="F180" i="15"/>
  <c r="F179" i="15"/>
  <c r="F177" i="15"/>
  <c r="F175" i="15"/>
  <c r="F206" i="15"/>
  <c r="F205" i="15"/>
  <c r="F204" i="15"/>
  <c r="F203" i="15"/>
  <c r="F201" i="15"/>
  <c r="F199" i="15"/>
  <c r="F197" i="15"/>
  <c r="F196" i="15"/>
  <c r="F194" i="15"/>
  <c r="F192" i="15"/>
  <c r="F178" i="15"/>
  <c r="F190" i="15"/>
  <c r="C76" i="15"/>
  <c r="F722" i="15" l="1"/>
  <c r="F734" i="15"/>
  <c r="F733" i="15"/>
  <c r="D800" i="15"/>
  <c r="D799" i="15"/>
  <c r="D798" i="15"/>
  <c r="D797" i="15"/>
  <c r="D796" i="15"/>
  <c r="D795" i="15"/>
  <c r="D794" i="15"/>
  <c r="D793" i="15"/>
  <c r="D792" i="15"/>
  <c r="D791" i="15"/>
  <c r="D790" i="15"/>
  <c r="D789" i="15"/>
  <c r="D788" i="15"/>
  <c r="D787" i="15"/>
  <c r="D786" i="15"/>
  <c r="D785" i="15"/>
  <c r="D784" i="15"/>
  <c r="D783" i="15"/>
  <c r="D782" i="15"/>
  <c r="D781" i="15"/>
  <c r="D780" i="15"/>
  <c r="D779" i="15"/>
  <c r="D778" i="15"/>
  <c r="D777" i="15"/>
  <c r="D776" i="15"/>
  <c r="D775" i="15"/>
  <c r="D774" i="15"/>
  <c r="D773" i="15"/>
  <c r="D772" i="15"/>
  <c r="D771" i="15"/>
  <c r="F771" i="15" s="1"/>
  <c r="D770" i="15"/>
  <c r="D769" i="15"/>
  <c r="F769" i="15" s="1"/>
  <c r="D768" i="15"/>
  <c r="D767" i="15"/>
  <c r="D766" i="15"/>
  <c r="D765" i="15"/>
  <c r="D764" i="15"/>
  <c r="F764" i="15" s="1"/>
  <c r="D802" i="15"/>
  <c r="F802" i="15" s="1"/>
  <c r="F755" i="15"/>
  <c r="F754" i="15"/>
  <c r="F753" i="15"/>
  <c r="F752" i="15"/>
  <c r="F751" i="15"/>
  <c r="F750" i="15"/>
  <c r="F749" i="15"/>
  <c r="F748" i="15"/>
  <c r="F747" i="15"/>
  <c r="F746" i="15"/>
  <c r="F745" i="15"/>
  <c r="F744" i="15"/>
  <c r="F743" i="15"/>
  <c r="F742" i="15"/>
  <c r="F741" i="15"/>
  <c r="F740" i="15"/>
  <c r="F739" i="15"/>
  <c r="F738" i="15"/>
  <c r="F737" i="15"/>
  <c r="F730" i="15"/>
  <c r="F727" i="15"/>
  <c r="F723" i="15"/>
  <c r="F720" i="15"/>
  <c r="F735" i="15"/>
  <c r="F731" i="15"/>
  <c r="F729" i="15"/>
  <c r="F725" i="15"/>
  <c r="F721" i="15"/>
  <c r="F724" i="15"/>
  <c r="F732" i="15"/>
  <c r="CH33" i="19"/>
  <c r="CH27" i="19"/>
  <c r="CH25" i="19"/>
  <c r="CH22" i="19"/>
  <c r="CH19" i="19"/>
  <c r="CH18" i="19"/>
  <c r="CH17" i="19"/>
  <c r="CH14" i="19"/>
  <c r="CH10" i="19"/>
  <c r="CH9" i="19"/>
  <c r="CH7" i="19"/>
  <c r="CH6" i="19"/>
  <c r="EP26" i="18"/>
  <c r="EP30" i="18"/>
  <c r="EP15" i="18"/>
  <c r="EP41" i="18"/>
  <c r="EP40" i="18"/>
  <c r="EP38" i="18"/>
  <c r="EP37" i="18"/>
  <c r="EP36" i="18"/>
  <c r="EP34" i="18"/>
  <c r="EP33" i="18"/>
  <c r="EP31" i="18"/>
  <c r="EP29" i="18"/>
  <c r="EP27" i="18"/>
  <c r="EP24" i="18"/>
  <c r="EP23" i="18"/>
  <c r="EP21" i="18"/>
  <c r="EP20" i="18"/>
  <c r="EP9" i="18"/>
  <c r="EP8" i="18"/>
  <c r="EP7" i="18"/>
  <c r="EP11" i="18"/>
  <c r="EP22" i="18"/>
  <c r="EP18" i="18"/>
  <c r="EP14" i="18"/>
  <c r="EP13" i="18"/>
  <c r="EP12" i="18"/>
  <c r="GD42" i="17"/>
  <c r="GD41" i="17"/>
  <c r="GD40" i="17"/>
  <c r="GD39" i="17"/>
  <c r="GD38" i="17"/>
  <c r="GD37" i="17"/>
  <c r="GD36" i="17"/>
  <c r="GD35" i="17"/>
  <c r="GD34" i="17"/>
  <c r="GD33" i="17"/>
  <c r="GD32" i="17"/>
  <c r="GD31" i="17"/>
  <c r="GD30" i="17"/>
  <c r="GD29" i="17"/>
  <c r="GD28" i="17"/>
  <c r="GD27" i="17"/>
  <c r="GD26" i="17"/>
  <c r="GD25" i="17"/>
  <c r="GD24" i="17"/>
  <c r="GD23" i="17"/>
  <c r="GD22" i="17"/>
  <c r="GD21" i="17"/>
  <c r="GD20" i="17"/>
  <c r="GD19" i="17"/>
  <c r="GD18" i="17"/>
  <c r="GD17" i="17"/>
  <c r="GD15" i="17"/>
  <c r="GD14" i="17"/>
  <c r="GD13" i="17"/>
  <c r="GD11" i="17"/>
  <c r="GD7" i="17"/>
  <c r="GD9" i="17"/>
  <c r="FJ36" i="17"/>
  <c r="FJ28" i="17"/>
  <c r="FJ24" i="17"/>
  <c r="FJ20" i="17"/>
  <c r="FJ6" i="17"/>
  <c r="EF12" i="17"/>
  <c r="EF11" i="17"/>
  <c r="EF10" i="17"/>
  <c r="EF9" i="17"/>
  <c r="EF8" i="17"/>
  <c r="EF7" i="17"/>
  <c r="EF33" i="17"/>
  <c r="EF32" i="17"/>
  <c r="EF30" i="17"/>
  <c r="EF29" i="17"/>
  <c r="EF26" i="17"/>
  <c r="EF24" i="17"/>
  <c r="EF19" i="17"/>
  <c r="EF18" i="17"/>
  <c r="EF16" i="17"/>
  <c r="EF14" i="17"/>
  <c r="EF27" i="17"/>
  <c r="EF25" i="17"/>
  <c r="EF23" i="17"/>
  <c r="EF21" i="17"/>
  <c r="CH33" i="17"/>
  <c r="CH31" i="17"/>
  <c r="CH30" i="17"/>
  <c r="CH29" i="17"/>
  <c r="CH28" i="17"/>
  <c r="CH27" i="17"/>
  <c r="CH26" i="17"/>
  <c r="CH25" i="17"/>
  <c r="CH24" i="17"/>
  <c r="CH23" i="17"/>
  <c r="CH22" i="17"/>
  <c r="CH21" i="17"/>
  <c r="CH20" i="17"/>
  <c r="CH19" i="17"/>
  <c r="CH18" i="17"/>
  <c r="CH17" i="17"/>
  <c r="CH16" i="17"/>
  <c r="CH15" i="17"/>
  <c r="CH13" i="17"/>
  <c r="CH12" i="17"/>
  <c r="CH11" i="17"/>
  <c r="CH10" i="17"/>
  <c r="CH9" i="17"/>
  <c r="CH8" i="17"/>
  <c r="CH7" i="17"/>
  <c r="Z11" i="17"/>
  <c r="Z7" i="17"/>
  <c r="Z14" i="17"/>
  <c r="Z31" i="17"/>
  <c r="Z29" i="17"/>
  <c r="Z28" i="17"/>
  <c r="Z26" i="17"/>
  <c r="Z16" i="17"/>
  <c r="Z13" i="17"/>
  <c r="Z8" i="17"/>
  <c r="Z24" i="17"/>
  <c r="Z23" i="17"/>
  <c r="Z21" i="17"/>
  <c r="Z19" i="17"/>
  <c r="Z17" i="17"/>
  <c r="Z12" i="17"/>
  <c r="Z9" i="17"/>
  <c r="Z10" i="17"/>
  <c r="F210" i="15"/>
  <c r="F211" i="15" s="1"/>
  <c r="F212" i="15" s="1"/>
  <c r="C77" i="15"/>
  <c r="F765" i="15" l="1"/>
  <c r="F801" i="15"/>
  <c r="F800" i="15"/>
  <c r="F799" i="15"/>
  <c r="F798" i="15"/>
  <c r="F797" i="15"/>
  <c r="F796" i="15"/>
  <c r="F795" i="15"/>
  <c r="F794" i="15"/>
  <c r="F793" i="15"/>
  <c r="F792" i="15"/>
  <c r="F791" i="15"/>
  <c r="F790" i="15"/>
  <c r="F789" i="15"/>
  <c r="F788" i="15"/>
  <c r="F787" i="15"/>
  <c r="F786" i="15"/>
  <c r="F785" i="15"/>
  <c r="F784" i="15"/>
  <c r="F783" i="15"/>
  <c r="F782" i="15"/>
  <c r="F781" i="15"/>
  <c r="F780" i="15"/>
  <c r="F779" i="15"/>
  <c r="F778" i="15"/>
  <c r="F777" i="15"/>
  <c r="F776" i="15"/>
  <c r="F775" i="15"/>
  <c r="F774" i="15"/>
  <c r="F773" i="15"/>
  <c r="F772" i="15"/>
  <c r="F770" i="15"/>
  <c r="F768" i="15"/>
  <c r="F767" i="15"/>
  <c r="F757" i="15"/>
  <c r="F758" i="15" s="1"/>
  <c r="F759" i="15" s="1"/>
  <c r="F766" i="15"/>
  <c r="CH30" i="19"/>
  <c r="CH26" i="19"/>
  <c r="CH23" i="19"/>
  <c r="CH29" i="19"/>
  <c r="CH15" i="19"/>
  <c r="CH12" i="19"/>
  <c r="CH34" i="19"/>
  <c r="CH20" i="19"/>
  <c r="CH16" i="19"/>
  <c r="CH13" i="19"/>
  <c r="CH11" i="19"/>
  <c r="CH8" i="19"/>
  <c r="CH36" i="19"/>
  <c r="CH35" i="19"/>
  <c r="CH32" i="19"/>
  <c r="CH31" i="19"/>
  <c r="CH28" i="19"/>
  <c r="CH24" i="19"/>
  <c r="CH21" i="19"/>
  <c r="FT37" i="18"/>
  <c r="FT28" i="18"/>
  <c r="FT6" i="18"/>
  <c r="FJ27" i="17"/>
  <c r="FJ26" i="17"/>
  <c r="FJ7" i="17"/>
  <c r="FJ18" i="17"/>
  <c r="FJ16" i="17"/>
  <c r="FJ31" i="17"/>
  <c r="FJ23" i="17"/>
  <c r="FJ32" i="17"/>
  <c r="FJ15" i="17"/>
  <c r="FJ14" i="17"/>
  <c r="FJ13" i="17"/>
  <c r="FJ12" i="17"/>
  <c r="FJ11" i="17"/>
  <c r="FJ10" i="17"/>
  <c r="FJ9" i="17"/>
  <c r="FJ8" i="17"/>
  <c r="FJ25" i="17"/>
  <c r="FJ21" i="17"/>
  <c r="FJ17" i="17"/>
  <c r="FJ38" i="17"/>
  <c r="FJ37" i="17"/>
  <c r="FJ35" i="17"/>
  <c r="FJ34" i="17"/>
  <c r="FJ29" i="17"/>
  <c r="FJ22" i="17"/>
  <c r="FJ19" i="17"/>
  <c r="FJ33" i="17"/>
  <c r="FJ30" i="17"/>
  <c r="C78" i="15"/>
  <c r="C120" i="15" s="1"/>
  <c r="F803" i="15" l="1"/>
  <c r="F804" i="15" s="1"/>
  <c r="F805" i="15" s="1"/>
  <c r="FT23" i="18"/>
  <c r="FT17" i="18"/>
  <c r="FT25" i="18"/>
  <c r="FT40" i="18"/>
  <c r="FT39" i="18"/>
  <c r="FT38" i="18"/>
  <c r="FT36" i="18"/>
  <c r="FT35" i="18"/>
  <c r="FT34" i="18"/>
  <c r="FT33" i="18"/>
  <c r="FT32" i="18"/>
  <c r="FT31" i="18"/>
  <c r="FT30" i="18"/>
  <c r="FT29" i="18"/>
  <c r="FT27" i="18"/>
  <c r="FT26" i="18"/>
  <c r="FT24" i="18"/>
  <c r="FT22" i="18"/>
  <c r="FT21" i="18"/>
  <c r="FT20" i="18"/>
  <c r="FT19" i="18"/>
  <c r="FT18" i="18"/>
  <c r="FT16" i="18"/>
  <c r="FT15" i="18"/>
  <c r="FT14" i="18"/>
  <c r="FT13" i="18"/>
  <c r="FT12" i="18"/>
  <c r="FT11" i="18"/>
  <c r="FT10" i="18"/>
  <c r="FT9" i="18"/>
  <c r="FT8" i="18"/>
  <c r="FT7" i="18"/>
  <c r="GN28" i="17"/>
  <c r="GN27" i="17"/>
  <c r="GN25" i="17"/>
  <c r="GN21" i="17"/>
  <c r="GN9" i="17"/>
  <c r="GN6" i="17"/>
  <c r="C121" i="15"/>
  <c r="C79" i="15"/>
  <c r="BD31" i="19" l="1"/>
  <c r="BD6" i="19"/>
  <c r="GN19" i="17"/>
  <c r="GN23" i="17"/>
  <c r="GN18" i="17"/>
  <c r="GN17" i="17"/>
  <c r="GN16" i="17"/>
  <c r="GN15" i="17"/>
  <c r="GN14" i="17"/>
  <c r="GN13" i="17"/>
  <c r="GN12" i="17"/>
  <c r="GN11" i="17"/>
  <c r="GN10" i="17"/>
  <c r="GN26" i="17"/>
  <c r="GN22" i="17"/>
  <c r="GN20" i="17"/>
  <c r="GN24" i="17"/>
  <c r="GN8" i="17"/>
  <c r="GN7" i="17"/>
  <c r="GN39" i="17"/>
  <c r="GN38" i="17"/>
  <c r="GN37" i="17"/>
  <c r="GN36" i="17"/>
  <c r="GN35" i="17"/>
  <c r="GN34" i="17"/>
  <c r="GN33" i="17"/>
  <c r="GN32" i="17"/>
  <c r="GN31" i="17"/>
  <c r="GN30" i="17"/>
  <c r="GN29" i="17"/>
  <c r="C80" i="15"/>
  <c r="C122" i="15" s="1"/>
  <c r="BD26" i="19" l="1"/>
  <c r="BD25" i="19"/>
  <c r="BD32" i="19"/>
  <c r="BD24" i="19"/>
  <c r="BD23" i="19"/>
  <c r="BD22" i="19"/>
  <c r="BD21" i="19"/>
  <c r="BD20" i="19"/>
  <c r="BD19" i="19"/>
  <c r="BD18" i="19"/>
  <c r="BD17" i="19"/>
  <c r="BD16" i="19"/>
  <c r="BD15" i="19"/>
  <c r="BD14" i="19"/>
  <c r="BD13" i="19"/>
  <c r="BD12" i="19"/>
  <c r="BD11" i="19"/>
  <c r="BD10" i="19"/>
  <c r="BD9" i="19"/>
  <c r="BD8" i="19"/>
  <c r="BD7" i="19"/>
  <c r="BD42" i="19"/>
  <c r="BD41" i="19"/>
  <c r="BD40" i="19"/>
  <c r="BD39" i="19"/>
  <c r="BD38" i="19"/>
  <c r="BD37" i="19"/>
  <c r="BD36" i="19"/>
  <c r="BD35" i="19"/>
  <c r="BD34" i="19"/>
  <c r="BD33" i="19"/>
  <c r="BD30" i="19"/>
  <c r="BD29" i="19"/>
  <c r="BD28" i="19"/>
  <c r="BD27" i="19"/>
  <c r="C123" i="15"/>
  <c r="C81" i="15"/>
  <c r="C124" i="15" l="1"/>
  <c r="C82" i="15"/>
  <c r="C125" i="15" l="1"/>
  <c r="C126" i="15" s="1"/>
  <c r="C83" i="15"/>
  <c r="C84" i="15" l="1"/>
  <c r="C85" i="15" l="1"/>
  <c r="C127" i="15" s="1"/>
  <c r="D118" i="15" l="1"/>
  <c r="D93" i="15"/>
  <c r="D113" i="15"/>
  <c r="D115" i="15"/>
  <c r="D94" i="15"/>
  <c r="D96" i="15"/>
  <c r="D99" i="15"/>
  <c r="D102" i="15"/>
  <c r="D104" i="15"/>
  <c r="D106" i="15"/>
  <c r="D114" i="15"/>
  <c r="D117" i="15"/>
  <c r="D119" i="15"/>
  <c r="D95" i="15"/>
  <c r="D97" i="15"/>
  <c r="D108" i="15"/>
  <c r="D109" i="15"/>
  <c r="D110" i="15"/>
  <c r="D111" i="15"/>
  <c r="F111" i="15" s="1"/>
  <c r="D112" i="15"/>
  <c r="D116" i="15"/>
  <c r="D98" i="15"/>
  <c r="D101" i="15"/>
  <c r="D103" i="15"/>
  <c r="D105" i="15"/>
  <c r="D107" i="15"/>
  <c r="D100" i="15"/>
  <c r="D120" i="15"/>
  <c r="D121" i="15"/>
  <c r="F121" i="15" s="1"/>
  <c r="D122" i="15"/>
  <c r="D123" i="15"/>
  <c r="F123" i="15" s="1"/>
  <c r="D124" i="15"/>
  <c r="F124" i="15" s="1"/>
  <c r="D125" i="15"/>
  <c r="D127" i="15"/>
  <c r="D126" i="15"/>
  <c r="C86" i="15"/>
  <c r="D85" i="15" s="1"/>
  <c r="P37" i="18" l="1"/>
  <c r="P35" i="18"/>
  <c r="P31" i="18"/>
  <c r="P28" i="18"/>
  <c r="P20" i="18"/>
  <c r="P6" i="18"/>
  <c r="F105" i="15"/>
  <c r="F116" i="15"/>
  <c r="F103" i="15"/>
  <c r="F125" i="15"/>
  <c r="F115" i="15"/>
  <c r="F100" i="15"/>
  <c r="F99" i="15"/>
  <c r="F102" i="15"/>
  <c r="F104" i="15"/>
  <c r="F101" i="15"/>
  <c r="F106" i="15"/>
  <c r="F119" i="15"/>
  <c r="F95" i="15"/>
  <c r="F108" i="15"/>
  <c r="F127" i="15"/>
  <c r="D84" i="15"/>
  <c r="D83" i="15"/>
  <c r="D82" i="15"/>
  <c r="F126" i="15" s="1"/>
  <c r="D81" i="15"/>
  <c r="D80" i="15"/>
  <c r="F122" i="15" s="1"/>
  <c r="D79" i="15"/>
  <c r="D78" i="15"/>
  <c r="F120" i="15" s="1"/>
  <c r="D77" i="15"/>
  <c r="D76" i="15"/>
  <c r="D75" i="15"/>
  <c r="D74" i="15"/>
  <c r="D73" i="15"/>
  <c r="F118" i="15" s="1"/>
  <c r="D72" i="15"/>
  <c r="F117" i="15" s="1"/>
  <c r="D71" i="15"/>
  <c r="F114" i="15" s="1"/>
  <c r="D70" i="15"/>
  <c r="D69" i="15"/>
  <c r="D68" i="15"/>
  <c r="F113" i="15" s="1"/>
  <c r="D67" i="15"/>
  <c r="D66" i="15"/>
  <c r="D65" i="15"/>
  <c r="D64" i="15"/>
  <c r="D63" i="15"/>
  <c r="D62" i="15"/>
  <c r="F112" i="15" s="1"/>
  <c r="D61" i="15"/>
  <c r="F110" i="15" s="1"/>
  <c r="D60" i="15"/>
  <c r="D59" i="15"/>
  <c r="F109" i="15" s="1"/>
  <c r="D58" i="15"/>
  <c r="D57" i="15"/>
  <c r="D56" i="15"/>
  <c r="D55" i="15"/>
  <c r="F107" i="15" s="1"/>
  <c r="D54" i="15"/>
  <c r="F98" i="15" s="1"/>
  <c r="D53" i="15"/>
  <c r="F97" i="15" s="1"/>
  <c r="D52" i="15"/>
  <c r="D51" i="15"/>
  <c r="D50" i="15"/>
  <c r="D49" i="15"/>
  <c r="D48" i="15"/>
  <c r="D47" i="15"/>
  <c r="D46" i="15"/>
  <c r="F96" i="15" s="1"/>
  <c r="D45" i="15"/>
  <c r="D44" i="15"/>
  <c r="D43" i="15"/>
  <c r="D42" i="15"/>
  <c r="D41" i="15"/>
  <c r="D40" i="15"/>
  <c r="D39" i="15"/>
  <c r="F94" i="15" s="1"/>
  <c r="D38" i="15"/>
  <c r="D86" i="15"/>
  <c r="F86" i="15" s="1"/>
  <c r="P26" i="18" l="1"/>
  <c r="P24" i="18"/>
  <c r="P9" i="18"/>
  <c r="P34" i="18"/>
  <c r="P33" i="18"/>
  <c r="P30" i="18"/>
  <c r="P29" i="18"/>
  <c r="P21" i="18"/>
  <c r="P19" i="18"/>
  <c r="P18" i="18"/>
  <c r="P17" i="18"/>
  <c r="P16" i="18"/>
  <c r="P15" i="18"/>
  <c r="P14" i="18"/>
  <c r="P13" i="18"/>
  <c r="P12" i="18"/>
  <c r="P11" i="18"/>
  <c r="P10" i="18"/>
  <c r="P32" i="18"/>
  <c r="P27" i="18"/>
  <c r="P22" i="18"/>
  <c r="P8" i="18"/>
  <c r="P7" i="18"/>
  <c r="P38" i="18"/>
  <c r="P36" i="18"/>
  <c r="P25" i="18"/>
  <c r="P23" i="18"/>
  <c r="F38" i="15"/>
  <c r="F93" i="15"/>
  <c r="F128" i="15" s="1"/>
  <c r="F129" i="15" s="1"/>
  <c r="F130" i="15" s="1"/>
  <c r="F39" i="15"/>
  <c r="F42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3" i="15"/>
  <c r="F44" i="15"/>
  <c r="F41" i="15"/>
  <c r="F40" i="15"/>
  <c r="F87" i="15" l="1"/>
  <c r="F88" i="15" s="1"/>
  <c r="F89" i="15" s="1"/>
</calcChain>
</file>

<file path=xl/sharedStrings.xml><?xml version="1.0" encoding="utf-8"?>
<sst xmlns="http://schemas.openxmlformats.org/spreadsheetml/2006/main" count="1750" uniqueCount="130">
  <si>
    <t>Club</t>
  </si>
  <si>
    <t>Manchester City</t>
  </si>
  <si>
    <t>Arsenal FC</t>
  </si>
  <si>
    <t>Liverpool FC</t>
  </si>
  <si>
    <t>Tottenham Hotspur</t>
  </si>
  <si>
    <t>Everton FC</t>
  </si>
  <si>
    <t>Newcastle United</t>
  </si>
  <si>
    <t>Southampton FC</t>
  </si>
  <si>
    <t>Swansea City</t>
  </si>
  <si>
    <t>Sunderland AFC</t>
  </si>
  <si>
    <t>Fulham FC</t>
  </si>
  <si>
    <t>West Ham United</t>
  </si>
  <si>
    <t>Aston Villa</t>
  </si>
  <si>
    <t>Stoke City</t>
  </si>
  <si>
    <t>West Bromwich Albion</t>
  </si>
  <si>
    <t>Norwich City</t>
  </si>
  <si>
    <t>Crystal Palace  </t>
  </si>
  <si>
    <t>Hull City  </t>
  </si>
  <si>
    <t>Chelsea FC </t>
  </si>
  <si>
    <t>Manchester United </t>
  </si>
  <si>
    <t>Cardiff City  </t>
  </si>
  <si>
    <t>Chelsea</t>
  </si>
  <si>
    <t>PTS</t>
  </si>
  <si>
    <t>position</t>
  </si>
  <si>
    <t>Chelsea FC</t>
  </si>
  <si>
    <t>Manchester United</t>
  </si>
  <si>
    <t>Hull City</t>
  </si>
  <si>
    <t>Queens Park Rangers  </t>
  </si>
  <si>
    <t>Crystal Palace</t>
  </si>
  <si>
    <t>Burnley FC  </t>
  </si>
  <si>
    <t>Manchester City </t>
  </si>
  <si>
    <t>Arsenal FC </t>
  </si>
  <si>
    <t>Leicester City  </t>
  </si>
  <si>
    <t>Leicester City</t>
  </si>
  <si>
    <t>Watford FC  </t>
  </si>
  <si>
    <t>Norwich City  </t>
  </si>
  <si>
    <t>AFC Bournemouth  </t>
  </si>
  <si>
    <t>Watford FC</t>
  </si>
  <si>
    <t>AFC Bournemouth</t>
  </si>
  <si>
    <t>Middlesbrough FC  </t>
  </si>
  <si>
    <t>Leicester City </t>
  </si>
  <si>
    <t>Burnley FC</t>
  </si>
  <si>
    <t>Brighton &amp; Hove Albion  </t>
  </si>
  <si>
    <t>Huddersfield Town  </t>
  </si>
  <si>
    <t>Newcastle United  </t>
  </si>
  <si>
    <t>PTS per match</t>
  </si>
  <si>
    <t>CF</t>
  </si>
  <si>
    <t>CMV</t>
  </si>
  <si>
    <t>market value</t>
  </si>
  <si>
    <t>gini</t>
  </si>
  <si>
    <t>CF %</t>
  </si>
  <si>
    <t>CMV %</t>
  </si>
  <si>
    <t xml:space="preserve">CF </t>
  </si>
  <si>
    <t xml:space="preserve">CMV </t>
  </si>
  <si>
    <t>Area under lorenz</t>
  </si>
  <si>
    <t>Total</t>
  </si>
  <si>
    <t>Area between lorenz and equality</t>
  </si>
  <si>
    <t>Man city</t>
  </si>
  <si>
    <t>2013/14</t>
  </si>
  <si>
    <t>CF%</t>
  </si>
  <si>
    <t>CMV%</t>
  </si>
  <si>
    <t xml:space="preserve">total </t>
  </si>
  <si>
    <t>Man U</t>
  </si>
  <si>
    <t>total</t>
  </si>
  <si>
    <t>Gini</t>
  </si>
  <si>
    <t>Liverpool</t>
  </si>
  <si>
    <t>Leicester</t>
  </si>
  <si>
    <t>West Ham</t>
  </si>
  <si>
    <t>Tottenham</t>
  </si>
  <si>
    <t>Arsenal</t>
  </si>
  <si>
    <t>Everton</t>
  </si>
  <si>
    <t>Newcastle</t>
  </si>
  <si>
    <t>Southampton</t>
  </si>
  <si>
    <t>Brighton</t>
  </si>
  <si>
    <t>Burnley</t>
  </si>
  <si>
    <t>Norwich</t>
  </si>
  <si>
    <t>sum</t>
  </si>
  <si>
    <t>Market value</t>
  </si>
  <si>
    <t>Sum</t>
  </si>
  <si>
    <t>Spurs</t>
  </si>
  <si>
    <t>Crystal palce</t>
  </si>
  <si>
    <t>swansea</t>
  </si>
  <si>
    <t>Sunderland</t>
  </si>
  <si>
    <t>West Brom</t>
  </si>
  <si>
    <t>Fulham</t>
  </si>
  <si>
    <t>Cardiff</t>
  </si>
  <si>
    <t>Squad market value gini coefficient</t>
  </si>
  <si>
    <t>2014/15</t>
  </si>
  <si>
    <t>chelsea</t>
  </si>
  <si>
    <t>area between lorenz and equality</t>
  </si>
  <si>
    <t>Manchester city</t>
  </si>
  <si>
    <t xml:space="preserve">Man u </t>
  </si>
  <si>
    <t>Swansea</t>
  </si>
  <si>
    <t>Stoke</t>
  </si>
  <si>
    <t>Palace</t>
  </si>
  <si>
    <t>West ham</t>
  </si>
  <si>
    <t>QPR</t>
  </si>
  <si>
    <t>Hull</t>
  </si>
  <si>
    <t>Villa</t>
  </si>
  <si>
    <t>West brom</t>
  </si>
  <si>
    <t>Area under lorenz curve</t>
  </si>
  <si>
    <t>2015/16</t>
  </si>
  <si>
    <t>Bournemouth</t>
  </si>
  <si>
    <t>Watford</t>
  </si>
  <si>
    <t xml:space="preserve">Arsenal </t>
  </si>
  <si>
    <t>2016/17</t>
  </si>
  <si>
    <t>Middlesbrough</t>
  </si>
  <si>
    <t>2017/18</t>
  </si>
  <si>
    <t>Huddersfield</t>
  </si>
  <si>
    <t>Points per match</t>
  </si>
  <si>
    <t>Position</t>
  </si>
  <si>
    <t>Total amount of players from an individual nation</t>
  </si>
  <si>
    <t>Share</t>
  </si>
  <si>
    <t>HHI</t>
  </si>
  <si>
    <t>Club squad size</t>
  </si>
  <si>
    <t>Premier league squad size</t>
  </si>
  <si>
    <t>Nationality HHI</t>
  </si>
  <si>
    <t>Share squared</t>
  </si>
  <si>
    <t xml:space="preserve">Club squad size </t>
  </si>
  <si>
    <t xml:space="preserve">Share </t>
  </si>
  <si>
    <t>Season</t>
  </si>
  <si>
    <t>premier league squad average age</t>
  </si>
  <si>
    <t>Total english players in premier league squad</t>
  </si>
  <si>
    <t>Percentage of native players in premier league squad</t>
  </si>
  <si>
    <t>Total club market value euros</t>
  </si>
  <si>
    <t>Share of club total market value</t>
  </si>
  <si>
    <t>Share of native players in premier league squad</t>
  </si>
  <si>
    <t>Premier league squad average age</t>
  </si>
  <si>
    <t>Premier league squad nationality HHI</t>
  </si>
  <si>
    <t>Club market value gini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</si>
</sst>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rgb="FF333333"/>
      <name val="Arial"/>
      <family val="2"/>
    </font>
    <font>
      <sz val="12"/>
      <color rgb="FF57585A"/>
      <name val="Arial"/>
      <family val="2"/>
    </font>
    <font>
      <sz val="12"/>
      <color rgb="FF1D75A3"/>
      <name val="Arial"/>
      <family val="2"/>
    </font>
    <font>
      <b/>
      <sz val="12"/>
      <color rgb="FF57585A"/>
      <name val="Arial"/>
      <family val="2"/>
    </font>
    <font>
      <b/>
      <sz val="12"/>
      <color rgb="FF1D75A3"/>
      <name val="Arial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i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6" fillId="0" borderId="0" xfId="1"/>
    <xf numFmtId="0" fontId="3" fillId="0" borderId="0" xfId="0" applyFont="1"/>
    <xf numFmtId="0" fontId="5" fillId="0" borderId="0" xfId="0" applyFont="1"/>
    <xf numFmtId="0" fontId="2" fillId="0" borderId="0" xfId="0" applyFont="1"/>
    <xf numFmtId="0" fontId="4" fillId="0" borderId="0" xfId="0" applyFont="1"/>
    <xf numFmtId="0" fontId="0" fillId="0" borderId="1" xfId="0" applyBorder="1"/>
    <xf numFmtId="0" fontId="0" fillId="0" borderId="4" xfId="0" applyBorder="1"/>
    <xf numFmtId="0" fontId="0" fillId="0" borderId="5" xfId="0" applyBorder="1"/>
    <xf numFmtId="1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2" xfId="0" applyBorder="1"/>
    <xf numFmtId="0" fontId="0" fillId="0" borderId="10" xfId="0" applyBorder="1"/>
    <xf numFmtId="0" fontId="0" fillId="0" borderId="12" xfId="0" applyBorder="1"/>
    <xf numFmtId="0" fontId="0" fillId="0" borderId="6" xfId="0" applyBorder="1"/>
    <xf numFmtId="0" fontId="7" fillId="0" borderId="0" xfId="0" applyFont="1"/>
    <xf numFmtId="1" fontId="7" fillId="0" borderId="0" xfId="0" applyNumberFormat="1" applyFont="1"/>
    <xf numFmtId="0" fontId="0" fillId="0" borderId="9" xfId="0" applyBorder="1"/>
    <xf numFmtId="0" fontId="0" fillId="0" borderId="3" xfId="0" applyBorder="1"/>
    <xf numFmtId="0" fontId="7" fillId="0" borderId="1" xfId="0" applyFont="1" applyBorder="1"/>
    <xf numFmtId="0" fontId="8" fillId="0" borderId="0" xfId="0" applyFont="1"/>
    <xf numFmtId="0" fontId="0" fillId="0" borderId="13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900" b="0" i="0" u="none" strike="noStrike" kern="1200" cap="none" spc="120" normalizeH="0" baseline="0">
                <a:solidFill>
                  <a:schemeClr val="tx1"/>
                </a:solidFill>
              </a:rPr>
              <a:t>Figure 2: Scatterplot of nationality concentration (HHI) and points per match, premier league 2013/14 - 2017/18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GB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'Figure 1 and Figure 2'!$E$1</c:f>
              <c:strCache>
                <c:ptCount val="1"/>
                <c:pt idx="0">
                  <c:v>Premier league squad nationality HHI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0">
                <a:solidFill>
                  <a:schemeClr val="tx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tx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'Figure 1 and Figure 2'!$D$2:$D$101</c:f>
              <c:numCache>
                <c:formatCode>General</c:formatCode>
                <c:ptCount val="100"/>
                <c:pt idx="0">
                  <c:v>2.6315789473684212</c:v>
                </c:pt>
                <c:pt idx="1">
                  <c:v>2.4473684210526314</c:v>
                </c:pt>
                <c:pt idx="2">
                  <c:v>2.2894736842105261</c:v>
                </c:pt>
                <c:pt idx="3">
                  <c:v>2.263157894736842</c:v>
                </c:pt>
                <c:pt idx="4">
                  <c:v>2.263157894736842</c:v>
                </c:pt>
                <c:pt idx="5">
                  <c:v>2.2105263157894739</c:v>
                </c:pt>
                <c:pt idx="6">
                  <c:v>2.1578947368421053</c:v>
                </c:pt>
                <c:pt idx="7">
                  <c:v>2.1315789473684212</c:v>
                </c:pt>
                <c:pt idx="8">
                  <c:v>2.1315789473684212</c:v>
                </c:pt>
                <c:pt idx="9">
                  <c:v>2.0789473684210527</c:v>
                </c:pt>
                <c:pt idx="10">
                  <c:v>2.0789473684210527</c:v>
                </c:pt>
                <c:pt idx="11">
                  <c:v>2.0526315789473686</c:v>
                </c:pt>
                <c:pt idx="12">
                  <c:v>2.0263157894736841</c:v>
                </c:pt>
                <c:pt idx="13">
                  <c:v>2</c:v>
                </c:pt>
                <c:pt idx="14">
                  <c:v>1.9736842105263157</c:v>
                </c:pt>
                <c:pt idx="15">
                  <c:v>1.9736842105263157</c:v>
                </c:pt>
                <c:pt idx="16">
                  <c:v>1.9736842105263157</c:v>
                </c:pt>
                <c:pt idx="17">
                  <c:v>1.8947368421052631</c:v>
                </c:pt>
                <c:pt idx="18">
                  <c:v>1.868421052631579</c:v>
                </c:pt>
                <c:pt idx="19">
                  <c:v>1.8421052631578947</c:v>
                </c:pt>
                <c:pt idx="20">
                  <c:v>1.8421052631578947</c:v>
                </c:pt>
                <c:pt idx="21">
                  <c:v>1.8421052631578947</c:v>
                </c:pt>
                <c:pt idx="22">
                  <c:v>1.8157894736842106</c:v>
                </c:pt>
                <c:pt idx="23">
                  <c:v>1.8157894736842106</c:v>
                </c:pt>
                <c:pt idx="24">
                  <c:v>1.736842105263158</c:v>
                </c:pt>
                <c:pt idx="25">
                  <c:v>1.736842105263158</c:v>
                </c:pt>
                <c:pt idx="26">
                  <c:v>1.6842105263157894</c:v>
                </c:pt>
                <c:pt idx="27">
                  <c:v>1.6842105263157894</c:v>
                </c:pt>
                <c:pt idx="28">
                  <c:v>1.6578947368421053</c:v>
                </c:pt>
                <c:pt idx="29">
                  <c:v>1.6578947368421053</c:v>
                </c:pt>
                <c:pt idx="30">
                  <c:v>1.631578947368421</c:v>
                </c:pt>
                <c:pt idx="31">
                  <c:v>1.631578947368421</c:v>
                </c:pt>
                <c:pt idx="32">
                  <c:v>1.6052631578947369</c:v>
                </c:pt>
                <c:pt idx="33">
                  <c:v>1.5789473684210527</c:v>
                </c:pt>
                <c:pt idx="34">
                  <c:v>1.5789473684210527</c:v>
                </c:pt>
                <c:pt idx="35">
                  <c:v>1.4736842105263157</c:v>
                </c:pt>
                <c:pt idx="36">
                  <c:v>1.4736842105263157</c:v>
                </c:pt>
                <c:pt idx="37">
                  <c:v>1.4210526315789473</c:v>
                </c:pt>
                <c:pt idx="38">
                  <c:v>1.4210526315789473</c:v>
                </c:pt>
                <c:pt idx="39">
                  <c:v>1.3421052631578947</c:v>
                </c:pt>
                <c:pt idx="40">
                  <c:v>1.3157894736842106</c:v>
                </c:pt>
                <c:pt idx="41">
                  <c:v>1.3157894736842106</c:v>
                </c:pt>
                <c:pt idx="42">
                  <c:v>1.2894736842105263</c:v>
                </c:pt>
                <c:pt idx="43">
                  <c:v>1.2894736842105263</c:v>
                </c:pt>
                <c:pt idx="44">
                  <c:v>1.263157894736842</c:v>
                </c:pt>
                <c:pt idx="45">
                  <c:v>1.236842105263158</c:v>
                </c:pt>
                <c:pt idx="46">
                  <c:v>1.236842105263158</c:v>
                </c:pt>
                <c:pt idx="47">
                  <c:v>1.236842105263158</c:v>
                </c:pt>
                <c:pt idx="48">
                  <c:v>1.236842105263158</c:v>
                </c:pt>
                <c:pt idx="49">
                  <c:v>1.236842105263158</c:v>
                </c:pt>
                <c:pt idx="50">
                  <c:v>1.2105263157894737</c:v>
                </c:pt>
                <c:pt idx="51">
                  <c:v>1.2105263157894737</c:v>
                </c:pt>
                <c:pt idx="52">
                  <c:v>1.1842105263157894</c:v>
                </c:pt>
                <c:pt idx="53">
                  <c:v>1.1842105263157894</c:v>
                </c:pt>
                <c:pt idx="54">
                  <c:v>1.1842105263157894</c:v>
                </c:pt>
                <c:pt idx="55">
                  <c:v>1.1842105263157894</c:v>
                </c:pt>
                <c:pt idx="56">
                  <c:v>1.1578947368421053</c:v>
                </c:pt>
                <c:pt idx="57">
                  <c:v>1.1578947368421053</c:v>
                </c:pt>
                <c:pt idx="58">
                  <c:v>1.1578947368421053</c:v>
                </c:pt>
                <c:pt idx="59">
                  <c:v>1.1578947368421053</c:v>
                </c:pt>
                <c:pt idx="60">
                  <c:v>1.1578947368421053</c:v>
                </c:pt>
                <c:pt idx="61">
                  <c:v>1.1578947368421053</c:v>
                </c:pt>
                <c:pt idx="62">
                  <c:v>1.131578947368421</c:v>
                </c:pt>
                <c:pt idx="63">
                  <c:v>1.1052631578947369</c:v>
                </c:pt>
                <c:pt idx="64">
                  <c:v>1.1052631578947369</c:v>
                </c:pt>
                <c:pt idx="65">
                  <c:v>1.1052631578947369</c:v>
                </c:pt>
                <c:pt idx="66">
                  <c:v>1.1052631578947369</c:v>
                </c:pt>
                <c:pt idx="67">
                  <c:v>1.0789473684210527</c:v>
                </c:pt>
                <c:pt idx="68">
                  <c:v>1.0789473684210527</c:v>
                </c:pt>
                <c:pt idx="69">
                  <c:v>1.0789473684210527</c:v>
                </c:pt>
                <c:pt idx="70">
                  <c:v>1.0789473684210527</c:v>
                </c:pt>
                <c:pt idx="71">
                  <c:v>1.0526315789473684</c:v>
                </c:pt>
                <c:pt idx="72">
                  <c:v>1.0526315789473684</c:v>
                </c:pt>
                <c:pt idx="73">
                  <c:v>1.0526315789473684</c:v>
                </c:pt>
                <c:pt idx="74">
                  <c:v>1.0526315789473684</c:v>
                </c:pt>
                <c:pt idx="75">
                  <c:v>1.0263157894736843</c:v>
                </c:pt>
                <c:pt idx="76">
                  <c:v>1.0263157894736843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0.97368421052631582</c:v>
                </c:pt>
                <c:pt idx="82">
                  <c:v>0.97368421052631582</c:v>
                </c:pt>
                <c:pt idx="83">
                  <c:v>0.97368421052631582</c:v>
                </c:pt>
                <c:pt idx="84">
                  <c:v>0.94736842105263153</c:v>
                </c:pt>
                <c:pt idx="85">
                  <c:v>0.94736842105263153</c:v>
                </c:pt>
                <c:pt idx="86">
                  <c:v>0.92105263157894735</c:v>
                </c:pt>
                <c:pt idx="87">
                  <c:v>0.89473684210526316</c:v>
                </c:pt>
                <c:pt idx="88">
                  <c:v>0.89473684210526316</c:v>
                </c:pt>
                <c:pt idx="89">
                  <c:v>0.86842105263157898</c:v>
                </c:pt>
                <c:pt idx="90">
                  <c:v>0.86842105263157898</c:v>
                </c:pt>
                <c:pt idx="91">
                  <c:v>0.86842105263157898</c:v>
                </c:pt>
                <c:pt idx="92">
                  <c:v>0.86842105263157898</c:v>
                </c:pt>
                <c:pt idx="93">
                  <c:v>0.84210526315789469</c:v>
                </c:pt>
                <c:pt idx="94">
                  <c:v>0.81578947368421051</c:v>
                </c:pt>
                <c:pt idx="95">
                  <c:v>0.78947368421052633</c:v>
                </c:pt>
                <c:pt idx="96">
                  <c:v>0.78947368421052633</c:v>
                </c:pt>
                <c:pt idx="97">
                  <c:v>0.73684210526315785</c:v>
                </c:pt>
                <c:pt idx="98">
                  <c:v>0.63157894736842102</c:v>
                </c:pt>
                <c:pt idx="99">
                  <c:v>0.44736842105263158</c:v>
                </c:pt>
              </c:numCache>
            </c:numRef>
          </c:xVal>
          <c:yVal>
            <c:numRef>
              <c:f>'Figure 1 and Figure 2'!$E$2:$E$101</c:f>
              <c:numCache>
                <c:formatCode>General</c:formatCode>
                <c:ptCount val="100"/>
                <c:pt idx="0">
                  <c:v>0.12130177514792902</c:v>
                </c:pt>
                <c:pt idx="1">
                  <c:v>0.13313609467455623</c:v>
                </c:pt>
                <c:pt idx="2">
                  <c:v>0.1171875</c:v>
                </c:pt>
                <c:pt idx="3">
                  <c:v>0.11458333333333333</c:v>
                </c:pt>
                <c:pt idx="4">
                  <c:v>0.2033293697978597</c:v>
                </c:pt>
                <c:pt idx="5">
                  <c:v>0.15111111111111114</c:v>
                </c:pt>
                <c:pt idx="6">
                  <c:v>0.10888888888888887</c:v>
                </c:pt>
                <c:pt idx="7">
                  <c:v>0.14128943758573387</c:v>
                </c:pt>
                <c:pt idx="8">
                  <c:v>0.10714285714285718</c:v>
                </c:pt>
                <c:pt idx="9">
                  <c:v>0.10546875</c:v>
                </c:pt>
                <c:pt idx="10">
                  <c:v>0.11834319526627221</c:v>
                </c:pt>
                <c:pt idx="11">
                  <c:v>0.11533888228299644</c:v>
                </c:pt>
                <c:pt idx="12">
                  <c:v>0.14255983350676379</c:v>
                </c:pt>
                <c:pt idx="13">
                  <c:v>0.16581632653061223</c:v>
                </c:pt>
                <c:pt idx="14">
                  <c:v>0.16015625</c:v>
                </c:pt>
                <c:pt idx="15">
                  <c:v>0.186264308012487</c:v>
                </c:pt>
                <c:pt idx="16">
                  <c:v>0.18002081165452638</c:v>
                </c:pt>
                <c:pt idx="17">
                  <c:v>0.15151515151515141</c:v>
                </c:pt>
                <c:pt idx="18">
                  <c:v>0.15500685871056241</c:v>
                </c:pt>
                <c:pt idx="19">
                  <c:v>0.18343195266272189</c:v>
                </c:pt>
                <c:pt idx="20">
                  <c:v>0.27023319615912206</c:v>
                </c:pt>
                <c:pt idx="21">
                  <c:v>0.1171875</c:v>
                </c:pt>
                <c:pt idx="22">
                  <c:v>0.20000000000000009</c:v>
                </c:pt>
                <c:pt idx="23">
                  <c:v>0.15265306122448979</c:v>
                </c:pt>
                <c:pt idx="24">
                  <c:v>0.18559556786703602</c:v>
                </c:pt>
                <c:pt idx="25">
                  <c:v>0.14612244897959181</c:v>
                </c:pt>
                <c:pt idx="26">
                  <c:v>0.17647058823529418</c:v>
                </c:pt>
                <c:pt idx="27">
                  <c:v>0.17355371900826447</c:v>
                </c:pt>
                <c:pt idx="28">
                  <c:v>0.16326530612244899</c:v>
                </c:pt>
                <c:pt idx="29">
                  <c:v>0.17722681359044984</c:v>
                </c:pt>
                <c:pt idx="30">
                  <c:v>0.19250780437044743</c:v>
                </c:pt>
                <c:pt idx="31">
                  <c:v>0.13609467455621299</c:v>
                </c:pt>
                <c:pt idx="32">
                  <c:v>0.15296566077003124</c:v>
                </c:pt>
                <c:pt idx="33">
                  <c:v>0.22775510204081631</c:v>
                </c:pt>
                <c:pt idx="34">
                  <c:v>0.18518518518518517</c:v>
                </c:pt>
                <c:pt idx="35">
                  <c:v>0.2366863905325445</c:v>
                </c:pt>
                <c:pt idx="36">
                  <c:v>0.1328125</c:v>
                </c:pt>
                <c:pt idx="37">
                  <c:v>9.9489795918367346E-2</c:v>
                </c:pt>
                <c:pt idx="38">
                  <c:v>0.24375743162901323</c:v>
                </c:pt>
                <c:pt idx="39">
                  <c:v>0.10666666666666669</c:v>
                </c:pt>
                <c:pt idx="40">
                  <c:v>0.13111111111111107</c:v>
                </c:pt>
                <c:pt idx="41">
                  <c:v>0.11183673469387753</c:v>
                </c:pt>
                <c:pt idx="42">
                  <c:v>0.1644444444444445</c:v>
                </c:pt>
                <c:pt idx="43">
                  <c:v>0.14233241505968777</c:v>
                </c:pt>
                <c:pt idx="44">
                  <c:v>0.19896193771626297</c:v>
                </c:pt>
                <c:pt idx="45">
                  <c:v>0.19140625</c:v>
                </c:pt>
                <c:pt idx="46">
                  <c:v>0.18418314255983351</c:v>
                </c:pt>
                <c:pt idx="47">
                  <c:v>0.21306122448979589</c:v>
                </c:pt>
                <c:pt idx="48">
                  <c:v>0.11550468262226847</c:v>
                </c:pt>
                <c:pt idx="49">
                  <c:v>0.14047866805411025</c:v>
                </c:pt>
                <c:pt idx="50">
                  <c:v>0.37777777777777777</c:v>
                </c:pt>
                <c:pt idx="51">
                  <c:v>0.24048442906574394</c:v>
                </c:pt>
                <c:pt idx="52">
                  <c:v>0.19390581717451519</c:v>
                </c:pt>
                <c:pt idx="53">
                  <c:v>5.0505050505050504E-2</c:v>
                </c:pt>
                <c:pt idx="54">
                  <c:v>0.19642857142857142</c:v>
                </c:pt>
                <c:pt idx="55">
                  <c:v>0.14265927977839335</c:v>
                </c:pt>
                <c:pt idx="56">
                  <c:v>0.13671875</c:v>
                </c:pt>
                <c:pt idx="57">
                  <c:v>0.12244897959183673</c:v>
                </c:pt>
                <c:pt idx="58">
                  <c:v>0.1</c:v>
                </c:pt>
                <c:pt idx="59">
                  <c:v>0.38265306122448961</c:v>
                </c:pt>
                <c:pt idx="60">
                  <c:v>0.16727538349159976</c:v>
                </c:pt>
                <c:pt idx="61">
                  <c:v>9.6938775510204106E-2</c:v>
                </c:pt>
                <c:pt idx="62">
                  <c:v>0.154296875</c:v>
                </c:pt>
                <c:pt idx="63">
                  <c:v>0.13306122448979596</c:v>
                </c:pt>
                <c:pt idx="64">
                  <c:v>0.30103806228373703</c:v>
                </c:pt>
                <c:pt idx="65">
                  <c:v>0.24221453287197231</c:v>
                </c:pt>
                <c:pt idx="66">
                  <c:v>0.17019722425127837</c:v>
                </c:pt>
                <c:pt idx="67">
                  <c:v>0.24222222222222223</c:v>
                </c:pt>
                <c:pt idx="68">
                  <c:v>0.19125000000000003</c:v>
                </c:pt>
                <c:pt idx="69">
                  <c:v>0.1088888888888889</c:v>
                </c:pt>
                <c:pt idx="70">
                  <c:v>9.7222222222222252E-2</c:v>
                </c:pt>
                <c:pt idx="71">
                  <c:v>0.1987513007284078</c:v>
                </c:pt>
                <c:pt idx="72">
                  <c:v>0.34888888888888886</c:v>
                </c:pt>
                <c:pt idx="73">
                  <c:v>8.3102493074792241E-2</c:v>
                </c:pt>
                <c:pt idx="74">
                  <c:v>0.12960760998810938</c:v>
                </c:pt>
                <c:pt idx="75">
                  <c:v>0.12802768166089967</c:v>
                </c:pt>
                <c:pt idx="76">
                  <c:v>0.14506172839506171</c:v>
                </c:pt>
                <c:pt idx="77">
                  <c:v>0.19619500594530331</c:v>
                </c:pt>
                <c:pt idx="78">
                  <c:v>9.3425605536332154E-2</c:v>
                </c:pt>
                <c:pt idx="79">
                  <c:v>0.25803489439853078</c:v>
                </c:pt>
                <c:pt idx="80">
                  <c:v>0.216796875</c:v>
                </c:pt>
                <c:pt idx="81">
                  <c:v>0.12757201646090532</c:v>
                </c:pt>
                <c:pt idx="82">
                  <c:v>0.15120525931336742</c:v>
                </c:pt>
                <c:pt idx="83">
                  <c:v>0.1760204081632652</c:v>
                </c:pt>
                <c:pt idx="84">
                  <c:v>8.59375E-2</c:v>
                </c:pt>
                <c:pt idx="85">
                  <c:v>0.19341563786008242</c:v>
                </c:pt>
                <c:pt idx="86">
                  <c:v>0.12666666666666668</c:v>
                </c:pt>
                <c:pt idx="87">
                  <c:v>0.1977777777777778</c:v>
                </c:pt>
                <c:pt idx="88">
                  <c:v>0.18339100346020759</c:v>
                </c:pt>
                <c:pt idx="89">
                  <c:v>0.18244170096021947</c:v>
                </c:pt>
                <c:pt idx="90">
                  <c:v>0.34979423868312759</c:v>
                </c:pt>
                <c:pt idx="91">
                  <c:v>0.15101070154577884</c:v>
                </c:pt>
                <c:pt idx="92">
                  <c:v>0.1015625</c:v>
                </c:pt>
                <c:pt idx="93">
                  <c:v>0.10020661157024789</c:v>
                </c:pt>
                <c:pt idx="94">
                  <c:v>0.28125</c:v>
                </c:pt>
                <c:pt idx="95">
                  <c:v>0.17993079584775099</c:v>
                </c:pt>
                <c:pt idx="96">
                  <c:v>0.2097959183673469</c:v>
                </c:pt>
                <c:pt idx="97">
                  <c:v>0.205078125</c:v>
                </c:pt>
                <c:pt idx="98">
                  <c:v>0.13609467455621299</c:v>
                </c:pt>
                <c:pt idx="99">
                  <c:v>0.21632653061224488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58-EF46-BBC3-4CB66EA98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489552"/>
        <c:axId val="396934368"/>
      </c:scatterChart>
      <c:valAx>
        <c:axId val="396489552"/>
        <c:scaling>
          <c:orientation val="minMax"/>
          <c:max val="2.8"/>
          <c:min val="0.4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Points</a:t>
                </a:r>
                <a:r>
                  <a:rPr lang="en-GB" baseline="0"/>
                  <a:t> per match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934368"/>
        <c:crosses val="autoZero"/>
        <c:crossBetween val="midCat"/>
        <c:majorUnit val="0.2"/>
      </c:valAx>
      <c:valAx>
        <c:axId val="396934368"/>
        <c:scaling>
          <c:orientation val="minMax"/>
          <c:max val="0.4"/>
          <c:min val="0.05"/>
        </c:scaling>
        <c:delete val="0"/>
        <c:axPos val="l"/>
        <c:majorGridlines>
          <c:spPr>
            <a:ln w="9525" cap="flat" cmpd="sng" algn="ctr">
              <a:solidFill>
                <a:schemeClr val="bg2">
                  <a:alpha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Nationality</a:t>
                </a:r>
                <a:r>
                  <a:rPr lang="en-GB" baseline="0"/>
                  <a:t> HHi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8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900" b="0" i="0" u="none" strike="noStrike" kern="1200" cap="none" spc="120" normalizeH="0" baseline="0">
                <a:solidFill>
                  <a:schemeClr val="tx1"/>
                </a:solidFill>
              </a:rPr>
              <a:t>Figure 1: Scatterplot of market value dispersion (Gini coefficient) and points per match, premier league 2013/14 - 2017/18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GB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'Figure 1 and Figure 2'!$B$1</c:f>
              <c:strCache>
                <c:ptCount val="1"/>
                <c:pt idx="0">
                  <c:v>Club market value gini coefficient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0">
                <a:solidFill>
                  <a:schemeClr val="tx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tx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'Figure 1 and Figure 2'!$A$2:$A$101</c:f>
              <c:numCache>
                <c:formatCode>General</c:formatCode>
                <c:ptCount val="100"/>
                <c:pt idx="0">
                  <c:v>2.6315789473684212</c:v>
                </c:pt>
                <c:pt idx="1">
                  <c:v>2.4473684210526314</c:v>
                </c:pt>
                <c:pt idx="2">
                  <c:v>2.2894736842105261</c:v>
                </c:pt>
                <c:pt idx="3">
                  <c:v>2.263157894736842</c:v>
                </c:pt>
                <c:pt idx="4">
                  <c:v>2.263157894736842</c:v>
                </c:pt>
                <c:pt idx="5">
                  <c:v>2.2105263157894739</c:v>
                </c:pt>
                <c:pt idx="6">
                  <c:v>2.1578947368421053</c:v>
                </c:pt>
                <c:pt idx="7">
                  <c:v>2.1315789473684212</c:v>
                </c:pt>
                <c:pt idx="8">
                  <c:v>2.1315789473684212</c:v>
                </c:pt>
                <c:pt idx="9">
                  <c:v>2.0789473684210527</c:v>
                </c:pt>
                <c:pt idx="10">
                  <c:v>2.0789473684210527</c:v>
                </c:pt>
                <c:pt idx="11">
                  <c:v>2.0526315789473686</c:v>
                </c:pt>
                <c:pt idx="12">
                  <c:v>2.0263157894736841</c:v>
                </c:pt>
                <c:pt idx="13">
                  <c:v>2</c:v>
                </c:pt>
                <c:pt idx="14">
                  <c:v>1.9736842105263157</c:v>
                </c:pt>
                <c:pt idx="15">
                  <c:v>1.9736842105263157</c:v>
                </c:pt>
                <c:pt idx="16">
                  <c:v>1.9736842105263157</c:v>
                </c:pt>
                <c:pt idx="17">
                  <c:v>1.8947368421052631</c:v>
                </c:pt>
                <c:pt idx="18">
                  <c:v>1.868421052631579</c:v>
                </c:pt>
                <c:pt idx="19">
                  <c:v>1.8421052631578947</c:v>
                </c:pt>
                <c:pt idx="20">
                  <c:v>1.8421052631578947</c:v>
                </c:pt>
                <c:pt idx="21">
                  <c:v>1.8421052631578947</c:v>
                </c:pt>
                <c:pt idx="22">
                  <c:v>1.8157894736842106</c:v>
                </c:pt>
                <c:pt idx="23">
                  <c:v>1.8157894736842106</c:v>
                </c:pt>
                <c:pt idx="24">
                  <c:v>1.736842105263158</c:v>
                </c:pt>
                <c:pt idx="25">
                  <c:v>1.736842105263158</c:v>
                </c:pt>
                <c:pt idx="26">
                  <c:v>1.6842105263157894</c:v>
                </c:pt>
                <c:pt idx="27">
                  <c:v>1.6842105263157894</c:v>
                </c:pt>
                <c:pt idx="28">
                  <c:v>1.6578947368421053</c:v>
                </c:pt>
                <c:pt idx="29">
                  <c:v>1.6578947368421053</c:v>
                </c:pt>
                <c:pt idx="30">
                  <c:v>1.631578947368421</c:v>
                </c:pt>
                <c:pt idx="31">
                  <c:v>1.631578947368421</c:v>
                </c:pt>
                <c:pt idx="32">
                  <c:v>1.6052631578947369</c:v>
                </c:pt>
                <c:pt idx="33">
                  <c:v>1.5789473684210527</c:v>
                </c:pt>
                <c:pt idx="34">
                  <c:v>1.5789473684210527</c:v>
                </c:pt>
                <c:pt idx="35">
                  <c:v>1.4736842105263157</c:v>
                </c:pt>
                <c:pt idx="36">
                  <c:v>1.4736842105263157</c:v>
                </c:pt>
                <c:pt idx="37">
                  <c:v>1.4210526315789473</c:v>
                </c:pt>
                <c:pt idx="38">
                  <c:v>1.4210526315789473</c:v>
                </c:pt>
                <c:pt idx="39">
                  <c:v>1.3421052631578947</c:v>
                </c:pt>
                <c:pt idx="40">
                  <c:v>1.3157894736842106</c:v>
                </c:pt>
                <c:pt idx="41">
                  <c:v>1.3157894736842106</c:v>
                </c:pt>
                <c:pt idx="42">
                  <c:v>1.2894736842105263</c:v>
                </c:pt>
                <c:pt idx="43">
                  <c:v>1.2894736842105263</c:v>
                </c:pt>
                <c:pt idx="44">
                  <c:v>1.263157894736842</c:v>
                </c:pt>
                <c:pt idx="45">
                  <c:v>1.236842105263158</c:v>
                </c:pt>
                <c:pt idx="46">
                  <c:v>1.236842105263158</c:v>
                </c:pt>
                <c:pt idx="47">
                  <c:v>1.236842105263158</c:v>
                </c:pt>
                <c:pt idx="48">
                  <c:v>1.236842105263158</c:v>
                </c:pt>
                <c:pt idx="49">
                  <c:v>1.236842105263158</c:v>
                </c:pt>
                <c:pt idx="50">
                  <c:v>1.2105263157894737</c:v>
                </c:pt>
                <c:pt idx="51">
                  <c:v>1.2105263157894737</c:v>
                </c:pt>
                <c:pt idx="52">
                  <c:v>1.1842105263157894</c:v>
                </c:pt>
                <c:pt idx="53">
                  <c:v>1.1842105263157894</c:v>
                </c:pt>
                <c:pt idx="54">
                  <c:v>1.1842105263157894</c:v>
                </c:pt>
                <c:pt idx="55">
                  <c:v>1.1842105263157894</c:v>
                </c:pt>
                <c:pt idx="56">
                  <c:v>1.1578947368421053</c:v>
                </c:pt>
                <c:pt idx="57">
                  <c:v>1.1578947368421053</c:v>
                </c:pt>
                <c:pt idx="58">
                  <c:v>1.1578947368421053</c:v>
                </c:pt>
                <c:pt idx="59">
                  <c:v>1.1578947368421053</c:v>
                </c:pt>
                <c:pt idx="60">
                  <c:v>1.1578947368421053</c:v>
                </c:pt>
                <c:pt idx="61">
                  <c:v>1.1578947368421053</c:v>
                </c:pt>
                <c:pt idx="62">
                  <c:v>1.131578947368421</c:v>
                </c:pt>
                <c:pt idx="63">
                  <c:v>1.1052631578947369</c:v>
                </c:pt>
                <c:pt idx="64">
                  <c:v>1.1052631578947369</c:v>
                </c:pt>
                <c:pt idx="65">
                  <c:v>1.1052631578947369</c:v>
                </c:pt>
                <c:pt idx="66">
                  <c:v>1.1052631578947369</c:v>
                </c:pt>
                <c:pt idx="67">
                  <c:v>1.0789473684210527</c:v>
                </c:pt>
                <c:pt idx="68">
                  <c:v>1.0789473684210527</c:v>
                </c:pt>
                <c:pt idx="69">
                  <c:v>1.0789473684210527</c:v>
                </c:pt>
                <c:pt idx="70">
                  <c:v>1.0789473684210527</c:v>
                </c:pt>
                <c:pt idx="71">
                  <c:v>1.0526315789473684</c:v>
                </c:pt>
                <c:pt idx="72">
                  <c:v>1.0526315789473684</c:v>
                </c:pt>
                <c:pt idx="73">
                  <c:v>1.0526315789473684</c:v>
                </c:pt>
                <c:pt idx="74">
                  <c:v>1.0526315789473684</c:v>
                </c:pt>
                <c:pt idx="75">
                  <c:v>1.0263157894736843</c:v>
                </c:pt>
                <c:pt idx="76">
                  <c:v>1.0263157894736843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0.97368421052631582</c:v>
                </c:pt>
                <c:pt idx="82">
                  <c:v>0.97368421052631582</c:v>
                </c:pt>
                <c:pt idx="83">
                  <c:v>0.97368421052631582</c:v>
                </c:pt>
                <c:pt idx="84">
                  <c:v>0.94736842105263153</c:v>
                </c:pt>
                <c:pt idx="85">
                  <c:v>0.94736842105263153</c:v>
                </c:pt>
                <c:pt idx="86">
                  <c:v>0.92105263157894735</c:v>
                </c:pt>
                <c:pt idx="87">
                  <c:v>0.89473684210526316</c:v>
                </c:pt>
                <c:pt idx="88">
                  <c:v>0.89473684210526316</c:v>
                </c:pt>
                <c:pt idx="89">
                  <c:v>0.86842105263157898</c:v>
                </c:pt>
                <c:pt idx="90">
                  <c:v>0.86842105263157898</c:v>
                </c:pt>
                <c:pt idx="91">
                  <c:v>0.86842105263157898</c:v>
                </c:pt>
                <c:pt idx="92">
                  <c:v>0.86842105263157898</c:v>
                </c:pt>
                <c:pt idx="93">
                  <c:v>0.84210526315789469</c:v>
                </c:pt>
                <c:pt idx="94">
                  <c:v>0.81578947368421051</c:v>
                </c:pt>
                <c:pt idx="95">
                  <c:v>0.78947368421052633</c:v>
                </c:pt>
                <c:pt idx="96">
                  <c:v>0.78947368421052633</c:v>
                </c:pt>
                <c:pt idx="97">
                  <c:v>0.73684210526315785</c:v>
                </c:pt>
                <c:pt idx="98">
                  <c:v>0.63157894736842102</c:v>
                </c:pt>
                <c:pt idx="99">
                  <c:v>0.44736842105263158</c:v>
                </c:pt>
              </c:numCache>
            </c:numRef>
          </c:xVal>
          <c:yVal>
            <c:numRef>
              <c:f>'Figure 1 and Figure 2'!$B$2:$B$101</c:f>
              <c:numCache>
                <c:formatCode>General</c:formatCode>
                <c:ptCount val="100"/>
                <c:pt idx="0">
                  <c:v>0.52229930624380583</c:v>
                </c:pt>
                <c:pt idx="1">
                  <c:v>0.57869788369694775</c:v>
                </c:pt>
                <c:pt idx="2">
                  <c:v>0.55768655600418726</c:v>
                </c:pt>
                <c:pt idx="3">
                  <c:v>0.39445438282647588</c:v>
                </c:pt>
                <c:pt idx="4">
                  <c:v>0.51090568963678429</c:v>
                </c:pt>
                <c:pt idx="5">
                  <c:v>0.42816046450250722</c:v>
                </c:pt>
                <c:pt idx="6">
                  <c:v>0.51089925871067354</c:v>
                </c:pt>
                <c:pt idx="7">
                  <c:v>0.50339400492581243</c:v>
                </c:pt>
                <c:pt idx="8">
                  <c:v>0.52772048583566911</c:v>
                </c:pt>
                <c:pt idx="9">
                  <c:v>0.55316599814331513</c:v>
                </c:pt>
                <c:pt idx="10">
                  <c:v>0.47077523703290558</c:v>
                </c:pt>
                <c:pt idx="11">
                  <c:v>0.49901442876291102</c:v>
                </c:pt>
                <c:pt idx="12">
                  <c:v>0.536025393764063</c:v>
                </c:pt>
                <c:pt idx="13">
                  <c:v>0.54653340642416171</c:v>
                </c:pt>
                <c:pt idx="14">
                  <c:v>0.51768793430195825</c:v>
                </c:pt>
                <c:pt idx="15">
                  <c:v>0.4940660217412986</c:v>
                </c:pt>
                <c:pt idx="16">
                  <c:v>0.55291103454368762</c:v>
                </c:pt>
                <c:pt idx="17">
                  <c:v>0.45611111111111113</c:v>
                </c:pt>
                <c:pt idx="18">
                  <c:v>0.54040049889931763</c:v>
                </c:pt>
                <c:pt idx="19">
                  <c:v>0.57042983398345504</c:v>
                </c:pt>
                <c:pt idx="20">
                  <c:v>0.39009341483104598</c:v>
                </c:pt>
                <c:pt idx="21">
                  <c:v>0.54263769403718531</c:v>
                </c:pt>
                <c:pt idx="22">
                  <c:v>0.43242198765645723</c:v>
                </c:pt>
                <c:pt idx="23">
                  <c:v>0.50013574721449383</c:v>
                </c:pt>
                <c:pt idx="24">
                  <c:v>0.49098729674269259</c:v>
                </c:pt>
                <c:pt idx="25">
                  <c:v>0.49428900427698863</c:v>
                </c:pt>
                <c:pt idx="26">
                  <c:v>0.50007629930620878</c:v>
                </c:pt>
                <c:pt idx="27">
                  <c:v>0.41869454527682359</c:v>
                </c:pt>
                <c:pt idx="28">
                  <c:v>0.42264291017074967</c:v>
                </c:pt>
                <c:pt idx="29">
                  <c:v>0.55973167412016334</c:v>
                </c:pt>
                <c:pt idx="30">
                  <c:v>0.45122079958979905</c:v>
                </c:pt>
                <c:pt idx="31">
                  <c:v>0.46859823936689715</c:v>
                </c:pt>
                <c:pt idx="32">
                  <c:v>0.53871703028329532</c:v>
                </c:pt>
                <c:pt idx="33">
                  <c:v>0.46726247554754324</c:v>
                </c:pt>
                <c:pt idx="34">
                  <c:v>0.56312842989208467</c:v>
                </c:pt>
                <c:pt idx="35">
                  <c:v>0.46413181242078588</c:v>
                </c:pt>
                <c:pt idx="36">
                  <c:v>0.53904891136742128</c:v>
                </c:pt>
                <c:pt idx="37">
                  <c:v>0.3928571428571429</c:v>
                </c:pt>
                <c:pt idx="38">
                  <c:v>0.41875013529017024</c:v>
                </c:pt>
                <c:pt idx="39">
                  <c:v>0.45420310981535489</c:v>
                </c:pt>
                <c:pt idx="40">
                  <c:v>0.34285259471505897</c:v>
                </c:pt>
                <c:pt idx="41">
                  <c:v>0.49572240820447422</c:v>
                </c:pt>
                <c:pt idx="42">
                  <c:v>0.47576900754497986</c:v>
                </c:pt>
                <c:pt idx="43">
                  <c:v>0.45225725094577568</c:v>
                </c:pt>
                <c:pt idx="44">
                  <c:v>0.41742513721948171</c:v>
                </c:pt>
                <c:pt idx="45">
                  <c:v>0.43066656517216018</c:v>
                </c:pt>
                <c:pt idx="46">
                  <c:v>0.59433521218696805</c:v>
                </c:pt>
                <c:pt idx="47">
                  <c:v>0.5741990648934816</c:v>
                </c:pt>
                <c:pt idx="48">
                  <c:v>0.43420210333790599</c:v>
                </c:pt>
                <c:pt idx="49">
                  <c:v>0.52720863042383448</c:v>
                </c:pt>
                <c:pt idx="50">
                  <c:v>0.47228818389057747</c:v>
                </c:pt>
                <c:pt idx="51">
                  <c:v>0.47577193738331175</c:v>
                </c:pt>
                <c:pt idx="52">
                  <c:v>0.40942629746310721</c:v>
                </c:pt>
                <c:pt idx="53">
                  <c:v>0.43401844026123709</c:v>
                </c:pt>
                <c:pt idx="54">
                  <c:v>0.48859180035650629</c:v>
                </c:pt>
                <c:pt idx="55">
                  <c:v>0.44876445755405653</c:v>
                </c:pt>
                <c:pt idx="56">
                  <c:v>0.40667732834989506</c:v>
                </c:pt>
                <c:pt idx="57">
                  <c:v>0.47493711410930717</c:v>
                </c:pt>
                <c:pt idx="58">
                  <c:v>0.48763440860215057</c:v>
                </c:pt>
                <c:pt idx="59">
                  <c:v>0.49976931949250286</c:v>
                </c:pt>
                <c:pt idx="60">
                  <c:v>0.54337033261600043</c:v>
                </c:pt>
                <c:pt idx="61">
                  <c:v>0.45824497525973962</c:v>
                </c:pt>
                <c:pt idx="62">
                  <c:v>0.39323607427055696</c:v>
                </c:pt>
                <c:pt idx="63">
                  <c:v>0.47605485832906141</c:v>
                </c:pt>
                <c:pt idx="64">
                  <c:v>0.55452888786222143</c:v>
                </c:pt>
                <c:pt idx="65">
                  <c:v>0.43730600031263278</c:v>
                </c:pt>
                <c:pt idx="66">
                  <c:v>0.46190916888628047</c:v>
                </c:pt>
                <c:pt idx="67">
                  <c:v>0.49736560291282961</c:v>
                </c:pt>
                <c:pt idx="68">
                  <c:v>0.53255704106495871</c:v>
                </c:pt>
                <c:pt idx="69">
                  <c:v>0.4809392460570055</c:v>
                </c:pt>
                <c:pt idx="70">
                  <c:v>0.46376050420168063</c:v>
                </c:pt>
                <c:pt idx="71">
                  <c:v>0.45737308622078965</c:v>
                </c:pt>
                <c:pt idx="72">
                  <c:v>0.54102004692709837</c:v>
                </c:pt>
                <c:pt idx="73">
                  <c:v>0.41964844861941364</c:v>
                </c:pt>
                <c:pt idx="74">
                  <c:v>0.52879612344600235</c:v>
                </c:pt>
                <c:pt idx="75">
                  <c:v>0.47916666666666657</c:v>
                </c:pt>
                <c:pt idx="76">
                  <c:v>0.38025195778004778</c:v>
                </c:pt>
                <c:pt idx="77">
                  <c:v>0.41230190706419556</c:v>
                </c:pt>
                <c:pt idx="78">
                  <c:v>0.39882903981264634</c:v>
                </c:pt>
                <c:pt idx="79">
                  <c:v>0.40556015452538641</c:v>
                </c:pt>
                <c:pt idx="80">
                  <c:v>0.43857927786499212</c:v>
                </c:pt>
                <c:pt idx="81">
                  <c:v>0.43611629067415997</c:v>
                </c:pt>
                <c:pt idx="82">
                  <c:v>0.47979797979797989</c:v>
                </c:pt>
                <c:pt idx="83">
                  <c:v>0.54018637157833438</c:v>
                </c:pt>
                <c:pt idx="84">
                  <c:v>0.38025975998784761</c:v>
                </c:pt>
                <c:pt idx="85">
                  <c:v>0.437890812890813</c:v>
                </c:pt>
                <c:pt idx="86">
                  <c:v>0.41202805165230411</c:v>
                </c:pt>
                <c:pt idx="87">
                  <c:v>0.38575810052369142</c:v>
                </c:pt>
                <c:pt idx="88">
                  <c:v>0.42643672117356318</c:v>
                </c:pt>
                <c:pt idx="89">
                  <c:v>0.35612593556784916</c:v>
                </c:pt>
                <c:pt idx="90">
                  <c:v>0.44749898056272935</c:v>
                </c:pt>
                <c:pt idx="91">
                  <c:v>0.50804497937255211</c:v>
                </c:pt>
                <c:pt idx="92">
                  <c:v>0.53411259541984746</c:v>
                </c:pt>
                <c:pt idx="93">
                  <c:v>0.45575489989954904</c:v>
                </c:pt>
                <c:pt idx="94">
                  <c:v>0.49687116006007392</c:v>
                </c:pt>
                <c:pt idx="95">
                  <c:v>0.47454858376360093</c:v>
                </c:pt>
                <c:pt idx="96">
                  <c:v>0.50228791253290161</c:v>
                </c:pt>
                <c:pt idx="97">
                  <c:v>0.45976042590949417</c:v>
                </c:pt>
                <c:pt idx="98">
                  <c:v>0.43009641873278226</c:v>
                </c:pt>
                <c:pt idx="99">
                  <c:v>0.42344712365658421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2-FA47-B21C-132B2CB8C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25056"/>
        <c:axId val="1752631855"/>
      </c:scatterChart>
      <c:valAx>
        <c:axId val="1515525056"/>
        <c:scaling>
          <c:orientation val="minMax"/>
          <c:max val="2.8"/>
          <c:min val="0.4"/>
        </c:scaling>
        <c:delete val="0"/>
        <c:axPos val="b"/>
        <c:majorGridlines>
          <c:spPr>
            <a:ln w="0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Points</a:t>
                </a:r>
                <a:r>
                  <a:rPr lang="en-GB" baseline="0"/>
                  <a:t> per match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631855"/>
        <c:crosses val="autoZero"/>
        <c:crossBetween val="midCat"/>
        <c:majorUnit val="0.2"/>
        <c:minorUnit val="0.1"/>
      </c:valAx>
      <c:valAx>
        <c:axId val="1752631855"/>
        <c:scaling>
          <c:orientation val="minMax"/>
          <c:max val="0.6"/>
          <c:min val="0.3"/>
        </c:scaling>
        <c:delete val="0"/>
        <c:axPos val="l"/>
        <c:majorGridlines>
          <c:spPr>
            <a:ln w="9525" cap="flat" cmpd="sng" algn="ctr">
              <a:solidFill>
                <a:schemeClr val="bg2">
                  <a:alpha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Gini</a:t>
                </a:r>
                <a:r>
                  <a:rPr lang="en-GB" baseline="0"/>
                  <a:t> coefficient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25056"/>
        <c:crosses val="autoZero"/>
        <c:crossBetween val="midCat"/>
        <c:majorUnit val="0.0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23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555415-1B38-1DAF-51E0-07F7D3C08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12700</xdr:rowOff>
    </xdr:from>
    <xdr:to>
      <xdr:col>12</xdr:col>
      <xdr:colOff>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B8710B-A558-6D0F-DE88-604A770C5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FF1A-00CC-D440-8681-B44E01D09812}">
  <dimension ref="A1:I101"/>
  <sheetViews>
    <sheetView workbookViewId="0">
      <selection activeCell="J1" sqref="J1"/>
    </sheetView>
  </sheetViews>
  <sheetFormatPr baseColWidth="10" defaultRowHeight="16" x14ac:dyDescent="0.2"/>
  <cols>
    <col min="1" max="1" width="7.83203125" bestFit="1" customWidth="1"/>
    <col min="2" max="2" width="19.33203125" bestFit="1" customWidth="1"/>
    <col min="3" max="3" width="14.6640625" bestFit="1" customWidth="1"/>
    <col min="4" max="4" width="27.83203125" bestFit="1" customWidth="1"/>
    <col min="5" max="5" width="30.83203125" bestFit="1" customWidth="1"/>
    <col min="6" max="6" width="39.33203125" bestFit="1" customWidth="1"/>
    <col min="7" max="7" width="22.1640625" bestFit="1" customWidth="1"/>
    <col min="8" max="8" width="28.6640625" bestFit="1" customWidth="1"/>
    <col min="9" max="9" width="26.83203125" bestFit="1" customWidth="1"/>
  </cols>
  <sheetData>
    <row r="1" spans="1:9" x14ac:dyDescent="0.2">
      <c r="A1" s="7" t="s">
        <v>120</v>
      </c>
      <c r="B1" s="7" t="s">
        <v>0</v>
      </c>
      <c r="C1" s="7" t="s">
        <v>109</v>
      </c>
      <c r="D1" s="7" t="s">
        <v>129</v>
      </c>
      <c r="E1" s="7" t="s">
        <v>128</v>
      </c>
      <c r="F1" s="7" t="s">
        <v>126</v>
      </c>
      <c r="G1" s="7" t="s">
        <v>115</v>
      </c>
      <c r="H1" s="7" t="s">
        <v>127</v>
      </c>
      <c r="I1" s="7" t="s">
        <v>125</v>
      </c>
    </row>
    <row r="2" spans="1:9" x14ac:dyDescent="0.2">
      <c r="A2" t="s">
        <v>58</v>
      </c>
      <c r="B2" t="s">
        <v>7</v>
      </c>
      <c r="C2">
        <v>1.4736842105263157</v>
      </c>
      <c r="D2">
        <v>0.46413181242078588</v>
      </c>
      <c r="E2">
        <v>0.2366863905325445</v>
      </c>
      <c r="F2">
        <v>0.46153846153846156</v>
      </c>
      <c r="G2">
        <v>26</v>
      </c>
      <c r="H2">
        <v>24.6</v>
      </c>
      <c r="I2">
        <v>3.2558128019054548E-2</v>
      </c>
    </row>
    <row r="3" spans="1:9" x14ac:dyDescent="0.2">
      <c r="A3" t="s">
        <v>58</v>
      </c>
      <c r="B3" t="s">
        <v>11</v>
      </c>
      <c r="C3">
        <v>1.0526315789473684</v>
      </c>
      <c r="D3">
        <v>0.45737308622078965</v>
      </c>
      <c r="E3">
        <v>0.1987513007284078</v>
      </c>
      <c r="F3">
        <v>0.41935483870967744</v>
      </c>
      <c r="G3">
        <v>31</v>
      </c>
      <c r="H3">
        <v>28.4</v>
      </c>
      <c r="I3">
        <v>2.7111140821950368E-2</v>
      </c>
    </row>
    <row r="4" spans="1:9" x14ac:dyDescent="0.2">
      <c r="A4" t="s">
        <v>58</v>
      </c>
      <c r="B4" t="s">
        <v>12</v>
      </c>
      <c r="C4">
        <v>1</v>
      </c>
      <c r="D4">
        <v>0.41230190706419556</v>
      </c>
      <c r="E4">
        <v>0.19619500594530331</v>
      </c>
      <c r="F4">
        <v>0.41379310344827586</v>
      </c>
      <c r="G4">
        <v>29</v>
      </c>
      <c r="H4">
        <v>24.4</v>
      </c>
      <c r="I4">
        <v>2.7111140821950368E-2</v>
      </c>
    </row>
    <row r="5" spans="1:9" x14ac:dyDescent="0.2">
      <c r="A5" t="s">
        <v>58</v>
      </c>
      <c r="B5" t="s">
        <v>4</v>
      </c>
      <c r="C5">
        <v>1.8157894736842106</v>
      </c>
      <c r="D5">
        <v>0.43242198765645723</v>
      </c>
      <c r="E5">
        <v>0.20000000000000009</v>
      </c>
      <c r="F5">
        <v>0.4</v>
      </c>
      <c r="G5">
        <v>30</v>
      </c>
      <c r="H5">
        <v>25</v>
      </c>
      <c r="I5">
        <v>7.1541225027420635E-2</v>
      </c>
    </row>
    <row r="6" spans="1:9" x14ac:dyDescent="0.2">
      <c r="A6" t="s">
        <v>58</v>
      </c>
      <c r="B6" t="s">
        <v>16</v>
      </c>
      <c r="C6">
        <v>1.1842105263157894</v>
      </c>
      <c r="D6">
        <v>0.40942629746310721</v>
      </c>
      <c r="E6">
        <v>0.19390581717451519</v>
      </c>
      <c r="F6">
        <v>0.39473684210526316</v>
      </c>
      <c r="G6">
        <v>38</v>
      </c>
      <c r="H6">
        <v>27.7</v>
      </c>
      <c r="I6">
        <v>1.7009455474593517E-2</v>
      </c>
    </row>
    <row r="7" spans="1:9" x14ac:dyDescent="0.2">
      <c r="A7" t="s">
        <v>58</v>
      </c>
      <c r="B7" t="s">
        <v>20</v>
      </c>
      <c r="C7">
        <v>0.78947368421052633</v>
      </c>
      <c r="D7">
        <v>0.47454858376360093</v>
      </c>
      <c r="E7">
        <v>0.17993079584775099</v>
      </c>
      <c r="F7">
        <v>0.38235294117647056</v>
      </c>
      <c r="G7">
        <v>34</v>
      </c>
      <c r="H7">
        <v>25.2</v>
      </c>
      <c r="I7">
        <v>2.1763189755702624E-2</v>
      </c>
    </row>
    <row r="8" spans="1:9" x14ac:dyDescent="0.2">
      <c r="A8" t="s">
        <v>58</v>
      </c>
      <c r="B8" t="s">
        <v>19</v>
      </c>
      <c r="C8">
        <v>1.6842105263157894</v>
      </c>
      <c r="D8">
        <v>0.50007629930620878</v>
      </c>
      <c r="E8">
        <v>0.17647058823529418</v>
      </c>
      <c r="F8">
        <v>0.38235294117647056</v>
      </c>
      <c r="G8">
        <v>34</v>
      </c>
      <c r="H8">
        <v>26.5</v>
      </c>
      <c r="I8">
        <v>9.966748619064951E-2</v>
      </c>
    </row>
    <row r="9" spans="1:9" x14ac:dyDescent="0.2">
      <c r="A9" t="s">
        <v>58</v>
      </c>
      <c r="B9" t="s">
        <v>15</v>
      </c>
      <c r="C9">
        <v>0.86842105263157898</v>
      </c>
      <c r="D9">
        <v>0.35612593556784916</v>
      </c>
      <c r="E9">
        <v>0.18244170096021947</v>
      </c>
      <c r="F9">
        <v>0.37037037037037035</v>
      </c>
      <c r="G9">
        <v>27</v>
      </c>
      <c r="H9">
        <v>26.2</v>
      </c>
      <c r="I9">
        <v>2.2109816213700163E-2</v>
      </c>
    </row>
    <row r="10" spans="1:9" x14ac:dyDescent="0.2">
      <c r="A10" t="s">
        <v>58</v>
      </c>
      <c r="B10" t="s">
        <v>5</v>
      </c>
      <c r="C10">
        <v>1.8947368421052631</v>
      </c>
      <c r="D10">
        <v>0.45611111111111113</v>
      </c>
      <c r="E10">
        <v>0.15151515151515141</v>
      </c>
      <c r="F10">
        <v>0.33333333333333331</v>
      </c>
      <c r="G10">
        <v>33</v>
      </c>
      <c r="H10">
        <v>27.2</v>
      </c>
      <c r="I10">
        <v>5.1993968699630841E-2</v>
      </c>
    </row>
    <row r="11" spans="1:9" x14ac:dyDescent="0.2">
      <c r="A11" t="s">
        <v>58</v>
      </c>
      <c r="B11" t="s">
        <v>3</v>
      </c>
      <c r="C11">
        <v>2.2105263157894739</v>
      </c>
      <c r="D11">
        <v>0.42816046450250722</v>
      </c>
      <c r="E11">
        <v>0.15111111111111114</v>
      </c>
      <c r="F11">
        <v>0.33333333333333331</v>
      </c>
      <c r="G11">
        <v>30</v>
      </c>
      <c r="H11">
        <v>25.3</v>
      </c>
      <c r="I11">
        <v>7.8176645794802088E-2</v>
      </c>
    </row>
    <row r="12" spans="1:9" x14ac:dyDescent="0.2">
      <c r="A12" t="s">
        <v>58</v>
      </c>
      <c r="B12" t="s">
        <v>13</v>
      </c>
      <c r="C12">
        <v>1.3157894736842106</v>
      </c>
      <c r="D12">
        <v>0.34285259471505897</v>
      </c>
      <c r="E12">
        <v>0.13111111111111107</v>
      </c>
      <c r="F12">
        <v>0.3</v>
      </c>
      <c r="G12">
        <v>30</v>
      </c>
      <c r="H12">
        <v>27.3</v>
      </c>
      <c r="I12">
        <v>2.5922707251673092E-2</v>
      </c>
    </row>
    <row r="13" spans="1:9" x14ac:dyDescent="0.2">
      <c r="A13" t="s">
        <v>58</v>
      </c>
      <c r="B13" t="s">
        <v>10</v>
      </c>
      <c r="C13">
        <v>0.84210526315789469</v>
      </c>
      <c r="D13">
        <v>0.45575489989954904</v>
      </c>
      <c r="E13">
        <v>0.10020661157024789</v>
      </c>
      <c r="F13">
        <v>0.27272727272727271</v>
      </c>
      <c r="G13">
        <v>44</v>
      </c>
      <c r="H13">
        <v>28.6</v>
      </c>
      <c r="I13">
        <v>2.7891050352444831E-2</v>
      </c>
    </row>
    <row r="14" spans="1:9" x14ac:dyDescent="0.2">
      <c r="A14" t="s">
        <v>58</v>
      </c>
      <c r="B14" t="s">
        <v>17</v>
      </c>
      <c r="C14">
        <v>0.97368421052631582</v>
      </c>
      <c r="D14">
        <v>0.43611629067415997</v>
      </c>
      <c r="E14">
        <v>0.12757201646090532</v>
      </c>
      <c r="F14">
        <v>0.25925925925925924</v>
      </c>
      <c r="G14">
        <v>27</v>
      </c>
      <c r="H14">
        <v>27.4</v>
      </c>
      <c r="I14">
        <v>1.6873280794665914E-2</v>
      </c>
    </row>
    <row r="15" spans="1:9" x14ac:dyDescent="0.2">
      <c r="A15" t="s">
        <v>58</v>
      </c>
      <c r="B15" t="s">
        <v>6</v>
      </c>
      <c r="C15">
        <v>1.2894736842105263</v>
      </c>
      <c r="D15">
        <v>0.47576900754497986</v>
      </c>
      <c r="E15">
        <v>0.1644444444444445</v>
      </c>
      <c r="F15">
        <v>0.23333333333333334</v>
      </c>
      <c r="G15">
        <v>30</v>
      </c>
      <c r="H15">
        <v>26.2</v>
      </c>
      <c r="I15">
        <v>4.2659813366411399E-2</v>
      </c>
    </row>
    <row r="16" spans="1:9" x14ac:dyDescent="0.2">
      <c r="A16" t="s">
        <v>58</v>
      </c>
      <c r="B16" t="s">
        <v>18</v>
      </c>
      <c r="C16">
        <v>2.1578947368421053</v>
      </c>
      <c r="D16">
        <v>0.51089925871067354</v>
      </c>
      <c r="E16">
        <v>0.10888888888888887</v>
      </c>
      <c r="F16">
        <v>0.23333333333333334</v>
      </c>
      <c r="G16">
        <v>30</v>
      </c>
      <c r="H16">
        <v>27.3</v>
      </c>
      <c r="I16">
        <v>0.1446422691158302</v>
      </c>
    </row>
    <row r="17" spans="1:9" x14ac:dyDescent="0.2">
      <c r="A17" t="s">
        <v>58</v>
      </c>
      <c r="B17" t="s">
        <v>14</v>
      </c>
      <c r="C17">
        <v>0.94736842105263153</v>
      </c>
      <c r="D17">
        <v>0.38025975998784761</v>
      </c>
      <c r="E17">
        <v>8.59375E-2</v>
      </c>
      <c r="F17">
        <v>0.21875</v>
      </c>
      <c r="G17">
        <v>32</v>
      </c>
      <c r="H17">
        <v>27.7</v>
      </c>
      <c r="I17">
        <v>2.2481201704411813E-2</v>
      </c>
    </row>
    <row r="18" spans="1:9" x14ac:dyDescent="0.2">
      <c r="A18" t="s">
        <v>58</v>
      </c>
      <c r="B18" t="s">
        <v>1</v>
      </c>
      <c r="C18">
        <v>2.263157894736842</v>
      </c>
      <c r="D18">
        <v>0.39445438282647588</v>
      </c>
      <c r="E18">
        <v>0.11458333333333333</v>
      </c>
      <c r="F18">
        <v>0.20833333333333334</v>
      </c>
      <c r="G18">
        <v>24</v>
      </c>
      <c r="H18">
        <v>27.5</v>
      </c>
      <c r="I18">
        <v>0.11285167111091304</v>
      </c>
    </row>
    <row r="19" spans="1:9" x14ac:dyDescent="0.2">
      <c r="A19" t="s">
        <v>58</v>
      </c>
      <c r="B19" t="s">
        <v>9</v>
      </c>
      <c r="C19">
        <v>1</v>
      </c>
      <c r="D19">
        <v>0.39882903981264634</v>
      </c>
      <c r="E19">
        <v>9.3425605536332154E-2</v>
      </c>
      <c r="F19">
        <v>0.20588235294117646</v>
      </c>
      <c r="G19">
        <v>34</v>
      </c>
      <c r="H19">
        <v>26.2</v>
      </c>
      <c r="I19">
        <v>3.0206019911214108E-2</v>
      </c>
    </row>
    <row r="20" spans="1:9" x14ac:dyDescent="0.2">
      <c r="A20" t="s">
        <v>58</v>
      </c>
      <c r="B20" t="s">
        <v>8</v>
      </c>
      <c r="C20">
        <v>1.1052631578947369</v>
      </c>
      <c r="D20">
        <v>0.47605485832906141</v>
      </c>
      <c r="E20">
        <v>0.13306122448979596</v>
      </c>
      <c r="F20">
        <v>0.17142857142857143</v>
      </c>
      <c r="G20">
        <v>35</v>
      </c>
      <c r="H20">
        <v>26.2</v>
      </c>
      <c r="I20">
        <v>3.1921820878301928E-2</v>
      </c>
    </row>
    <row r="21" spans="1:9" x14ac:dyDescent="0.2">
      <c r="A21" t="s">
        <v>58</v>
      </c>
      <c r="B21" t="s">
        <v>2</v>
      </c>
      <c r="C21">
        <v>2.0789473684210527</v>
      </c>
      <c r="D21">
        <v>0.55316599814331513</v>
      </c>
      <c r="E21">
        <v>0.10546875</v>
      </c>
      <c r="F21">
        <v>0.15625</v>
      </c>
      <c r="G21">
        <v>32</v>
      </c>
      <c r="H21">
        <v>26.5</v>
      </c>
      <c r="I21">
        <v>9.5507968694679035E-2</v>
      </c>
    </row>
    <row r="22" spans="1:9" x14ac:dyDescent="0.2">
      <c r="A22" t="s">
        <v>87</v>
      </c>
      <c r="B22" t="s">
        <v>29</v>
      </c>
      <c r="C22">
        <v>0.86842105263157898</v>
      </c>
      <c r="D22">
        <v>0.44749898056272935</v>
      </c>
      <c r="E22">
        <v>0.34979423868312759</v>
      </c>
      <c r="F22">
        <v>0.55555555555555558</v>
      </c>
      <c r="G22">
        <v>27</v>
      </c>
      <c r="H22">
        <v>27</v>
      </c>
      <c r="I22">
        <v>1.2476406415080901E-2</v>
      </c>
    </row>
    <row r="23" spans="1:9" x14ac:dyDescent="0.2">
      <c r="A23" t="s">
        <v>87</v>
      </c>
      <c r="B23" t="s">
        <v>12</v>
      </c>
      <c r="C23">
        <v>1</v>
      </c>
      <c r="D23">
        <v>0.40556015452538641</v>
      </c>
      <c r="E23">
        <v>0.25803489439853078</v>
      </c>
      <c r="F23">
        <v>0.48484848484848486</v>
      </c>
      <c r="G23">
        <v>33</v>
      </c>
      <c r="H23">
        <v>26.2</v>
      </c>
      <c r="I23">
        <v>2.7125203290637355E-2</v>
      </c>
    </row>
    <row r="24" spans="1:9" x14ac:dyDescent="0.2">
      <c r="A24" t="s">
        <v>87</v>
      </c>
      <c r="B24" t="s">
        <v>32</v>
      </c>
      <c r="C24">
        <v>1.0789473684210527</v>
      </c>
      <c r="D24">
        <v>0.49736560291282961</v>
      </c>
      <c r="E24">
        <v>0.24222222222222223</v>
      </c>
      <c r="F24">
        <v>0.46666666666666667</v>
      </c>
      <c r="G24">
        <v>30</v>
      </c>
      <c r="H24">
        <v>27.5</v>
      </c>
      <c r="I24">
        <v>1.5835895487838175E-2</v>
      </c>
    </row>
    <row r="25" spans="1:9" x14ac:dyDescent="0.2">
      <c r="A25" t="s">
        <v>87</v>
      </c>
      <c r="B25" t="s">
        <v>7</v>
      </c>
      <c r="C25">
        <v>1.5789473684210527</v>
      </c>
      <c r="D25">
        <v>0.46726247554754324</v>
      </c>
      <c r="E25">
        <v>0.22775510204081631</v>
      </c>
      <c r="F25">
        <v>0.45714285714285713</v>
      </c>
      <c r="G25">
        <v>35</v>
      </c>
      <c r="H25">
        <v>25.6</v>
      </c>
      <c r="I25">
        <v>4.9917496646446423E-2</v>
      </c>
    </row>
    <row r="26" spans="1:9" x14ac:dyDescent="0.2">
      <c r="A26" t="s">
        <v>87</v>
      </c>
      <c r="B26" t="s">
        <v>9</v>
      </c>
      <c r="C26">
        <v>1</v>
      </c>
      <c r="D26">
        <v>0.43857927786499212</v>
      </c>
      <c r="E26">
        <v>0.216796875</v>
      </c>
      <c r="F26">
        <v>0.4375</v>
      </c>
      <c r="G26">
        <v>32</v>
      </c>
      <c r="H26">
        <v>27.5</v>
      </c>
      <c r="I26">
        <v>2.1605194743527345E-2</v>
      </c>
    </row>
    <row r="27" spans="1:9" x14ac:dyDescent="0.2">
      <c r="A27" t="s">
        <v>87</v>
      </c>
      <c r="B27" t="s">
        <v>27</v>
      </c>
      <c r="C27">
        <v>0.78947368421052633</v>
      </c>
      <c r="D27">
        <v>0.50228791253290161</v>
      </c>
      <c r="E27">
        <v>0.2097959183673469</v>
      </c>
      <c r="F27">
        <v>0.42857142857142855</v>
      </c>
      <c r="G27">
        <v>35</v>
      </c>
      <c r="H27">
        <v>28</v>
      </c>
      <c r="I27">
        <v>2.6650363845724664E-2</v>
      </c>
    </row>
    <row r="28" spans="1:9" x14ac:dyDescent="0.2">
      <c r="A28" t="s">
        <v>87</v>
      </c>
      <c r="B28" t="s">
        <v>28</v>
      </c>
      <c r="C28">
        <v>1.263157894736842</v>
      </c>
      <c r="D28">
        <v>0.41742513721948171</v>
      </c>
      <c r="E28">
        <v>0.19896193771626297</v>
      </c>
      <c r="F28">
        <v>0.41176470588235292</v>
      </c>
      <c r="G28">
        <v>34</v>
      </c>
      <c r="H28">
        <v>27.5</v>
      </c>
      <c r="I28">
        <v>2.3089068008879499E-2</v>
      </c>
    </row>
    <row r="29" spans="1:9" x14ac:dyDescent="0.2">
      <c r="A29" t="s">
        <v>87</v>
      </c>
      <c r="B29" t="s">
        <v>11</v>
      </c>
      <c r="C29">
        <v>1.236842105263158</v>
      </c>
      <c r="D29">
        <v>0.43066656517216018</v>
      </c>
      <c r="E29">
        <v>0.19140625</v>
      </c>
      <c r="F29">
        <v>0.40625</v>
      </c>
      <c r="G29">
        <v>32</v>
      </c>
      <c r="H29">
        <v>27.1</v>
      </c>
      <c r="I29">
        <v>3.2265340281817212E-2</v>
      </c>
    </row>
    <row r="30" spans="1:9" x14ac:dyDescent="0.2">
      <c r="A30" t="s">
        <v>87</v>
      </c>
      <c r="B30" t="s">
        <v>3</v>
      </c>
      <c r="C30">
        <v>1.631578947368421</v>
      </c>
      <c r="D30">
        <v>0.45122079958979905</v>
      </c>
      <c r="E30">
        <v>0.19250780437044743</v>
      </c>
      <c r="F30">
        <v>0.38709677419354838</v>
      </c>
      <c r="G30">
        <v>31</v>
      </c>
      <c r="H30">
        <v>25.3</v>
      </c>
      <c r="I30">
        <v>7.71257968399435E-2</v>
      </c>
    </row>
    <row r="31" spans="1:9" x14ac:dyDescent="0.2">
      <c r="A31" t="s">
        <v>87</v>
      </c>
      <c r="B31" t="s">
        <v>5</v>
      </c>
      <c r="C31">
        <v>1.236842105263158</v>
      </c>
      <c r="D31">
        <v>0.59433521218696805</v>
      </c>
      <c r="E31">
        <v>0.18418314255983351</v>
      </c>
      <c r="F31">
        <v>0.38709677419354838</v>
      </c>
      <c r="G31">
        <v>31</v>
      </c>
      <c r="H31">
        <v>27.7</v>
      </c>
      <c r="I31">
        <v>4.3412196251142579E-2</v>
      </c>
    </row>
    <row r="32" spans="1:9" x14ac:dyDescent="0.2">
      <c r="A32" t="s">
        <v>87</v>
      </c>
      <c r="B32" t="s">
        <v>25</v>
      </c>
      <c r="C32">
        <v>1.8421052631578947</v>
      </c>
      <c r="D32">
        <v>0.57042983398345504</v>
      </c>
      <c r="E32">
        <v>0.18343195266272189</v>
      </c>
      <c r="F32">
        <v>0.38461538461538464</v>
      </c>
      <c r="G32">
        <v>39</v>
      </c>
      <c r="H32">
        <v>25.7</v>
      </c>
      <c r="I32">
        <v>0.11999192772943648</v>
      </c>
    </row>
    <row r="33" spans="1:9" x14ac:dyDescent="0.2">
      <c r="A33" t="s">
        <v>87</v>
      </c>
      <c r="B33" t="s">
        <v>4</v>
      </c>
      <c r="C33">
        <v>1.6842105263157894</v>
      </c>
      <c r="D33">
        <v>0.41869454527682359</v>
      </c>
      <c r="E33">
        <v>0.17355371900826447</v>
      </c>
      <c r="F33">
        <v>0.36363636363636365</v>
      </c>
      <c r="G33">
        <v>33</v>
      </c>
      <c r="H33">
        <v>24.5</v>
      </c>
      <c r="I33">
        <v>7.2211208585097164E-2</v>
      </c>
    </row>
    <row r="34" spans="1:9" x14ac:dyDescent="0.2">
      <c r="A34" t="s">
        <v>87</v>
      </c>
      <c r="B34" t="s">
        <v>14</v>
      </c>
      <c r="C34">
        <v>1.1578947368421053</v>
      </c>
      <c r="D34">
        <v>0.40667732834989506</v>
      </c>
      <c r="E34">
        <v>0.13671875</v>
      </c>
      <c r="F34">
        <v>0.3125</v>
      </c>
      <c r="G34">
        <v>32</v>
      </c>
      <c r="H34">
        <v>27.9</v>
      </c>
      <c r="I34">
        <v>2.2780422369686248E-2</v>
      </c>
    </row>
    <row r="35" spans="1:9" x14ac:dyDescent="0.2">
      <c r="A35" t="s">
        <v>87</v>
      </c>
      <c r="B35" t="s">
        <v>6</v>
      </c>
      <c r="C35">
        <v>1.0263157894736843</v>
      </c>
      <c r="D35">
        <v>0.47916666666666657</v>
      </c>
      <c r="E35">
        <v>0.12802768166089967</v>
      </c>
      <c r="F35">
        <v>0.29411764705882354</v>
      </c>
      <c r="G35">
        <v>34</v>
      </c>
      <c r="H35">
        <v>25.6</v>
      </c>
      <c r="I35">
        <v>3.3238761143888219E-2</v>
      </c>
    </row>
    <row r="36" spans="1:9" x14ac:dyDescent="0.2">
      <c r="A36" t="s">
        <v>87</v>
      </c>
      <c r="B36" t="s">
        <v>31</v>
      </c>
      <c r="C36">
        <v>1.9736842105263157</v>
      </c>
      <c r="D36">
        <v>0.51768793430195825</v>
      </c>
      <c r="E36">
        <v>0.16015625</v>
      </c>
      <c r="F36">
        <v>0.28125</v>
      </c>
      <c r="G36">
        <v>32</v>
      </c>
      <c r="H36">
        <v>25.9</v>
      </c>
      <c r="I36">
        <v>9.8469829888768859E-2</v>
      </c>
    </row>
    <row r="37" spans="1:9" x14ac:dyDescent="0.2">
      <c r="A37" t="s">
        <v>87</v>
      </c>
      <c r="B37" t="s">
        <v>8</v>
      </c>
      <c r="C37">
        <v>1.4736842105263157</v>
      </c>
      <c r="D37">
        <v>0.53904891136742128</v>
      </c>
      <c r="E37">
        <v>0.1328125</v>
      </c>
      <c r="F37">
        <v>0.28125</v>
      </c>
      <c r="G37">
        <v>32</v>
      </c>
      <c r="H37">
        <v>26.4</v>
      </c>
      <c r="I37">
        <v>3.1042628711167038E-2</v>
      </c>
    </row>
    <row r="38" spans="1:9" x14ac:dyDescent="0.2">
      <c r="A38" t="s">
        <v>87</v>
      </c>
      <c r="B38" t="s">
        <v>26</v>
      </c>
      <c r="C38">
        <v>0.92105263157894735</v>
      </c>
      <c r="D38">
        <v>0.41202805165230411</v>
      </c>
      <c r="E38">
        <v>0.12666666666666668</v>
      </c>
      <c r="F38">
        <v>0.26666666666666666</v>
      </c>
      <c r="G38">
        <v>30</v>
      </c>
      <c r="H38">
        <v>27</v>
      </c>
      <c r="I38">
        <v>2.7801849499637935E-2</v>
      </c>
    </row>
    <row r="39" spans="1:9" x14ac:dyDescent="0.2">
      <c r="A39" t="s">
        <v>87</v>
      </c>
      <c r="B39" t="s">
        <v>24</v>
      </c>
      <c r="C39">
        <v>2.2894736842105261</v>
      </c>
      <c r="D39">
        <v>0.55768655600418726</v>
      </c>
      <c r="E39">
        <v>0.1171875</v>
      </c>
      <c r="F39">
        <v>0.25</v>
      </c>
      <c r="G39">
        <v>32</v>
      </c>
      <c r="H39">
        <v>27</v>
      </c>
      <c r="I39">
        <v>0.13230214033879795</v>
      </c>
    </row>
    <row r="40" spans="1:9" x14ac:dyDescent="0.2">
      <c r="A40" t="s">
        <v>87</v>
      </c>
      <c r="B40" t="s">
        <v>13</v>
      </c>
      <c r="C40">
        <v>1.4210526315789473</v>
      </c>
      <c r="D40">
        <v>0.3928571428571429</v>
      </c>
      <c r="E40">
        <v>9.9489795918367346E-2</v>
      </c>
      <c r="F40">
        <v>0.21428571428571427</v>
      </c>
      <c r="G40">
        <v>28</v>
      </c>
      <c r="H40">
        <v>27.5</v>
      </c>
      <c r="I40">
        <v>2.6234879331426063E-2</v>
      </c>
    </row>
    <row r="41" spans="1:9" x14ac:dyDescent="0.2">
      <c r="A41" t="s">
        <v>87</v>
      </c>
      <c r="B41" t="s">
        <v>30</v>
      </c>
      <c r="C41">
        <v>2.0789473684210527</v>
      </c>
      <c r="D41">
        <v>0.47077523703290558</v>
      </c>
      <c r="E41">
        <v>0.11834319526627221</v>
      </c>
      <c r="F41">
        <v>0.15384615384615385</v>
      </c>
      <c r="G41">
        <v>26</v>
      </c>
      <c r="H41">
        <v>28.7</v>
      </c>
      <c r="I41">
        <v>0.1064233905910564</v>
      </c>
    </row>
    <row r="42" spans="1:9" x14ac:dyDescent="0.2">
      <c r="A42" t="s">
        <v>101</v>
      </c>
      <c r="B42" t="s">
        <v>36</v>
      </c>
      <c r="C42">
        <v>1.1052631578947369</v>
      </c>
      <c r="D42">
        <v>0.55452888786222143</v>
      </c>
      <c r="E42">
        <v>0.30103806228373703</v>
      </c>
      <c r="F42">
        <v>0.52941176470588236</v>
      </c>
      <c r="G42">
        <v>34</v>
      </c>
      <c r="H42">
        <v>27.5</v>
      </c>
      <c r="I42">
        <v>2.0563891124591654E-2</v>
      </c>
    </row>
    <row r="43" spans="1:9" x14ac:dyDescent="0.2">
      <c r="A43" t="s">
        <v>101</v>
      </c>
      <c r="B43" t="s">
        <v>4</v>
      </c>
      <c r="C43">
        <v>1.8421052631578947</v>
      </c>
      <c r="D43">
        <v>0.39009341483104598</v>
      </c>
      <c r="E43">
        <v>0.27023319615912206</v>
      </c>
      <c r="F43">
        <v>0.48148148148148145</v>
      </c>
      <c r="G43">
        <v>27</v>
      </c>
      <c r="H43">
        <v>24.2</v>
      </c>
      <c r="I43">
        <v>7.6543372519313382E-2</v>
      </c>
    </row>
    <row r="44" spans="1:9" x14ac:dyDescent="0.2">
      <c r="A44" t="s">
        <v>101</v>
      </c>
      <c r="B44" t="s">
        <v>28</v>
      </c>
      <c r="C44">
        <v>1.1052631578947369</v>
      </c>
      <c r="D44">
        <v>0.43730600031263278</v>
      </c>
      <c r="E44">
        <v>0.24221453287197231</v>
      </c>
      <c r="F44">
        <v>0.47058823529411764</v>
      </c>
      <c r="G44">
        <v>34</v>
      </c>
      <c r="H44">
        <v>27.5</v>
      </c>
      <c r="I44">
        <v>2.7933133389460338E-2</v>
      </c>
    </row>
    <row r="45" spans="1:9" x14ac:dyDescent="0.2">
      <c r="A45" t="s">
        <v>101</v>
      </c>
      <c r="B45" t="s">
        <v>12</v>
      </c>
      <c r="C45">
        <v>0.44736842105263158</v>
      </c>
      <c r="D45">
        <v>0.42344712365658421</v>
      </c>
      <c r="E45">
        <v>0.21632653061224488</v>
      </c>
      <c r="F45">
        <v>0.42857142857142855</v>
      </c>
      <c r="G45">
        <v>35</v>
      </c>
      <c r="H45">
        <v>26.2</v>
      </c>
      <c r="I45">
        <v>2.4279388970426283E-2</v>
      </c>
    </row>
    <row r="46" spans="1:9" x14ac:dyDescent="0.2">
      <c r="A46" t="s">
        <v>101</v>
      </c>
      <c r="B46" t="s">
        <v>5</v>
      </c>
      <c r="C46">
        <v>1.236842105263158</v>
      </c>
      <c r="D46">
        <v>0.5741990648934816</v>
      </c>
      <c r="E46">
        <v>0.21306122448979589</v>
      </c>
      <c r="F46">
        <v>0.42857142857142855</v>
      </c>
      <c r="G46">
        <v>35</v>
      </c>
      <c r="H46">
        <v>26.5</v>
      </c>
      <c r="I46">
        <v>5.1430312287079331E-2</v>
      </c>
    </row>
    <row r="47" spans="1:9" x14ac:dyDescent="0.2">
      <c r="A47" t="s">
        <v>101</v>
      </c>
      <c r="B47" t="s">
        <v>35</v>
      </c>
      <c r="C47">
        <v>0.89473684210526316</v>
      </c>
      <c r="D47">
        <v>0.38575810052369142</v>
      </c>
      <c r="E47">
        <v>0.1977777777777778</v>
      </c>
      <c r="F47">
        <v>0.4</v>
      </c>
      <c r="G47">
        <v>30</v>
      </c>
      <c r="H47">
        <v>27.7</v>
      </c>
      <c r="I47">
        <v>2.4063251976624268E-2</v>
      </c>
    </row>
    <row r="48" spans="1:9" x14ac:dyDescent="0.2">
      <c r="A48" t="s">
        <v>101</v>
      </c>
      <c r="B48" t="s">
        <v>25</v>
      </c>
      <c r="C48">
        <v>1.736842105263158</v>
      </c>
      <c r="D48">
        <v>0.49098729674269259</v>
      </c>
      <c r="E48">
        <v>0.18559556786703602</v>
      </c>
      <c r="F48">
        <v>0.39473684210526316</v>
      </c>
      <c r="G48">
        <v>38</v>
      </c>
      <c r="H48">
        <v>25.4</v>
      </c>
      <c r="I48">
        <v>9.0540815927443841E-2</v>
      </c>
    </row>
    <row r="49" spans="1:9" x14ac:dyDescent="0.2">
      <c r="A49" t="s">
        <v>101</v>
      </c>
      <c r="B49" t="s">
        <v>3</v>
      </c>
      <c r="C49">
        <v>1.5789473684210527</v>
      </c>
      <c r="D49">
        <v>0.56312842989208467</v>
      </c>
      <c r="E49">
        <v>0.18518518518518517</v>
      </c>
      <c r="F49">
        <v>0.3888888888888889</v>
      </c>
      <c r="G49">
        <v>36</v>
      </c>
      <c r="H49">
        <v>24.9</v>
      </c>
      <c r="I49">
        <v>7.7243244689719909E-2</v>
      </c>
    </row>
    <row r="50" spans="1:9" x14ac:dyDescent="0.2">
      <c r="A50" t="s">
        <v>101</v>
      </c>
      <c r="B50" t="s">
        <v>7</v>
      </c>
      <c r="C50">
        <v>1.6578947368421053</v>
      </c>
      <c r="D50">
        <v>0.42264291017074967</v>
      </c>
      <c r="E50">
        <v>0.16326530612244899</v>
      </c>
      <c r="F50">
        <v>0.35714285714285715</v>
      </c>
      <c r="G50">
        <v>28</v>
      </c>
      <c r="H50">
        <v>26</v>
      </c>
      <c r="I50">
        <v>4.6417992478432618E-2</v>
      </c>
    </row>
    <row r="51" spans="1:9" x14ac:dyDescent="0.2">
      <c r="A51" t="s">
        <v>101</v>
      </c>
      <c r="B51" t="s">
        <v>14</v>
      </c>
      <c r="C51">
        <v>1.131578947368421</v>
      </c>
      <c r="D51">
        <v>0.39323607427055696</v>
      </c>
      <c r="E51">
        <v>0.154296875</v>
      </c>
      <c r="F51">
        <v>0.34375</v>
      </c>
      <c r="G51">
        <v>32</v>
      </c>
      <c r="H51">
        <v>28.6</v>
      </c>
      <c r="I51">
        <v>2.3281041903816978E-2</v>
      </c>
    </row>
    <row r="52" spans="1:9" x14ac:dyDescent="0.2">
      <c r="A52" t="s">
        <v>101</v>
      </c>
      <c r="B52" t="s">
        <v>9</v>
      </c>
      <c r="C52">
        <v>1.0263157894736843</v>
      </c>
      <c r="D52">
        <v>0.38025195778004778</v>
      </c>
      <c r="E52">
        <v>0.14506172839506171</v>
      </c>
      <c r="F52">
        <v>0.33333333333333331</v>
      </c>
      <c r="G52">
        <v>36</v>
      </c>
      <c r="H52">
        <v>27.2</v>
      </c>
      <c r="I52">
        <v>2.2900229105213429E-2</v>
      </c>
    </row>
    <row r="53" spans="1:9" x14ac:dyDescent="0.2">
      <c r="A53" t="s">
        <v>101</v>
      </c>
      <c r="B53" t="s">
        <v>33</v>
      </c>
      <c r="C53">
        <v>2.1315789473684212</v>
      </c>
      <c r="D53">
        <v>0.50339400492581243</v>
      </c>
      <c r="E53">
        <v>0.14128943758573387</v>
      </c>
      <c r="F53">
        <v>0.33333333333333331</v>
      </c>
      <c r="G53">
        <v>27</v>
      </c>
      <c r="H53">
        <v>27.3</v>
      </c>
      <c r="I53">
        <v>3.3161590191909063E-2</v>
      </c>
    </row>
    <row r="54" spans="1:9" x14ac:dyDescent="0.2">
      <c r="A54" t="s">
        <v>101</v>
      </c>
      <c r="B54" t="s">
        <v>11</v>
      </c>
      <c r="C54">
        <v>1.631578947368421</v>
      </c>
      <c r="D54">
        <v>0.46859823936689715</v>
      </c>
      <c r="E54">
        <v>0.13609467455621299</v>
      </c>
      <c r="F54">
        <v>0.33333333333333331</v>
      </c>
      <c r="G54">
        <v>39</v>
      </c>
      <c r="H54">
        <v>26.4</v>
      </c>
      <c r="I54">
        <v>4.1442724725866249E-2</v>
      </c>
    </row>
    <row r="55" spans="1:9" x14ac:dyDescent="0.2">
      <c r="A55" t="s">
        <v>101</v>
      </c>
      <c r="B55" t="s">
        <v>6</v>
      </c>
      <c r="C55">
        <v>0.97368421052631582</v>
      </c>
      <c r="D55">
        <v>0.47979797979797989</v>
      </c>
      <c r="E55">
        <v>0.15120525931336742</v>
      </c>
      <c r="F55">
        <v>0.32432432432432434</v>
      </c>
      <c r="G55">
        <v>37</v>
      </c>
      <c r="H55">
        <v>25.2</v>
      </c>
      <c r="I55">
        <v>4.0757261688379856E-2</v>
      </c>
    </row>
    <row r="56" spans="1:9" x14ac:dyDescent="0.2">
      <c r="A56" t="s">
        <v>101</v>
      </c>
      <c r="B56" t="s">
        <v>8</v>
      </c>
      <c r="C56">
        <v>1.236842105263158</v>
      </c>
      <c r="D56">
        <v>0.43420210333790599</v>
      </c>
      <c r="E56">
        <v>0.11550468262226847</v>
      </c>
      <c r="F56">
        <v>0.29032258064516131</v>
      </c>
      <c r="G56">
        <v>31</v>
      </c>
      <c r="H56">
        <v>27.5</v>
      </c>
      <c r="I56">
        <v>3.0012165425079715E-2</v>
      </c>
    </row>
    <row r="57" spans="1:9" x14ac:dyDescent="0.2">
      <c r="A57" t="s">
        <v>101</v>
      </c>
      <c r="B57" t="s">
        <v>31</v>
      </c>
      <c r="C57">
        <v>1.868421052631579</v>
      </c>
      <c r="D57">
        <v>0.54040049889931763</v>
      </c>
      <c r="E57">
        <v>0.15500685871056241</v>
      </c>
      <c r="F57">
        <v>0.25925925925925924</v>
      </c>
      <c r="G57">
        <v>27</v>
      </c>
      <c r="H57">
        <v>26.6</v>
      </c>
      <c r="I57">
        <v>9.4246021535478369E-2</v>
      </c>
    </row>
    <row r="58" spans="1:9" x14ac:dyDescent="0.2">
      <c r="A58" t="s">
        <v>101</v>
      </c>
      <c r="B58" t="s">
        <v>1</v>
      </c>
      <c r="C58">
        <v>1.736842105263158</v>
      </c>
      <c r="D58">
        <v>0.49428900427698863</v>
      </c>
      <c r="E58">
        <v>0.14612244897959181</v>
      </c>
      <c r="F58">
        <v>0.25714285714285712</v>
      </c>
      <c r="G58">
        <v>35</v>
      </c>
      <c r="H58">
        <v>27.8</v>
      </c>
      <c r="I58">
        <v>0.10278857890955799</v>
      </c>
    </row>
    <row r="59" spans="1:9" x14ac:dyDescent="0.2">
      <c r="A59" t="s">
        <v>101</v>
      </c>
      <c r="B59" t="s">
        <v>18</v>
      </c>
      <c r="C59">
        <v>1.3157894736842106</v>
      </c>
      <c r="D59">
        <v>0.49572240820447422</v>
      </c>
      <c r="E59">
        <v>0.11183673469387753</v>
      </c>
      <c r="F59">
        <v>0.22857142857142856</v>
      </c>
      <c r="G59">
        <v>35</v>
      </c>
      <c r="H59">
        <v>26.4</v>
      </c>
      <c r="I59">
        <v>0.11393507244706187</v>
      </c>
    </row>
    <row r="60" spans="1:9" x14ac:dyDescent="0.2">
      <c r="A60" t="s">
        <v>101</v>
      </c>
      <c r="B60" t="s">
        <v>13</v>
      </c>
      <c r="C60">
        <v>1.3421052631578947</v>
      </c>
      <c r="D60">
        <v>0.45420310981535489</v>
      </c>
      <c r="E60">
        <v>0.10666666666666669</v>
      </c>
      <c r="F60">
        <v>0.2</v>
      </c>
      <c r="G60">
        <v>30</v>
      </c>
      <c r="H60">
        <v>27.5</v>
      </c>
      <c r="I60">
        <v>3.0259179132282016E-2</v>
      </c>
    </row>
    <row r="61" spans="1:9" x14ac:dyDescent="0.2">
      <c r="A61" t="s">
        <v>101</v>
      </c>
      <c r="B61" t="s">
        <v>34</v>
      </c>
      <c r="C61">
        <v>1.1842105263157894</v>
      </c>
      <c r="D61">
        <v>0.43401844026123709</v>
      </c>
      <c r="E61">
        <v>5.0505050505050504E-2</v>
      </c>
      <c r="F61">
        <v>9.0909090909090912E-2</v>
      </c>
      <c r="G61">
        <v>33</v>
      </c>
      <c r="H61">
        <v>28.1</v>
      </c>
      <c r="I61">
        <v>2.8200731572262831E-2</v>
      </c>
    </row>
    <row r="62" spans="1:9" x14ac:dyDescent="0.2">
      <c r="A62" t="s">
        <v>105</v>
      </c>
      <c r="B62" t="s">
        <v>38</v>
      </c>
      <c r="C62">
        <v>1.2105263157894737</v>
      </c>
      <c r="D62">
        <v>0.47228818389057747</v>
      </c>
      <c r="E62">
        <v>0.37777777777777777</v>
      </c>
      <c r="F62">
        <v>0.6</v>
      </c>
      <c r="G62">
        <v>30</v>
      </c>
      <c r="H62">
        <v>26.4</v>
      </c>
      <c r="I62">
        <v>2.2386815594560482E-2</v>
      </c>
    </row>
    <row r="63" spans="1:9" x14ac:dyDescent="0.2">
      <c r="A63" t="s">
        <v>105</v>
      </c>
      <c r="B63" t="s">
        <v>29</v>
      </c>
      <c r="C63">
        <v>1.0526315789473684</v>
      </c>
      <c r="D63">
        <v>0.54102004692709837</v>
      </c>
      <c r="E63">
        <v>0.34888888888888886</v>
      </c>
      <c r="F63">
        <v>0.56666666666666665</v>
      </c>
      <c r="G63">
        <v>30</v>
      </c>
      <c r="H63">
        <v>27.4</v>
      </c>
      <c r="I63">
        <v>1.8232666378609364E-2</v>
      </c>
    </row>
    <row r="64" spans="1:9" x14ac:dyDescent="0.2">
      <c r="A64" t="s">
        <v>105</v>
      </c>
      <c r="B64" t="s">
        <v>7</v>
      </c>
      <c r="C64">
        <v>1.2105263157894737</v>
      </c>
      <c r="D64">
        <v>0.47577193738331175</v>
      </c>
      <c r="E64">
        <v>0.24048442906574394</v>
      </c>
      <c r="F64">
        <v>0.47058823529411764</v>
      </c>
      <c r="G64">
        <v>34</v>
      </c>
      <c r="H64">
        <v>25.8</v>
      </c>
      <c r="I64">
        <v>4.4867193108399137E-2</v>
      </c>
    </row>
    <row r="65" spans="1:9" x14ac:dyDescent="0.2">
      <c r="A65" t="s">
        <v>105</v>
      </c>
      <c r="B65" t="s">
        <v>4</v>
      </c>
      <c r="C65">
        <v>2.263157894736842</v>
      </c>
      <c r="D65">
        <v>0.51090568963678429</v>
      </c>
      <c r="E65">
        <v>0.2033293697978597</v>
      </c>
      <c r="F65">
        <v>0.41379310344827586</v>
      </c>
      <c r="G65">
        <v>29</v>
      </c>
      <c r="H65">
        <v>24.9</v>
      </c>
      <c r="I65">
        <v>9.248170439196661E-2</v>
      </c>
    </row>
    <row r="66" spans="1:9" x14ac:dyDescent="0.2">
      <c r="A66" t="s">
        <v>105</v>
      </c>
      <c r="B66" t="s">
        <v>39</v>
      </c>
      <c r="C66">
        <v>0.73684210526315785</v>
      </c>
      <c r="D66">
        <v>0.45976042590949417</v>
      </c>
      <c r="E66">
        <v>0.205078125</v>
      </c>
      <c r="F66">
        <v>0.40625</v>
      </c>
      <c r="G66">
        <v>32</v>
      </c>
      <c r="H66">
        <v>27.1</v>
      </c>
      <c r="I66">
        <v>2.1910500369144301E-2</v>
      </c>
    </row>
    <row r="67" spans="1:9" x14ac:dyDescent="0.2">
      <c r="A67" t="s">
        <v>105</v>
      </c>
      <c r="B67" t="s">
        <v>28</v>
      </c>
      <c r="C67">
        <v>1.0789473684210527</v>
      </c>
      <c r="D67">
        <v>0.53255704106495871</v>
      </c>
      <c r="E67">
        <v>0.19125000000000003</v>
      </c>
      <c r="F67">
        <v>0.4</v>
      </c>
      <c r="G67">
        <v>40</v>
      </c>
      <c r="H67">
        <v>27.8</v>
      </c>
      <c r="I67">
        <v>3.8858816764935036E-2</v>
      </c>
    </row>
    <row r="68" spans="1:9" x14ac:dyDescent="0.2">
      <c r="A68" t="s">
        <v>105</v>
      </c>
      <c r="B68" t="s">
        <v>14</v>
      </c>
      <c r="C68">
        <v>1.1842105263157894</v>
      </c>
      <c r="D68">
        <v>0.48859180035650629</v>
      </c>
      <c r="E68">
        <v>0.19642857142857142</v>
      </c>
      <c r="F68">
        <v>0.39285714285714285</v>
      </c>
      <c r="G68">
        <v>28</v>
      </c>
      <c r="H68">
        <v>28.9</v>
      </c>
      <c r="I68">
        <v>2.0957869918311937E-2</v>
      </c>
    </row>
    <row r="69" spans="1:9" x14ac:dyDescent="0.2">
      <c r="A69" t="s">
        <v>105</v>
      </c>
      <c r="B69" t="s">
        <v>17</v>
      </c>
      <c r="C69">
        <v>0.89473684210526316</v>
      </c>
      <c r="D69">
        <v>0.42643672117356318</v>
      </c>
      <c r="E69">
        <v>0.18339100346020759</v>
      </c>
      <c r="F69">
        <v>0.38235294117647056</v>
      </c>
      <c r="G69">
        <v>34</v>
      </c>
      <c r="H69">
        <v>27.2</v>
      </c>
      <c r="I69">
        <v>2.3109794061710039E-2</v>
      </c>
    </row>
    <row r="70" spans="1:9" x14ac:dyDescent="0.2">
      <c r="A70" t="s">
        <v>105</v>
      </c>
      <c r="B70" t="s">
        <v>3</v>
      </c>
      <c r="C70">
        <v>2</v>
      </c>
      <c r="D70">
        <v>0.54653340642416171</v>
      </c>
      <c r="E70">
        <v>0.16581632653061223</v>
      </c>
      <c r="F70">
        <v>0.35714285714285715</v>
      </c>
      <c r="G70">
        <v>28</v>
      </c>
      <c r="H70">
        <v>25.6</v>
      </c>
      <c r="I70">
        <v>7.240841989228472E-2</v>
      </c>
    </row>
    <row r="71" spans="1:9" x14ac:dyDescent="0.2">
      <c r="A71" t="s">
        <v>105</v>
      </c>
      <c r="B71" t="s">
        <v>2</v>
      </c>
      <c r="C71">
        <v>1.9736842105263157</v>
      </c>
      <c r="D71">
        <v>0.4940660217412986</v>
      </c>
      <c r="E71">
        <v>0.186264308012487</v>
      </c>
      <c r="F71">
        <v>0.35483870967741937</v>
      </c>
      <c r="G71">
        <v>31</v>
      </c>
      <c r="H71">
        <v>26.6</v>
      </c>
      <c r="I71">
        <v>9.2201018634132062E-2</v>
      </c>
    </row>
    <row r="72" spans="1:9" x14ac:dyDescent="0.2">
      <c r="A72" t="s">
        <v>105</v>
      </c>
      <c r="B72" t="s">
        <v>5</v>
      </c>
      <c r="C72">
        <v>1.6052631578947369</v>
      </c>
      <c r="D72">
        <v>0.53871703028329532</v>
      </c>
      <c r="E72">
        <v>0.15296566077003124</v>
      </c>
      <c r="F72">
        <v>0.35483870967741937</v>
      </c>
      <c r="G72">
        <v>31</v>
      </c>
      <c r="H72">
        <v>27.2</v>
      </c>
      <c r="I72">
        <v>5.2947540682423626E-2</v>
      </c>
    </row>
    <row r="73" spans="1:9" x14ac:dyDescent="0.2">
      <c r="A73" t="s">
        <v>105</v>
      </c>
      <c r="B73" t="s">
        <v>19</v>
      </c>
      <c r="C73">
        <v>1.8157894736842106</v>
      </c>
      <c r="D73">
        <v>0.50013574721449383</v>
      </c>
      <c r="E73">
        <v>0.15265306122448979</v>
      </c>
      <c r="F73">
        <v>0.34285714285714286</v>
      </c>
      <c r="G73">
        <v>35</v>
      </c>
      <c r="H73">
        <v>26.4</v>
      </c>
      <c r="I73">
        <v>9.0406330909796107E-2</v>
      </c>
    </row>
    <row r="74" spans="1:9" x14ac:dyDescent="0.2">
      <c r="A74" t="s">
        <v>105</v>
      </c>
      <c r="B74" t="s">
        <v>11</v>
      </c>
      <c r="C74">
        <v>1.1842105263157894</v>
      </c>
      <c r="D74">
        <v>0.44876445755405653</v>
      </c>
      <c r="E74">
        <v>0.14265927977839335</v>
      </c>
      <c r="F74">
        <v>0.34210526315789475</v>
      </c>
      <c r="G74">
        <v>38</v>
      </c>
      <c r="H74">
        <v>26.5</v>
      </c>
      <c r="I74">
        <v>4.6449240107102878E-2</v>
      </c>
    </row>
    <row r="75" spans="1:9" x14ac:dyDescent="0.2">
      <c r="A75" t="s">
        <v>105</v>
      </c>
      <c r="B75" t="s">
        <v>9</v>
      </c>
      <c r="C75">
        <v>0.63157894736842102</v>
      </c>
      <c r="D75">
        <v>0.43009641873278226</v>
      </c>
      <c r="E75">
        <v>0.13609467455621299</v>
      </c>
      <c r="F75">
        <v>0.33333333333333331</v>
      </c>
      <c r="G75">
        <v>39</v>
      </c>
      <c r="H75">
        <v>26.5</v>
      </c>
      <c r="I75">
        <v>2.2454860626762791E-2</v>
      </c>
    </row>
    <row r="76" spans="1:9" x14ac:dyDescent="0.2">
      <c r="A76" t="s">
        <v>105</v>
      </c>
      <c r="B76" t="s">
        <v>40</v>
      </c>
      <c r="C76">
        <v>1.1578947368421053</v>
      </c>
      <c r="D76">
        <v>0.47493711410930717</v>
      </c>
      <c r="E76">
        <v>0.12244897959183673</v>
      </c>
      <c r="F76">
        <v>0.2857142857142857</v>
      </c>
      <c r="G76">
        <v>28</v>
      </c>
      <c r="H76">
        <v>27.3</v>
      </c>
      <c r="I76">
        <v>3.7195115727588518E-2</v>
      </c>
    </row>
    <row r="77" spans="1:9" x14ac:dyDescent="0.2">
      <c r="A77" t="s">
        <v>105</v>
      </c>
      <c r="B77" t="s">
        <v>37</v>
      </c>
      <c r="C77">
        <v>1.0526315789473684</v>
      </c>
      <c r="D77">
        <v>0.41964844861941364</v>
      </c>
      <c r="E77">
        <v>8.3102493074792241E-2</v>
      </c>
      <c r="F77">
        <v>0.23684210526315788</v>
      </c>
      <c r="G77">
        <v>38</v>
      </c>
      <c r="H77">
        <v>28.4</v>
      </c>
      <c r="I77">
        <v>2.9880274765840032E-2</v>
      </c>
    </row>
    <row r="78" spans="1:9" x14ac:dyDescent="0.2">
      <c r="A78" t="s">
        <v>105</v>
      </c>
      <c r="B78" t="s">
        <v>8</v>
      </c>
      <c r="C78">
        <v>1.0789473684210527</v>
      </c>
      <c r="D78">
        <v>0.4809392460570055</v>
      </c>
      <c r="E78">
        <v>0.1088888888888889</v>
      </c>
      <c r="F78">
        <v>0.23333333333333334</v>
      </c>
      <c r="G78">
        <v>30</v>
      </c>
      <c r="H78">
        <v>27.3</v>
      </c>
      <c r="I78">
        <v>2.6724686397457838E-2</v>
      </c>
    </row>
    <row r="79" spans="1:9" x14ac:dyDescent="0.2">
      <c r="A79" t="s">
        <v>105</v>
      </c>
      <c r="B79" t="s">
        <v>13</v>
      </c>
      <c r="C79">
        <v>1.1578947368421053</v>
      </c>
      <c r="D79">
        <v>0.48763440860215057</v>
      </c>
      <c r="E79">
        <v>0.1</v>
      </c>
      <c r="F79">
        <v>0.23333333333333334</v>
      </c>
      <c r="G79">
        <v>30</v>
      </c>
      <c r="H79">
        <v>28.6</v>
      </c>
      <c r="I79">
        <v>3.1640939974074841E-2</v>
      </c>
    </row>
    <row r="80" spans="1:9" x14ac:dyDescent="0.2">
      <c r="A80" t="s">
        <v>105</v>
      </c>
      <c r="B80" t="s">
        <v>24</v>
      </c>
      <c r="C80">
        <v>2.4473684210526314</v>
      </c>
      <c r="D80">
        <v>0.57869788369694775</v>
      </c>
      <c r="E80">
        <v>0.13313609467455623</v>
      </c>
      <c r="F80">
        <v>0.19230769230769232</v>
      </c>
      <c r="G80">
        <v>26</v>
      </c>
      <c r="H80">
        <v>27</v>
      </c>
      <c r="I80">
        <v>0.11681630903331824</v>
      </c>
    </row>
    <row r="81" spans="1:9" x14ac:dyDescent="0.2">
      <c r="A81" t="s">
        <v>105</v>
      </c>
      <c r="B81" t="s">
        <v>1</v>
      </c>
      <c r="C81">
        <v>2.0526315789473686</v>
      </c>
      <c r="D81">
        <v>0.49901442876291102</v>
      </c>
      <c r="E81">
        <v>0.11533888228299644</v>
      </c>
      <c r="F81">
        <v>0.17241379310344829</v>
      </c>
      <c r="G81">
        <v>29</v>
      </c>
      <c r="H81">
        <v>28.1</v>
      </c>
      <c r="I81">
        <v>9.8069902661581429E-2</v>
      </c>
    </row>
    <row r="82" spans="1:9" x14ac:dyDescent="0.2">
      <c r="A82" t="s">
        <v>107</v>
      </c>
      <c r="B82" t="s">
        <v>38</v>
      </c>
      <c r="C82">
        <v>1.1578947368421053</v>
      </c>
      <c r="D82">
        <v>0.49976931949250286</v>
      </c>
      <c r="E82">
        <v>0.38265306122448961</v>
      </c>
      <c r="F82">
        <v>0.6071428571428571</v>
      </c>
      <c r="G82">
        <v>28</v>
      </c>
      <c r="H82">
        <v>26.7</v>
      </c>
      <c r="I82">
        <v>1.7872824648418658E-2</v>
      </c>
    </row>
    <row r="83" spans="1:9" x14ac:dyDescent="0.2">
      <c r="A83" t="s">
        <v>107</v>
      </c>
      <c r="B83" t="s">
        <v>14</v>
      </c>
      <c r="C83">
        <v>0.81578947368421051</v>
      </c>
      <c r="D83">
        <v>0.49687116006007392</v>
      </c>
      <c r="E83">
        <v>0.28125</v>
      </c>
      <c r="F83">
        <v>0.5</v>
      </c>
      <c r="G83">
        <v>32</v>
      </c>
      <c r="H83">
        <v>28.7</v>
      </c>
      <c r="I83">
        <v>2.0525918687924402E-2</v>
      </c>
    </row>
    <row r="84" spans="1:9" x14ac:dyDescent="0.2">
      <c r="A84" t="s">
        <v>107</v>
      </c>
      <c r="B84" t="s">
        <v>41</v>
      </c>
      <c r="C84">
        <v>1.4210526315789473</v>
      </c>
      <c r="D84">
        <v>0.41875013529017024</v>
      </c>
      <c r="E84">
        <v>0.24375743162901323</v>
      </c>
      <c r="F84">
        <v>0.44827586206896552</v>
      </c>
      <c r="G84">
        <v>29</v>
      </c>
      <c r="H84">
        <v>27.3</v>
      </c>
      <c r="I84">
        <v>2.0940271370084973E-2</v>
      </c>
    </row>
    <row r="85" spans="1:9" x14ac:dyDescent="0.2">
      <c r="A85" t="s">
        <v>107</v>
      </c>
      <c r="B85" t="s">
        <v>7</v>
      </c>
      <c r="C85">
        <v>0.94736842105263153</v>
      </c>
      <c r="D85">
        <v>0.437890812890813</v>
      </c>
      <c r="E85">
        <v>0.19341563786008242</v>
      </c>
      <c r="F85">
        <v>0.40740740740740738</v>
      </c>
      <c r="G85">
        <v>27</v>
      </c>
      <c r="H85">
        <v>26</v>
      </c>
      <c r="I85">
        <v>3.6735148239310317E-2</v>
      </c>
    </row>
    <row r="86" spans="1:9" x14ac:dyDescent="0.2">
      <c r="A86" t="s">
        <v>107</v>
      </c>
      <c r="B86" t="s">
        <v>3</v>
      </c>
      <c r="C86">
        <v>1.9736842105263157</v>
      </c>
      <c r="D86">
        <v>0.55291103454368762</v>
      </c>
      <c r="E86">
        <v>0.18002081165452638</v>
      </c>
      <c r="F86">
        <v>0.38709677419354838</v>
      </c>
      <c r="G86">
        <v>31</v>
      </c>
      <c r="H86">
        <v>25.5</v>
      </c>
      <c r="I86">
        <v>0.10606191789632524</v>
      </c>
    </row>
    <row r="87" spans="1:9" x14ac:dyDescent="0.2">
      <c r="A87" t="s">
        <v>107</v>
      </c>
      <c r="B87" t="s">
        <v>11</v>
      </c>
      <c r="C87">
        <v>1.1052631578947369</v>
      </c>
      <c r="D87">
        <v>0.46190916888628047</v>
      </c>
      <c r="E87">
        <v>0.17019722425127837</v>
      </c>
      <c r="F87">
        <v>0.3783783783783784</v>
      </c>
      <c r="G87">
        <v>37</v>
      </c>
      <c r="H87">
        <v>27.6</v>
      </c>
      <c r="I87">
        <v>3.2232928051058152E-2</v>
      </c>
    </row>
    <row r="88" spans="1:9" x14ac:dyDescent="0.2">
      <c r="A88" t="s">
        <v>107</v>
      </c>
      <c r="B88" t="s">
        <v>28</v>
      </c>
      <c r="C88">
        <v>1.1578947368421053</v>
      </c>
      <c r="D88">
        <v>0.54337033261600043</v>
      </c>
      <c r="E88">
        <v>0.16727538349159976</v>
      </c>
      <c r="F88">
        <v>0.3783783783783784</v>
      </c>
      <c r="G88">
        <v>37</v>
      </c>
      <c r="H88">
        <v>27</v>
      </c>
      <c r="I88">
        <v>2.7301512696508306E-2</v>
      </c>
    </row>
    <row r="89" spans="1:9" x14ac:dyDescent="0.2">
      <c r="A89" t="s">
        <v>107</v>
      </c>
      <c r="B89" t="s">
        <v>31</v>
      </c>
      <c r="C89">
        <v>1.6578947368421053</v>
      </c>
      <c r="D89">
        <v>0.55973167412016334</v>
      </c>
      <c r="E89">
        <v>0.17722681359044984</v>
      </c>
      <c r="F89">
        <v>0.36363636363636365</v>
      </c>
      <c r="G89">
        <v>33</v>
      </c>
      <c r="H89">
        <v>26.5</v>
      </c>
      <c r="I89">
        <v>8.583903325953321E-2</v>
      </c>
    </row>
    <row r="90" spans="1:9" x14ac:dyDescent="0.2">
      <c r="A90" t="s">
        <v>107</v>
      </c>
      <c r="B90" t="s">
        <v>43</v>
      </c>
      <c r="C90">
        <v>0.97368421052631582</v>
      </c>
      <c r="D90">
        <v>0.54018637157833438</v>
      </c>
      <c r="E90">
        <v>0.1760204081632652</v>
      </c>
      <c r="F90">
        <v>0.35714285714285715</v>
      </c>
      <c r="G90">
        <v>28</v>
      </c>
      <c r="H90">
        <v>26.2</v>
      </c>
      <c r="I90">
        <v>1.3117045356157776E-2</v>
      </c>
    </row>
    <row r="91" spans="1:9" x14ac:dyDescent="0.2">
      <c r="A91" t="s">
        <v>107</v>
      </c>
      <c r="B91" t="s">
        <v>5</v>
      </c>
      <c r="C91">
        <v>1.2894736842105263</v>
      </c>
      <c r="D91">
        <v>0.45225725094577568</v>
      </c>
      <c r="E91">
        <v>0.14233241505968777</v>
      </c>
      <c r="F91">
        <v>0.33333333333333331</v>
      </c>
      <c r="G91">
        <v>33</v>
      </c>
      <c r="H91">
        <v>26.3</v>
      </c>
      <c r="I91">
        <v>4.7155808977229152E-2</v>
      </c>
    </row>
    <row r="92" spans="1:9" x14ac:dyDescent="0.2">
      <c r="A92" t="s">
        <v>107</v>
      </c>
      <c r="B92" t="s">
        <v>4</v>
      </c>
      <c r="C92">
        <v>2.0263157894736841</v>
      </c>
      <c r="D92">
        <v>0.536025393764063</v>
      </c>
      <c r="E92">
        <v>0.14255983350676379</v>
      </c>
      <c r="F92">
        <v>0.32258064516129031</v>
      </c>
      <c r="G92">
        <v>31</v>
      </c>
      <c r="H92">
        <v>25.8</v>
      </c>
      <c r="I92">
        <v>0.10261104033445065</v>
      </c>
    </row>
    <row r="93" spans="1:9" x14ac:dyDescent="0.2">
      <c r="A93" t="s">
        <v>107</v>
      </c>
      <c r="B93" t="s">
        <v>33</v>
      </c>
      <c r="C93">
        <v>1.236842105263158</v>
      </c>
      <c r="D93">
        <v>0.52720863042383448</v>
      </c>
      <c r="E93">
        <v>0.14047866805411025</v>
      </c>
      <c r="F93">
        <v>0.32258064516129031</v>
      </c>
      <c r="G93">
        <v>31</v>
      </c>
      <c r="H93">
        <v>26.8</v>
      </c>
      <c r="I93">
        <v>3.7631881655926479E-2</v>
      </c>
    </row>
    <row r="94" spans="1:9" x14ac:dyDescent="0.2">
      <c r="A94" t="s">
        <v>107</v>
      </c>
      <c r="B94" t="s">
        <v>8</v>
      </c>
      <c r="C94">
        <v>0.86842105263157898</v>
      </c>
      <c r="D94">
        <v>0.50804497937255211</v>
      </c>
      <c r="E94">
        <v>0.15101070154577884</v>
      </c>
      <c r="F94">
        <v>0.31034482758620691</v>
      </c>
      <c r="G94">
        <v>29</v>
      </c>
      <c r="H94">
        <v>27</v>
      </c>
      <c r="I94">
        <v>2.0469022498732205E-2</v>
      </c>
    </row>
    <row r="95" spans="1:9" x14ac:dyDescent="0.2">
      <c r="A95" t="s">
        <v>107</v>
      </c>
      <c r="B95" t="s">
        <v>42</v>
      </c>
      <c r="C95">
        <v>1.0526315789473684</v>
      </c>
      <c r="D95">
        <v>0.52879612344600235</v>
      </c>
      <c r="E95">
        <v>0.12960760998810938</v>
      </c>
      <c r="F95">
        <v>0.31034482758620691</v>
      </c>
      <c r="G95">
        <v>29</v>
      </c>
      <c r="H95">
        <v>27.4</v>
      </c>
      <c r="I95">
        <v>1.8330467909312424E-2</v>
      </c>
    </row>
    <row r="96" spans="1:9" x14ac:dyDescent="0.2">
      <c r="A96" t="s">
        <v>107</v>
      </c>
      <c r="B96" t="s">
        <v>19</v>
      </c>
      <c r="C96">
        <v>2.1315789473684212</v>
      </c>
      <c r="D96">
        <v>0.52772048583566911</v>
      </c>
      <c r="E96">
        <v>0.10714285714285718</v>
      </c>
      <c r="F96">
        <v>0.25</v>
      </c>
      <c r="G96">
        <v>28</v>
      </c>
      <c r="H96">
        <v>26.3</v>
      </c>
      <c r="I96">
        <v>0.10507241895385225</v>
      </c>
    </row>
    <row r="97" spans="1:9" x14ac:dyDescent="0.2">
      <c r="A97" t="s">
        <v>107</v>
      </c>
      <c r="B97" t="s">
        <v>13</v>
      </c>
      <c r="C97">
        <v>0.86842105263157898</v>
      </c>
      <c r="D97">
        <v>0.53411259541984746</v>
      </c>
      <c r="E97">
        <v>0.1015625</v>
      </c>
      <c r="F97">
        <v>0.25</v>
      </c>
      <c r="G97">
        <v>32</v>
      </c>
      <c r="H97">
        <v>27.5</v>
      </c>
      <c r="I97">
        <v>2.3803633934866231E-2</v>
      </c>
    </row>
    <row r="98" spans="1:9" x14ac:dyDescent="0.2">
      <c r="A98" t="s">
        <v>107</v>
      </c>
      <c r="B98" t="s">
        <v>37</v>
      </c>
      <c r="C98">
        <v>1.0789473684210527</v>
      </c>
      <c r="D98">
        <v>0.46376050420168063</v>
      </c>
      <c r="E98">
        <v>9.7222222222222252E-2</v>
      </c>
      <c r="F98">
        <v>0.25</v>
      </c>
      <c r="G98">
        <v>36</v>
      </c>
      <c r="H98">
        <v>27.6</v>
      </c>
      <c r="I98">
        <v>2.4242724090588627E-2</v>
      </c>
    </row>
    <row r="99" spans="1:9" x14ac:dyDescent="0.2">
      <c r="A99" t="s">
        <v>107</v>
      </c>
      <c r="B99" t="s">
        <v>1</v>
      </c>
      <c r="C99">
        <v>2.6315789473684212</v>
      </c>
      <c r="D99">
        <v>0.52229930624380583</v>
      </c>
      <c r="E99">
        <v>0.12130177514792902</v>
      </c>
      <c r="F99">
        <v>0.23076923076923078</v>
      </c>
      <c r="G99">
        <v>26</v>
      </c>
      <c r="H99">
        <v>26</v>
      </c>
      <c r="I99">
        <v>0.12492424148721691</v>
      </c>
    </row>
    <row r="100" spans="1:9" x14ac:dyDescent="0.2">
      <c r="A100" t="s">
        <v>107</v>
      </c>
      <c r="B100" t="s">
        <v>18</v>
      </c>
      <c r="C100">
        <v>1.8421052631578947</v>
      </c>
      <c r="D100">
        <v>0.54263769403718531</v>
      </c>
      <c r="E100">
        <v>0.1171875</v>
      </c>
      <c r="F100">
        <v>0.21875</v>
      </c>
      <c r="G100">
        <v>32</v>
      </c>
      <c r="H100">
        <v>26.6</v>
      </c>
      <c r="I100">
        <v>0.10937055498521936</v>
      </c>
    </row>
    <row r="101" spans="1:9" x14ac:dyDescent="0.2">
      <c r="A101" t="s">
        <v>107</v>
      </c>
      <c r="B101" t="s">
        <v>44</v>
      </c>
      <c r="C101">
        <v>1.1578947368421053</v>
      </c>
      <c r="D101">
        <v>0.45824497525973962</v>
      </c>
      <c r="E101">
        <v>9.6938775510204106E-2</v>
      </c>
      <c r="F101">
        <v>0.17857142857142858</v>
      </c>
      <c r="G101">
        <v>28</v>
      </c>
      <c r="H101">
        <v>25.5</v>
      </c>
      <c r="I101">
        <v>2.576160496728469E-2</v>
      </c>
    </row>
  </sheetData>
  <sortState xmlns:xlrd2="http://schemas.microsoft.com/office/spreadsheetml/2017/richdata2" ref="A2:I101">
    <sortCondition ref="A2:A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3298-E8B2-5A4C-AD93-5FCCB4D90F9F}">
  <dimension ref="A1:M101"/>
  <sheetViews>
    <sheetView topLeftCell="C1" workbookViewId="0">
      <selection activeCell="C10" sqref="C10"/>
    </sheetView>
  </sheetViews>
  <sheetFormatPr baseColWidth="10" defaultRowHeight="16" x14ac:dyDescent="0.2"/>
  <cols>
    <col min="1" max="1" width="14.6640625" bestFit="1" customWidth="1"/>
    <col min="2" max="2" width="27.83203125" bestFit="1" customWidth="1"/>
    <col min="3" max="3" width="27.83203125" customWidth="1"/>
    <col min="4" max="4" width="14.6640625" bestFit="1" customWidth="1"/>
    <col min="5" max="5" width="30.83203125" bestFit="1" customWidth="1"/>
  </cols>
  <sheetData>
    <row r="1" spans="1:13" x14ac:dyDescent="0.2">
      <c r="A1" s="7" t="s">
        <v>109</v>
      </c>
      <c r="B1" s="7" t="s">
        <v>129</v>
      </c>
      <c r="D1" s="7" t="s">
        <v>109</v>
      </c>
      <c r="E1" s="7" t="s">
        <v>128</v>
      </c>
      <c r="F1" s="25"/>
      <c r="G1" s="25"/>
      <c r="H1" s="25"/>
      <c r="I1" s="25"/>
      <c r="J1" s="25"/>
      <c r="K1" s="25"/>
      <c r="L1" s="25"/>
      <c r="M1" s="25"/>
    </row>
    <row r="2" spans="1:13" x14ac:dyDescent="0.2">
      <c r="A2">
        <v>2.6315789473684212</v>
      </c>
      <c r="B2">
        <v>0.52229930624380583</v>
      </c>
      <c r="D2">
        <v>2.6315789473684212</v>
      </c>
      <c r="E2">
        <v>0.12130177514792902</v>
      </c>
      <c r="F2" s="25"/>
      <c r="G2" s="25"/>
      <c r="H2" s="25"/>
      <c r="I2" s="25"/>
      <c r="J2" s="25"/>
      <c r="K2" s="25"/>
      <c r="L2" s="25"/>
      <c r="M2" s="25"/>
    </row>
    <row r="3" spans="1:13" x14ac:dyDescent="0.2">
      <c r="A3">
        <v>2.4473684210526314</v>
      </c>
      <c r="B3">
        <v>0.57869788369694775</v>
      </c>
      <c r="D3">
        <v>2.4473684210526314</v>
      </c>
      <c r="E3">
        <v>0.13313609467455623</v>
      </c>
      <c r="F3" s="25"/>
      <c r="G3" s="25"/>
      <c r="H3" s="25"/>
      <c r="I3" s="25"/>
      <c r="J3" s="25"/>
      <c r="K3" s="25"/>
      <c r="L3" s="25"/>
      <c r="M3" s="25"/>
    </row>
    <row r="4" spans="1:13" x14ac:dyDescent="0.2">
      <c r="A4">
        <v>2.2894736842105261</v>
      </c>
      <c r="B4">
        <v>0.55768655600418726</v>
      </c>
      <c r="D4">
        <v>2.2894736842105261</v>
      </c>
      <c r="E4">
        <v>0.1171875</v>
      </c>
      <c r="F4" s="25"/>
      <c r="G4" s="25"/>
      <c r="H4" s="25"/>
      <c r="I4" s="25"/>
      <c r="J4" s="25"/>
      <c r="K4" s="25"/>
      <c r="L4" s="25"/>
      <c r="M4" s="25"/>
    </row>
    <row r="5" spans="1:13" x14ac:dyDescent="0.2">
      <c r="A5">
        <v>2.263157894736842</v>
      </c>
      <c r="B5">
        <v>0.39445438282647588</v>
      </c>
      <c r="D5">
        <v>2.263157894736842</v>
      </c>
      <c r="E5">
        <v>0.11458333333333333</v>
      </c>
      <c r="F5" s="25"/>
      <c r="G5" s="25"/>
      <c r="H5" s="25"/>
      <c r="I5" s="25"/>
      <c r="J5" s="25"/>
      <c r="K5" s="25"/>
      <c r="L5" s="25"/>
      <c r="M5" s="25"/>
    </row>
    <row r="6" spans="1:13" x14ac:dyDescent="0.2">
      <c r="A6">
        <v>2.263157894736842</v>
      </c>
      <c r="B6">
        <v>0.51090568963678429</v>
      </c>
      <c r="D6">
        <v>2.263157894736842</v>
      </c>
      <c r="E6">
        <v>0.2033293697978597</v>
      </c>
      <c r="F6" s="25"/>
      <c r="G6" s="25"/>
      <c r="H6" s="25"/>
      <c r="I6" s="25"/>
      <c r="J6" s="25"/>
      <c r="K6" s="25"/>
      <c r="L6" s="25"/>
      <c r="M6" s="25"/>
    </row>
    <row r="7" spans="1:13" x14ac:dyDescent="0.2">
      <c r="A7">
        <v>2.2105263157894739</v>
      </c>
      <c r="B7">
        <v>0.42816046450250722</v>
      </c>
      <c r="D7">
        <v>2.2105263157894739</v>
      </c>
      <c r="E7">
        <v>0.15111111111111114</v>
      </c>
      <c r="F7" s="25"/>
      <c r="G7" s="25"/>
      <c r="H7" s="25"/>
      <c r="I7" s="25"/>
      <c r="J7" s="25"/>
      <c r="K7" s="25"/>
      <c r="L7" s="25"/>
      <c r="M7" s="25"/>
    </row>
    <row r="8" spans="1:13" x14ac:dyDescent="0.2">
      <c r="A8">
        <v>2.1578947368421053</v>
      </c>
      <c r="B8">
        <v>0.51089925871067354</v>
      </c>
      <c r="D8">
        <v>2.1578947368421053</v>
      </c>
      <c r="E8">
        <v>0.10888888888888887</v>
      </c>
      <c r="F8" s="25"/>
      <c r="G8" s="25"/>
      <c r="H8" s="25"/>
      <c r="I8" s="25"/>
      <c r="J8" s="25"/>
      <c r="K8" s="25"/>
      <c r="L8" s="25"/>
      <c r="M8" s="25"/>
    </row>
    <row r="9" spans="1:13" x14ac:dyDescent="0.2">
      <c r="A9">
        <v>2.1315789473684212</v>
      </c>
      <c r="B9">
        <v>0.50339400492581243</v>
      </c>
      <c r="D9">
        <v>2.1315789473684212</v>
      </c>
      <c r="E9">
        <v>0.14128943758573387</v>
      </c>
      <c r="F9" s="25"/>
      <c r="G9" s="25"/>
      <c r="H9" s="25"/>
      <c r="I9" s="25"/>
      <c r="J9" s="25"/>
      <c r="K9" s="25"/>
      <c r="L9" s="25"/>
      <c r="M9" s="25"/>
    </row>
    <row r="10" spans="1:13" x14ac:dyDescent="0.2">
      <c r="A10">
        <v>2.1315789473684212</v>
      </c>
      <c r="B10">
        <v>0.52772048583566911</v>
      </c>
      <c r="D10">
        <v>2.1315789473684212</v>
      </c>
      <c r="E10">
        <v>0.10714285714285718</v>
      </c>
      <c r="F10" s="25"/>
      <c r="G10" s="25"/>
      <c r="H10" s="25"/>
      <c r="I10" s="25"/>
      <c r="J10" s="25"/>
      <c r="K10" s="25"/>
      <c r="L10" s="25"/>
      <c r="M10" s="25"/>
    </row>
    <row r="11" spans="1:13" x14ac:dyDescent="0.2">
      <c r="A11">
        <v>2.0789473684210527</v>
      </c>
      <c r="B11">
        <v>0.55316599814331513</v>
      </c>
      <c r="D11">
        <v>2.0789473684210527</v>
      </c>
      <c r="E11">
        <v>0.10546875</v>
      </c>
      <c r="F11" s="25"/>
      <c r="G11" s="25"/>
      <c r="H11" s="25"/>
      <c r="I11" s="25"/>
      <c r="J11" s="25"/>
      <c r="K11" s="25"/>
      <c r="L11" s="25"/>
      <c r="M11" s="25"/>
    </row>
    <row r="12" spans="1:13" x14ac:dyDescent="0.2">
      <c r="A12">
        <v>2.0789473684210527</v>
      </c>
      <c r="B12">
        <v>0.47077523703290558</v>
      </c>
      <c r="D12">
        <v>2.0789473684210527</v>
      </c>
      <c r="E12">
        <v>0.11834319526627221</v>
      </c>
      <c r="F12" s="25"/>
      <c r="G12" s="25"/>
      <c r="H12" s="25"/>
      <c r="I12" s="25"/>
      <c r="J12" s="25"/>
      <c r="K12" s="25"/>
      <c r="L12" s="25"/>
      <c r="M12" s="25"/>
    </row>
    <row r="13" spans="1:13" x14ac:dyDescent="0.2">
      <c r="A13">
        <v>2.0526315789473686</v>
      </c>
      <c r="B13">
        <v>0.49901442876291102</v>
      </c>
      <c r="D13">
        <v>2.0526315789473686</v>
      </c>
      <c r="E13">
        <v>0.11533888228299644</v>
      </c>
      <c r="F13" s="25"/>
      <c r="G13" s="25"/>
      <c r="H13" s="25"/>
      <c r="I13" s="25"/>
      <c r="J13" s="25"/>
      <c r="K13" s="25"/>
      <c r="L13" s="25"/>
      <c r="M13" s="25"/>
    </row>
    <row r="14" spans="1:13" x14ac:dyDescent="0.2">
      <c r="A14">
        <v>2.0263157894736841</v>
      </c>
      <c r="B14">
        <v>0.536025393764063</v>
      </c>
      <c r="D14">
        <v>2.0263157894736841</v>
      </c>
      <c r="E14">
        <v>0.14255983350676379</v>
      </c>
      <c r="F14" s="25"/>
      <c r="G14" s="25"/>
      <c r="H14" s="25"/>
      <c r="I14" s="25"/>
      <c r="J14" s="25"/>
      <c r="K14" s="25"/>
      <c r="L14" s="25"/>
      <c r="M14" s="25"/>
    </row>
    <row r="15" spans="1:13" x14ac:dyDescent="0.2">
      <c r="A15">
        <v>2</v>
      </c>
      <c r="B15">
        <v>0.54653340642416171</v>
      </c>
      <c r="D15">
        <v>2</v>
      </c>
      <c r="E15">
        <v>0.16581632653061223</v>
      </c>
      <c r="F15" s="25"/>
      <c r="G15" s="25"/>
      <c r="H15" s="25"/>
      <c r="I15" s="25"/>
      <c r="J15" s="25"/>
      <c r="K15" s="25"/>
      <c r="L15" s="25"/>
      <c r="M15" s="25"/>
    </row>
    <row r="16" spans="1:13" x14ac:dyDescent="0.2">
      <c r="A16">
        <v>1.9736842105263157</v>
      </c>
      <c r="B16">
        <v>0.51768793430195825</v>
      </c>
      <c r="D16">
        <v>1.9736842105263157</v>
      </c>
      <c r="E16">
        <v>0.16015625</v>
      </c>
      <c r="F16" s="25"/>
      <c r="G16" s="25"/>
      <c r="H16" s="25"/>
      <c r="I16" s="25"/>
      <c r="J16" s="25"/>
      <c r="K16" s="25"/>
      <c r="L16" s="25"/>
      <c r="M16" s="25"/>
    </row>
    <row r="17" spans="1:13" x14ac:dyDescent="0.2">
      <c r="A17">
        <v>1.9736842105263157</v>
      </c>
      <c r="B17">
        <v>0.4940660217412986</v>
      </c>
      <c r="D17">
        <v>1.9736842105263157</v>
      </c>
      <c r="E17">
        <v>0.186264308012487</v>
      </c>
      <c r="F17" s="25"/>
      <c r="G17" s="25"/>
      <c r="H17" s="25"/>
      <c r="I17" s="25"/>
      <c r="J17" s="25"/>
      <c r="K17" s="25"/>
      <c r="L17" s="25"/>
      <c r="M17" s="25"/>
    </row>
    <row r="18" spans="1:13" x14ac:dyDescent="0.2">
      <c r="A18">
        <v>1.9736842105263157</v>
      </c>
      <c r="B18">
        <v>0.55291103454368762</v>
      </c>
      <c r="D18">
        <v>1.9736842105263157</v>
      </c>
      <c r="E18">
        <v>0.18002081165452638</v>
      </c>
      <c r="F18" s="25"/>
      <c r="G18" s="25"/>
      <c r="H18" s="25"/>
      <c r="I18" s="25"/>
      <c r="J18" s="25"/>
      <c r="K18" s="25"/>
      <c r="L18" s="25"/>
      <c r="M18" s="25"/>
    </row>
    <row r="19" spans="1:13" x14ac:dyDescent="0.2">
      <c r="A19">
        <v>1.8947368421052631</v>
      </c>
      <c r="B19">
        <v>0.45611111111111113</v>
      </c>
      <c r="D19">
        <v>1.8947368421052631</v>
      </c>
      <c r="E19">
        <v>0.15151515151515141</v>
      </c>
      <c r="F19" s="25"/>
      <c r="G19" s="25"/>
      <c r="H19" s="25"/>
      <c r="I19" s="25"/>
      <c r="J19" s="25"/>
      <c r="K19" s="25"/>
      <c r="L19" s="25"/>
      <c r="M19" s="25"/>
    </row>
    <row r="20" spans="1:13" x14ac:dyDescent="0.2">
      <c r="A20">
        <v>1.868421052631579</v>
      </c>
      <c r="B20">
        <v>0.54040049889931763</v>
      </c>
      <c r="D20">
        <v>1.868421052631579</v>
      </c>
      <c r="E20">
        <v>0.15500685871056241</v>
      </c>
      <c r="F20" s="25"/>
      <c r="G20" s="25"/>
      <c r="H20" s="25"/>
      <c r="I20" s="25"/>
      <c r="J20" s="25"/>
      <c r="K20" s="25"/>
      <c r="L20" s="25"/>
      <c r="M20" s="25"/>
    </row>
    <row r="21" spans="1:13" x14ac:dyDescent="0.2">
      <c r="A21">
        <v>1.8421052631578947</v>
      </c>
      <c r="B21">
        <v>0.57042983398345504</v>
      </c>
      <c r="D21">
        <v>1.8421052631578947</v>
      </c>
      <c r="E21">
        <v>0.18343195266272189</v>
      </c>
      <c r="F21" s="25"/>
      <c r="G21" s="25"/>
      <c r="H21" s="25"/>
      <c r="I21" s="25"/>
      <c r="J21" s="25"/>
      <c r="K21" s="25"/>
      <c r="L21" s="25"/>
      <c r="M21" s="25"/>
    </row>
    <row r="22" spans="1:13" x14ac:dyDescent="0.2">
      <c r="A22">
        <v>1.8421052631578947</v>
      </c>
      <c r="B22">
        <v>0.39009341483104598</v>
      </c>
      <c r="D22">
        <v>1.8421052631578947</v>
      </c>
      <c r="E22">
        <v>0.27023319615912206</v>
      </c>
      <c r="F22" s="25"/>
      <c r="G22" s="25"/>
      <c r="H22" s="25"/>
      <c r="I22" s="25"/>
      <c r="J22" s="25"/>
      <c r="K22" s="25"/>
      <c r="L22" s="25"/>
      <c r="M22" s="25"/>
    </row>
    <row r="23" spans="1:13" x14ac:dyDescent="0.2">
      <c r="A23">
        <v>1.8421052631578947</v>
      </c>
      <c r="B23">
        <v>0.54263769403718531</v>
      </c>
      <c r="D23">
        <v>1.8421052631578947</v>
      </c>
      <c r="E23">
        <v>0.1171875</v>
      </c>
      <c r="F23" s="25"/>
      <c r="G23" s="25"/>
      <c r="H23" s="25"/>
      <c r="I23" s="25"/>
      <c r="J23" s="25"/>
      <c r="K23" s="25"/>
      <c r="L23" s="25"/>
      <c r="M23" s="25"/>
    </row>
    <row r="24" spans="1:13" x14ac:dyDescent="0.2">
      <c r="A24">
        <v>1.8157894736842106</v>
      </c>
      <c r="B24">
        <v>0.43242198765645723</v>
      </c>
      <c r="D24">
        <v>1.8157894736842106</v>
      </c>
      <c r="E24">
        <v>0.20000000000000009</v>
      </c>
      <c r="F24" s="25"/>
      <c r="G24" s="25"/>
      <c r="H24" s="25"/>
      <c r="I24" s="25"/>
      <c r="J24" s="25"/>
      <c r="K24" s="25"/>
      <c r="L24" s="25"/>
      <c r="M24" s="25"/>
    </row>
    <row r="25" spans="1:13" x14ac:dyDescent="0.2">
      <c r="A25">
        <v>1.8157894736842106</v>
      </c>
      <c r="B25">
        <v>0.50013574721449383</v>
      </c>
      <c r="D25">
        <v>1.8157894736842106</v>
      </c>
      <c r="E25">
        <v>0.15265306122448979</v>
      </c>
      <c r="F25" s="25"/>
      <c r="G25" s="25"/>
      <c r="H25" s="25"/>
      <c r="I25" s="25"/>
      <c r="J25" s="25"/>
      <c r="K25" s="25"/>
      <c r="L25" s="25"/>
      <c r="M25" s="25"/>
    </row>
    <row r="26" spans="1:13" x14ac:dyDescent="0.2">
      <c r="A26">
        <v>1.736842105263158</v>
      </c>
      <c r="B26">
        <v>0.49098729674269259</v>
      </c>
      <c r="D26">
        <v>1.736842105263158</v>
      </c>
      <c r="E26">
        <v>0.18559556786703602</v>
      </c>
      <c r="F26" s="25"/>
      <c r="G26" s="25"/>
      <c r="H26" s="25"/>
      <c r="I26" s="25"/>
      <c r="J26" s="25"/>
      <c r="K26" s="25"/>
      <c r="L26" s="25"/>
      <c r="M26" s="25"/>
    </row>
    <row r="27" spans="1:13" x14ac:dyDescent="0.2">
      <c r="A27">
        <v>1.736842105263158</v>
      </c>
      <c r="B27">
        <v>0.49428900427698863</v>
      </c>
      <c r="D27">
        <v>1.736842105263158</v>
      </c>
      <c r="E27">
        <v>0.14612244897959181</v>
      </c>
      <c r="F27" s="25"/>
      <c r="G27" s="25"/>
      <c r="H27" s="25"/>
      <c r="I27" s="25"/>
      <c r="J27" s="25"/>
      <c r="K27" s="25"/>
      <c r="L27" s="25"/>
      <c r="M27" s="25"/>
    </row>
    <row r="28" spans="1:13" x14ac:dyDescent="0.2">
      <c r="A28">
        <v>1.6842105263157894</v>
      </c>
      <c r="B28">
        <v>0.50007629930620878</v>
      </c>
      <c r="D28">
        <v>1.6842105263157894</v>
      </c>
      <c r="E28">
        <v>0.17647058823529418</v>
      </c>
      <c r="F28" s="25"/>
      <c r="G28" s="25"/>
      <c r="H28" s="25"/>
      <c r="I28" s="25"/>
      <c r="J28" s="25"/>
      <c r="K28" s="25"/>
      <c r="L28" s="25"/>
      <c r="M28" s="25"/>
    </row>
    <row r="29" spans="1:13" x14ac:dyDescent="0.2">
      <c r="A29">
        <v>1.6842105263157894</v>
      </c>
      <c r="B29">
        <v>0.41869454527682359</v>
      </c>
      <c r="D29">
        <v>1.6842105263157894</v>
      </c>
      <c r="E29">
        <v>0.17355371900826447</v>
      </c>
      <c r="F29" s="25"/>
      <c r="G29" s="25"/>
      <c r="H29" s="25"/>
      <c r="I29" s="25"/>
      <c r="J29" s="25"/>
      <c r="K29" s="25"/>
      <c r="L29" s="25"/>
      <c r="M29" s="25"/>
    </row>
    <row r="30" spans="1:13" x14ac:dyDescent="0.2">
      <c r="A30">
        <v>1.6578947368421053</v>
      </c>
      <c r="B30">
        <v>0.42264291017074967</v>
      </c>
      <c r="D30">
        <v>1.6578947368421053</v>
      </c>
      <c r="E30">
        <v>0.16326530612244899</v>
      </c>
      <c r="F30" s="25"/>
      <c r="G30" s="25"/>
      <c r="H30" s="25"/>
      <c r="I30" s="25"/>
      <c r="J30" s="25"/>
      <c r="K30" s="25"/>
      <c r="L30" s="25"/>
      <c r="M30" s="25"/>
    </row>
    <row r="31" spans="1:13" x14ac:dyDescent="0.2">
      <c r="A31">
        <v>1.6578947368421053</v>
      </c>
      <c r="B31">
        <v>0.55973167412016334</v>
      </c>
      <c r="D31">
        <v>1.6578947368421053</v>
      </c>
      <c r="E31">
        <v>0.17722681359044984</v>
      </c>
      <c r="F31" s="25"/>
      <c r="G31" s="25"/>
      <c r="H31" s="25"/>
      <c r="I31" s="25"/>
      <c r="J31" s="25"/>
      <c r="K31" s="25"/>
      <c r="L31" s="25"/>
      <c r="M31" s="25"/>
    </row>
    <row r="32" spans="1:13" x14ac:dyDescent="0.2">
      <c r="A32">
        <v>1.631578947368421</v>
      </c>
      <c r="B32">
        <v>0.45122079958979905</v>
      </c>
      <c r="D32">
        <v>1.631578947368421</v>
      </c>
      <c r="E32">
        <v>0.19250780437044743</v>
      </c>
      <c r="F32" s="25"/>
      <c r="G32" s="25"/>
      <c r="H32" s="25"/>
      <c r="I32" s="25"/>
      <c r="J32" s="25"/>
      <c r="K32" s="25"/>
      <c r="L32" s="25"/>
      <c r="M32" s="25"/>
    </row>
    <row r="33" spans="1:13" x14ac:dyDescent="0.2">
      <c r="A33">
        <v>1.631578947368421</v>
      </c>
      <c r="B33">
        <v>0.46859823936689715</v>
      </c>
      <c r="D33">
        <v>1.631578947368421</v>
      </c>
      <c r="E33">
        <v>0.13609467455621299</v>
      </c>
      <c r="F33" s="25"/>
      <c r="G33" s="25"/>
      <c r="H33" s="25"/>
      <c r="I33" s="25"/>
      <c r="J33" s="25"/>
      <c r="K33" s="25"/>
      <c r="L33" s="25"/>
      <c r="M33" s="25"/>
    </row>
    <row r="34" spans="1:13" x14ac:dyDescent="0.2">
      <c r="A34">
        <v>1.6052631578947369</v>
      </c>
      <c r="B34">
        <v>0.53871703028329532</v>
      </c>
      <c r="D34">
        <v>1.6052631578947369</v>
      </c>
      <c r="E34">
        <v>0.15296566077003124</v>
      </c>
      <c r="F34" s="25"/>
      <c r="G34" s="25"/>
      <c r="H34" s="25"/>
      <c r="I34" s="25"/>
      <c r="J34" s="25"/>
      <c r="K34" s="25"/>
      <c r="L34" s="25"/>
      <c r="M34" s="25"/>
    </row>
    <row r="35" spans="1:13" x14ac:dyDescent="0.2">
      <c r="A35">
        <v>1.5789473684210527</v>
      </c>
      <c r="B35">
        <v>0.46726247554754324</v>
      </c>
      <c r="D35">
        <v>1.5789473684210527</v>
      </c>
      <c r="E35">
        <v>0.22775510204081631</v>
      </c>
      <c r="F35" s="25"/>
      <c r="G35" s="25"/>
      <c r="H35" s="25"/>
      <c r="I35" s="25"/>
      <c r="J35" s="25"/>
      <c r="K35" s="25"/>
      <c r="L35" s="25"/>
      <c r="M35" s="25"/>
    </row>
    <row r="36" spans="1:13" x14ac:dyDescent="0.2">
      <c r="A36">
        <v>1.5789473684210527</v>
      </c>
      <c r="B36">
        <v>0.56312842989208467</v>
      </c>
      <c r="D36">
        <v>1.5789473684210527</v>
      </c>
      <c r="E36">
        <v>0.18518518518518517</v>
      </c>
      <c r="F36" s="25"/>
      <c r="G36" s="25"/>
      <c r="H36" s="25"/>
      <c r="I36" s="25"/>
      <c r="J36" s="25"/>
      <c r="K36" s="25"/>
      <c r="L36" s="25"/>
      <c r="M36" s="25"/>
    </row>
    <row r="37" spans="1:13" x14ac:dyDescent="0.2">
      <c r="A37">
        <v>1.4736842105263157</v>
      </c>
      <c r="B37">
        <v>0.46413181242078588</v>
      </c>
      <c r="D37">
        <v>1.4736842105263157</v>
      </c>
      <c r="E37">
        <v>0.2366863905325445</v>
      </c>
      <c r="F37" s="25"/>
      <c r="G37" s="25"/>
      <c r="H37" s="25"/>
      <c r="I37" s="25"/>
      <c r="J37" s="25"/>
      <c r="K37" s="25"/>
      <c r="L37" s="25"/>
      <c r="M37" s="25"/>
    </row>
    <row r="38" spans="1:13" x14ac:dyDescent="0.2">
      <c r="A38">
        <v>1.4736842105263157</v>
      </c>
      <c r="B38">
        <v>0.53904891136742128</v>
      </c>
      <c r="D38">
        <v>1.4736842105263157</v>
      </c>
      <c r="E38">
        <v>0.1328125</v>
      </c>
      <c r="F38" s="25"/>
      <c r="G38" s="25"/>
      <c r="H38" s="25"/>
      <c r="I38" s="25"/>
      <c r="J38" s="25"/>
      <c r="K38" s="25"/>
      <c r="L38" s="25"/>
      <c r="M38" s="25"/>
    </row>
    <row r="39" spans="1:13" x14ac:dyDescent="0.2">
      <c r="A39">
        <v>1.4210526315789473</v>
      </c>
      <c r="B39">
        <v>0.3928571428571429</v>
      </c>
      <c r="D39">
        <v>1.4210526315789473</v>
      </c>
      <c r="E39">
        <v>9.9489795918367346E-2</v>
      </c>
      <c r="F39" s="25"/>
      <c r="G39" s="25"/>
      <c r="H39" s="25"/>
      <c r="I39" s="25"/>
      <c r="J39" s="25"/>
      <c r="K39" s="25"/>
      <c r="L39" s="25"/>
      <c r="M39" s="25"/>
    </row>
    <row r="40" spans="1:13" x14ac:dyDescent="0.2">
      <c r="A40">
        <v>1.4210526315789473</v>
      </c>
      <c r="B40">
        <v>0.41875013529017024</v>
      </c>
      <c r="D40">
        <v>1.4210526315789473</v>
      </c>
      <c r="E40">
        <v>0.24375743162901323</v>
      </c>
      <c r="F40" s="25"/>
      <c r="G40" s="25"/>
      <c r="H40" s="25"/>
      <c r="I40" s="25"/>
      <c r="J40" s="25"/>
      <c r="K40" s="25"/>
      <c r="L40" s="25"/>
      <c r="M40" s="25"/>
    </row>
    <row r="41" spans="1:13" x14ac:dyDescent="0.2">
      <c r="A41">
        <v>1.3421052631578947</v>
      </c>
      <c r="B41">
        <v>0.45420310981535489</v>
      </c>
      <c r="D41">
        <v>1.3421052631578947</v>
      </c>
      <c r="E41">
        <v>0.10666666666666669</v>
      </c>
      <c r="F41" s="25"/>
      <c r="G41" s="25"/>
      <c r="H41" s="25"/>
      <c r="I41" s="25"/>
      <c r="J41" s="25"/>
      <c r="K41" s="25"/>
      <c r="L41" s="25"/>
      <c r="M41" s="25"/>
    </row>
    <row r="42" spans="1:13" x14ac:dyDescent="0.2">
      <c r="A42">
        <v>1.3157894736842106</v>
      </c>
      <c r="B42">
        <v>0.34285259471505897</v>
      </c>
      <c r="D42">
        <v>1.3157894736842106</v>
      </c>
      <c r="E42">
        <v>0.13111111111111107</v>
      </c>
      <c r="F42" s="25"/>
      <c r="G42" s="25"/>
      <c r="H42" s="25"/>
      <c r="I42" s="25"/>
      <c r="J42" s="25"/>
      <c r="K42" s="25"/>
      <c r="L42" s="25"/>
      <c r="M42" s="25"/>
    </row>
    <row r="43" spans="1:13" x14ac:dyDescent="0.2">
      <c r="A43">
        <v>1.3157894736842106</v>
      </c>
      <c r="B43">
        <v>0.49572240820447422</v>
      </c>
      <c r="D43">
        <v>1.3157894736842106</v>
      </c>
      <c r="E43">
        <v>0.11183673469387753</v>
      </c>
      <c r="F43" s="25"/>
      <c r="G43" s="25"/>
      <c r="H43" s="25"/>
      <c r="I43" s="25"/>
      <c r="J43" s="25"/>
      <c r="K43" s="25"/>
      <c r="L43" s="25"/>
      <c r="M43" s="25"/>
    </row>
    <row r="44" spans="1:13" x14ac:dyDescent="0.2">
      <c r="A44">
        <v>1.2894736842105263</v>
      </c>
      <c r="B44">
        <v>0.47576900754497986</v>
      </c>
      <c r="D44">
        <v>1.2894736842105263</v>
      </c>
      <c r="E44">
        <v>0.1644444444444445</v>
      </c>
      <c r="F44" s="25"/>
      <c r="G44" s="25"/>
      <c r="H44" s="25"/>
      <c r="I44" s="25"/>
      <c r="J44" s="25"/>
      <c r="K44" s="25"/>
      <c r="L44" s="25"/>
      <c r="M44" s="25"/>
    </row>
    <row r="45" spans="1:13" x14ac:dyDescent="0.2">
      <c r="A45">
        <v>1.2894736842105263</v>
      </c>
      <c r="B45">
        <v>0.45225725094577568</v>
      </c>
      <c r="D45">
        <v>1.2894736842105263</v>
      </c>
      <c r="E45">
        <v>0.14233241505968777</v>
      </c>
      <c r="F45" s="25"/>
      <c r="G45" s="25"/>
      <c r="H45" s="25"/>
      <c r="I45" s="25"/>
      <c r="J45" s="25"/>
      <c r="K45" s="25"/>
      <c r="L45" s="25"/>
      <c r="M45" s="25"/>
    </row>
    <row r="46" spans="1:13" x14ac:dyDescent="0.2">
      <c r="A46">
        <v>1.263157894736842</v>
      </c>
      <c r="B46">
        <v>0.41742513721948171</v>
      </c>
      <c r="D46">
        <v>1.263157894736842</v>
      </c>
      <c r="E46">
        <v>0.19896193771626297</v>
      </c>
    </row>
    <row r="47" spans="1:13" x14ac:dyDescent="0.2">
      <c r="A47">
        <v>1.236842105263158</v>
      </c>
      <c r="B47">
        <v>0.43066656517216018</v>
      </c>
      <c r="D47">
        <v>1.236842105263158</v>
      </c>
      <c r="E47">
        <v>0.19140625</v>
      </c>
    </row>
    <row r="48" spans="1:13" x14ac:dyDescent="0.2">
      <c r="A48">
        <v>1.236842105263158</v>
      </c>
      <c r="B48">
        <v>0.59433521218696805</v>
      </c>
      <c r="D48">
        <v>1.236842105263158</v>
      </c>
      <c r="E48">
        <v>0.18418314255983351</v>
      </c>
    </row>
    <row r="49" spans="1:5" x14ac:dyDescent="0.2">
      <c r="A49">
        <v>1.236842105263158</v>
      </c>
      <c r="B49">
        <v>0.5741990648934816</v>
      </c>
      <c r="D49">
        <v>1.236842105263158</v>
      </c>
      <c r="E49">
        <v>0.21306122448979589</v>
      </c>
    </row>
    <row r="50" spans="1:5" x14ac:dyDescent="0.2">
      <c r="A50">
        <v>1.236842105263158</v>
      </c>
      <c r="B50">
        <v>0.43420210333790599</v>
      </c>
      <c r="D50">
        <v>1.236842105263158</v>
      </c>
      <c r="E50">
        <v>0.11550468262226847</v>
      </c>
    </row>
    <row r="51" spans="1:5" x14ac:dyDescent="0.2">
      <c r="A51">
        <v>1.236842105263158</v>
      </c>
      <c r="B51">
        <v>0.52720863042383448</v>
      </c>
      <c r="D51">
        <v>1.236842105263158</v>
      </c>
      <c r="E51">
        <v>0.14047866805411025</v>
      </c>
    </row>
    <row r="52" spans="1:5" x14ac:dyDescent="0.2">
      <c r="A52">
        <v>1.2105263157894737</v>
      </c>
      <c r="B52">
        <v>0.47228818389057747</v>
      </c>
      <c r="D52">
        <v>1.2105263157894737</v>
      </c>
      <c r="E52">
        <v>0.37777777777777777</v>
      </c>
    </row>
    <row r="53" spans="1:5" x14ac:dyDescent="0.2">
      <c r="A53">
        <v>1.2105263157894737</v>
      </c>
      <c r="B53">
        <v>0.47577193738331175</v>
      </c>
      <c r="D53">
        <v>1.2105263157894737</v>
      </c>
      <c r="E53">
        <v>0.24048442906574394</v>
      </c>
    </row>
    <row r="54" spans="1:5" x14ac:dyDescent="0.2">
      <c r="A54">
        <v>1.1842105263157894</v>
      </c>
      <c r="B54">
        <v>0.40942629746310721</v>
      </c>
      <c r="D54">
        <v>1.1842105263157894</v>
      </c>
      <c r="E54">
        <v>0.19390581717451519</v>
      </c>
    </row>
    <row r="55" spans="1:5" x14ac:dyDescent="0.2">
      <c r="A55">
        <v>1.1842105263157894</v>
      </c>
      <c r="B55">
        <v>0.43401844026123709</v>
      </c>
      <c r="D55">
        <v>1.1842105263157894</v>
      </c>
      <c r="E55">
        <v>5.0505050505050504E-2</v>
      </c>
    </row>
    <row r="56" spans="1:5" x14ac:dyDescent="0.2">
      <c r="A56">
        <v>1.1842105263157894</v>
      </c>
      <c r="B56">
        <v>0.48859180035650629</v>
      </c>
      <c r="D56">
        <v>1.1842105263157894</v>
      </c>
      <c r="E56">
        <v>0.19642857142857142</v>
      </c>
    </row>
    <row r="57" spans="1:5" x14ac:dyDescent="0.2">
      <c r="A57">
        <v>1.1842105263157894</v>
      </c>
      <c r="B57">
        <v>0.44876445755405653</v>
      </c>
      <c r="D57">
        <v>1.1842105263157894</v>
      </c>
      <c r="E57">
        <v>0.14265927977839335</v>
      </c>
    </row>
    <row r="58" spans="1:5" x14ac:dyDescent="0.2">
      <c r="A58">
        <v>1.1578947368421053</v>
      </c>
      <c r="B58">
        <v>0.40667732834989506</v>
      </c>
      <c r="D58">
        <v>1.1578947368421053</v>
      </c>
      <c r="E58">
        <v>0.13671875</v>
      </c>
    </row>
    <row r="59" spans="1:5" x14ac:dyDescent="0.2">
      <c r="A59">
        <v>1.1578947368421053</v>
      </c>
      <c r="B59">
        <v>0.47493711410930717</v>
      </c>
      <c r="D59">
        <v>1.1578947368421053</v>
      </c>
      <c r="E59">
        <v>0.12244897959183673</v>
      </c>
    </row>
    <row r="60" spans="1:5" x14ac:dyDescent="0.2">
      <c r="A60">
        <v>1.1578947368421053</v>
      </c>
      <c r="B60">
        <v>0.48763440860215057</v>
      </c>
      <c r="D60">
        <v>1.1578947368421053</v>
      </c>
      <c r="E60">
        <v>0.1</v>
      </c>
    </row>
    <row r="61" spans="1:5" x14ac:dyDescent="0.2">
      <c r="A61">
        <v>1.1578947368421053</v>
      </c>
      <c r="B61">
        <v>0.49976931949250286</v>
      </c>
      <c r="D61">
        <v>1.1578947368421053</v>
      </c>
      <c r="E61">
        <v>0.38265306122448961</v>
      </c>
    </row>
    <row r="62" spans="1:5" x14ac:dyDescent="0.2">
      <c r="A62">
        <v>1.1578947368421053</v>
      </c>
      <c r="B62">
        <v>0.54337033261600043</v>
      </c>
      <c r="D62">
        <v>1.1578947368421053</v>
      </c>
      <c r="E62">
        <v>0.16727538349159976</v>
      </c>
    </row>
    <row r="63" spans="1:5" x14ac:dyDescent="0.2">
      <c r="A63">
        <v>1.1578947368421053</v>
      </c>
      <c r="B63">
        <v>0.45824497525973962</v>
      </c>
      <c r="D63">
        <v>1.1578947368421053</v>
      </c>
      <c r="E63">
        <v>9.6938775510204106E-2</v>
      </c>
    </row>
    <row r="64" spans="1:5" x14ac:dyDescent="0.2">
      <c r="A64">
        <v>1.131578947368421</v>
      </c>
      <c r="B64">
        <v>0.39323607427055696</v>
      </c>
      <c r="D64">
        <v>1.131578947368421</v>
      </c>
      <c r="E64">
        <v>0.154296875</v>
      </c>
    </row>
    <row r="65" spans="1:5" x14ac:dyDescent="0.2">
      <c r="A65">
        <v>1.1052631578947369</v>
      </c>
      <c r="B65">
        <v>0.47605485832906141</v>
      </c>
      <c r="D65">
        <v>1.1052631578947369</v>
      </c>
      <c r="E65">
        <v>0.13306122448979596</v>
      </c>
    </row>
    <row r="66" spans="1:5" x14ac:dyDescent="0.2">
      <c r="A66">
        <v>1.1052631578947369</v>
      </c>
      <c r="B66">
        <v>0.55452888786222143</v>
      </c>
      <c r="D66">
        <v>1.1052631578947369</v>
      </c>
      <c r="E66">
        <v>0.30103806228373703</v>
      </c>
    </row>
    <row r="67" spans="1:5" x14ac:dyDescent="0.2">
      <c r="A67">
        <v>1.1052631578947369</v>
      </c>
      <c r="B67">
        <v>0.43730600031263278</v>
      </c>
      <c r="D67">
        <v>1.1052631578947369</v>
      </c>
      <c r="E67">
        <v>0.24221453287197231</v>
      </c>
    </row>
    <row r="68" spans="1:5" x14ac:dyDescent="0.2">
      <c r="A68">
        <v>1.1052631578947369</v>
      </c>
      <c r="B68">
        <v>0.46190916888628047</v>
      </c>
      <c r="D68">
        <v>1.1052631578947369</v>
      </c>
      <c r="E68">
        <v>0.17019722425127837</v>
      </c>
    </row>
    <row r="69" spans="1:5" x14ac:dyDescent="0.2">
      <c r="A69">
        <v>1.0789473684210527</v>
      </c>
      <c r="B69">
        <v>0.49736560291282961</v>
      </c>
      <c r="D69">
        <v>1.0789473684210527</v>
      </c>
      <c r="E69">
        <v>0.24222222222222223</v>
      </c>
    </row>
    <row r="70" spans="1:5" x14ac:dyDescent="0.2">
      <c r="A70">
        <v>1.0789473684210527</v>
      </c>
      <c r="B70">
        <v>0.53255704106495871</v>
      </c>
      <c r="D70">
        <v>1.0789473684210527</v>
      </c>
      <c r="E70">
        <v>0.19125000000000003</v>
      </c>
    </row>
    <row r="71" spans="1:5" x14ac:dyDescent="0.2">
      <c r="A71">
        <v>1.0789473684210527</v>
      </c>
      <c r="B71">
        <v>0.4809392460570055</v>
      </c>
      <c r="D71">
        <v>1.0789473684210527</v>
      </c>
      <c r="E71">
        <v>0.1088888888888889</v>
      </c>
    </row>
    <row r="72" spans="1:5" x14ac:dyDescent="0.2">
      <c r="A72">
        <v>1.0789473684210527</v>
      </c>
      <c r="B72">
        <v>0.46376050420168063</v>
      </c>
      <c r="D72">
        <v>1.0789473684210527</v>
      </c>
      <c r="E72">
        <v>9.7222222222222252E-2</v>
      </c>
    </row>
    <row r="73" spans="1:5" x14ac:dyDescent="0.2">
      <c r="A73">
        <v>1.0526315789473684</v>
      </c>
      <c r="B73">
        <v>0.45737308622078965</v>
      </c>
      <c r="D73">
        <v>1.0526315789473684</v>
      </c>
      <c r="E73">
        <v>0.1987513007284078</v>
      </c>
    </row>
    <row r="74" spans="1:5" x14ac:dyDescent="0.2">
      <c r="A74">
        <v>1.0526315789473684</v>
      </c>
      <c r="B74">
        <v>0.54102004692709837</v>
      </c>
      <c r="D74">
        <v>1.0526315789473684</v>
      </c>
      <c r="E74">
        <v>0.34888888888888886</v>
      </c>
    </row>
    <row r="75" spans="1:5" x14ac:dyDescent="0.2">
      <c r="A75">
        <v>1.0526315789473684</v>
      </c>
      <c r="B75">
        <v>0.41964844861941364</v>
      </c>
      <c r="D75">
        <v>1.0526315789473684</v>
      </c>
      <c r="E75">
        <v>8.3102493074792241E-2</v>
      </c>
    </row>
    <row r="76" spans="1:5" x14ac:dyDescent="0.2">
      <c r="A76">
        <v>1.0526315789473684</v>
      </c>
      <c r="B76">
        <v>0.52879612344600235</v>
      </c>
      <c r="D76">
        <v>1.0526315789473684</v>
      </c>
      <c r="E76">
        <v>0.12960760998810938</v>
      </c>
    </row>
    <row r="77" spans="1:5" x14ac:dyDescent="0.2">
      <c r="A77">
        <v>1.0263157894736843</v>
      </c>
      <c r="B77">
        <v>0.47916666666666657</v>
      </c>
      <c r="D77">
        <v>1.0263157894736843</v>
      </c>
      <c r="E77">
        <v>0.12802768166089967</v>
      </c>
    </row>
    <row r="78" spans="1:5" x14ac:dyDescent="0.2">
      <c r="A78">
        <v>1.0263157894736843</v>
      </c>
      <c r="B78">
        <v>0.38025195778004778</v>
      </c>
      <c r="D78">
        <v>1.0263157894736843</v>
      </c>
      <c r="E78">
        <v>0.14506172839506171</v>
      </c>
    </row>
    <row r="79" spans="1:5" x14ac:dyDescent="0.2">
      <c r="A79">
        <v>1</v>
      </c>
      <c r="B79">
        <v>0.41230190706419556</v>
      </c>
      <c r="D79">
        <v>1</v>
      </c>
      <c r="E79">
        <v>0.19619500594530331</v>
      </c>
    </row>
    <row r="80" spans="1:5" x14ac:dyDescent="0.2">
      <c r="A80">
        <v>1</v>
      </c>
      <c r="B80">
        <v>0.39882903981264634</v>
      </c>
      <c r="D80">
        <v>1</v>
      </c>
      <c r="E80">
        <v>9.3425605536332154E-2</v>
      </c>
    </row>
    <row r="81" spans="1:5" x14ac:dyDescent="0.2">
      <c r="A81">
        <v>1</v>
      </c>
      <c r="B81">
        <v>0.40556015452538641</v>
      </c>
      <c r="D81">
        <v>1</v>
      </c>
      <c r="E81">
        <v>0.25803489439853078</v>
      </c>
    </row>
    <row r="82" spans="1:5" x14ac:dyDescent="0.2">
      <c r="A82">
        <v>1</v>
      </c>
      <c r="B82">
        <v>0.43857927786499212</v>
      </c>
      <c r="D82">
        <v>1</v>
      </c>
      <c r="E82">
        <v>0.216796875</v>
      </c>
    </row>
    <row r="83" spans="1:5" x14ac:dyDescent="0.2">
      <c r="A83">
        <v>0.97368421052631582</v>
      </c>
      <c r="B83">
        <v>0.43611629067415997</v>
      </c>
      <c r="D83">
        <v>0.97368421052631582</v>
      </c>
      <c r="E83">
        <v>0.12757201646090532</v>
      </c>
    </row>
    <row r="84" spans="1:5" x14ac:dyDescent="0.2">
      <c r="A84">
        <v>0.97368421052631582</v>
      </c>
      <c r="B84">
        <v>0.47979797979797989</v>
      </c>
      <c r="D84">
        <v>0.97368421052631582</v>
      </c>
      <c r="E84">
        <v>0.15120525931336742</v>
      </c>
    </row>
    <row r="85" spans="1:5" x14ac:dyDescent="0.2">
      <c r="A85">
        <v>0.97368421052631582</v>
      </c>
      <c r="B85">
        <v>0.54018637157833438</v>
      </c>
      <c r="D85">
        <v>0.97368421052631582</v>
      </c>
      <c r="E85">
        <v>0.1760204081632652</v>
      </c>
    </row>
    <row r="86" spans="1:5" x14ac:dyDescent="0.2">
      <c r="A86">
        <v>0.94736842105263153</v>
      </c>
      <c r="B86">
        <v>0.38025975998784761</v>
      </c>
      <c r="D86">
        <v>0.94736842105263153</v>
      </c>
      <c r="E86">
        <v>8.59375E-2</v>
      </c>
    </row>
    <row r="87" spans="1:5" x14ac:dyDescent="0.2">
      <c r="A87">
        <v>0.94736842105263153</v>
      </c>
      <c r="B87">
        <v>0.437890812890813</v>
      </c>
      <c r="D87">
        <v>0.94736842105263153</v>
      </c>
      <c r="E87">
        <v>0.19341563786008242</v>
      </c>
    </row>
    <row r="88" spans="1:5" x14ac:dyDescent="0.2">
      <c r="A88">
        <v>0.92105263157894735</v>
      </c>
      <c r="B88">
        <v>0.41202805165230411</v>
      </c>
      <c r="D88">
        <v>0.92105263157894735</v>
      </c>
      <c r="E88">
        <v>0.12666666666666668</v>
      </c>
    </row>
    <row r="89" spans="1:5" x14ac:dyDescent="0.2">
      <c r="A89">
        <v>0.89473684210526316</v>
      </c>
      <c r="B89">
        <v>0.38575810052369142</v>
      </c>
      <c r="D89">
        <v>0.89473684210526316</v>
      </c>
      <c r="E89">
        <v>0.1977777777777778</v>
      </c>
    </row>
    <row r="90" spans="1:5" x14ac:dyDescent="0.2">
      <c r="A90">
        <v>0.89473684210526316</v>
      </c>
      <c r="B90">
        <v>0.42643672117356318</v>
      </c>
      <c r="D90">
        <v>0.89473684210526316</v>
      </c>
      <c r="E90">
        <v>0.18339100346020759</v>
      </c>
    </row>
    <row r="91" spans="1:5" x14ac:dyDescent="0.2">
      <c r="A91">
        <v>0.86842105263157898</v>
      </c>
      <c r="B91">
        <v>0.35612593556784916</v>
      </c>
      <c r="D91">
        <v>0.86842105263157898</v>
      </c>
      <c r="E91">
        <v>0.18244170096021947</v>
      </c>
    </row>
    <row r="92" spans="1:5" x14ac:dyDescent="0.2">
      <c r="A92">
        <v>0.86842105263157898</v>
      </c>
      <c r="B92">
        <v>0.44749898056272935</v>
      </c>
      <c r="D92">
        <v>0.86842105263157898</v>
      </c>
      <c r="E92">
        <v>0.34979423868312759</v>
      </c>
    </row>
    <row r="93" spans="1:5" x14ac:dyDescent="0.2">
      <c r="A93">
        <v>0.86842105263157898</v>
      </c>
      <c r="B93">
        <v>0.50804497937255211</v>
      </c>
      <c r="D93">
        <v>0.86842105263157898</v>
      </c>
      <c r="E93">
        <v>0.15101070154577884</v>
      </c>
    </row>
    <row r="94" spans="1:5" x14ac:dyDescent="0.2">
      <c r="A94">
        <v>0.86842105263157898</v>
      </c>
      <c r="B94">
        <v>0.53411259541984746</v>
      </c>
      <c r="D94">
        <v>0.86842105263157898</v>
      </c>
      <c r="E94">
        <v>0.1015625</v>
      </c>
    </row>
    <row r="95" spans="1:5" x14ac:dyDescent="0.2">
      <c r="A95">
        <v>0.84210526315789469</v>
      </c>
      <c r="B95">
        <v>0.45575489989954904</v>
      </c>
      <c r="D95">
        <v>0.84210526315789469</v>
      </c>
      <c r="E95">
        <v>0.10020661157024789</v>
      </c>
    </row>
    <row r="96" spans="1:5" x14ac:dyDescent="0.2">
      <c r="A96">
        <v>0.81578947368421051</v>
      </c>
      <c r="B96">
        <v>0.49687116006007392</v>
      </c>
      <c r="D96">
        <v>0.81578947368421051</v>
      </c>
      <c r="E96">
        <v>0.28125</v>
      </c>
    </row>
    <row r="97" spans="1:5" x14ac:dyDescent="0.2">
      <c r="A97">
        <v>0.78947368421052633</v>
      </c>
      <c r="B97">
        <v>0.47454858376360093</v>
      </c>
      <c r="D97">
        <v>0.78947368421052633</v>
      </c>
      <c r="E97">
        <v>0.17993079584775099</v>
      </c>
    </row>
    <row r="98" spans="1:5" x14ac:dyDescent="0.2">
      <c r="A98">
        <v>0.78947368421052633</v>
      </c>
      <c r="B98">
        <v>0.50228791253290161</v>
      </c>
      <c r="D98">
        <v>0.78947368421052633</v>
      </c>
      <c r="E98">
        <v>0.2097959183673469</v>
      </c>
    </row>
    <row r="99" spans="1:5" x14ac:dyDescent="0.2">
      <c r="A99">
        <v>0.73684210526315785</v>
      </c>
      <c r="B99">
        <v>0.45976042590949417</v>
      </c>
      <c r="D99">
        <v>0.73684210526315785</v>
      </c>
      <c r="E99">
        <v>0.205078125</v>
      </c>
    </row>
    <row r="100" spans="1:5" x14ac:dyDescent="0.2">
      <c r="A100">
        <v>0.63157894736842102</v>
      </c>
      <c r="B100">
        <v>0.43009641873278226</v>
      </c>
      <c r="D100">
        <v>0.63157894736842102</v>
      </c>
      <c r="E100">
        <v>0.13609467455621299</v>
      </c>
    </row>
    <row r="101" spans="1:5" x14ac:dyDescent="0.2">
      <c r="A101">
        <v>0.44736842105263158</v>
      </c>
      <c r="B101">
        <v>0.42344712365658421</v>
      </c>
      <c r="D101">
        <v>0.44736842105263158</v>
      </c>
      <c r="E101">
        <v>0.21632653061224488</v>
      </c>
    </row>
  </sheetData>
  <sortState xmlns:xlrd2="http://schemas.microsoft.com/office/spreadsheetml/2017/richdata2" ref="A2:E101">
    <sortCondition descending="1" ref="A2:A101"/>
  </sortState>
  <mergeCells count="1">
    <mergeCell ref="F1:M4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BBB9-D77B-FC42-ABCD-EA6BF712FB8A}">
  <dimension ref="A1:O21"/>
  <sheetViews>
    <sheetView topLeftCell="C1" workbookViewId="0">
      <selection activeCell="F32" sqref="F32"/>
    </sheetView>
  </sheetViews>
  <sheetFormatPr baseColWidth="10" defaultRowHeight="16" x14ac:dyDescent="0.2"/>
  <cols>
    <col min="2" max="2" width="19.33203125" bestFit="1" customWidth="1"/>
    <col min="3" max="3" width="22.1640625" bestFit="1" customWidth="1"/>
    <col min="4" max="4" width="37.5" bestFit="1" customWidth="1"/>
    <col min="5" max="5" width="39.33203125" bestFit="1" customWidth="1"/>
    <col min="6" max="6" width="28.6640625" bestFit="1" customWidth="1"/>
    <col min="7" max="7" width="13.83203125" bestFit="1" customWidth="1"/>
    <col min="8" max="8" width="24.83203125" bestFit="1" customWidth="1"/>
    <col min="9" max="9" width="29.83203125" bestFit="1" customWidth="1"/>
    <col min="10" max="10" width="13.6640625" bestFit="1" customWidth="1"/>
    <col min="11" max="11" width="27.83203125" bestFit="1" customWidth="1"/>
    <col min="12" max="12" width="8.5" bestFit="1" customWidth="1"/>
    <col min="13" max="13" width="4" bestFit="1" customWidth="1"/>
    <col min="14" max="14" width="12.5" bestFit="1" customWidth="1"/>
    <col min="15" max="15" width="12.83203125" bestFit="1" customWidth="1"/>
    <col min="16" max="16" width="15.83203125" bestFit="1" customWidth="1"/>
    <col min="17" max="17" width="24" bestFit="1" customWidth="1"/>
    <col min="18" max="18" width="25.83203125" bestFit="1" customWidth="1"/>
    <col min="19" max="19" width="23.33203125" bestFit="1" customWidth="1"/>
    <col min="20" max="20" width="28.83203125" bestFit="1" customWidth="1"/>
  </cols>
  <sheetData>
    <row r="1" spans="1:15" x14ac:dyDescent="0.2">
      <c r="A1" s="7" t="s">
        <v>120</v>
      </c>
      <c r="B1" s="7" t="s">
        <v>0</v>
      </c>
      <c r="C1" s="7" t="s">
        <v>115</v>
      </c>
      <c r="D1" s="7" t="s">
        <v>122</v>
      </c>
      <c r="E1" s="7" t="s">
        <v>126</v>
      </c>
      <c r="F1" s="7" t="s">
        <v>121</v>
      </c>
      <c r="G1" s="7" t="s">
        <v>114</v>
      </c>
      <c r="H1" s="7" t="s">
        <v>124</v>
      </c>
      <c r="I1" s="7" t="s">
        <v>125</v>
      </c>
      <c r="J1" s="7" t="s">
        <v>116</v>
      </c>
      <c r="K1" s="7" t="s">
        <v>129</v>
      </c>
      <c r="L1" s="22" t="s">
        <v>110</v>
      </c>
      <c r="M1" s="7" t="s">
        <v>22</v>
      </c>
      <c r="N1" s="7" t="s">
        <v>45</v>
      </c>
    </row>
    <row r="2" spans="1:15" x14ac:dyDescent="0.2">
      <c r="A2" t="s">
        <v>58</v>
      </c>
      <c r="B2" t="s">
        <v>1</v>
      </c>
      <c r="C2">
        <v>24</v>
      </c>
      <c r="D2">
        <v>5</v>
      </c>
      <c r="E2">
        <v>0.20833333333333334</v>
      </c>
      <c r="F2">
        <v>27.5</v>
      </c>
      <c r="G2">
        <v>27</v>
      </c>
      <c r="H2">
        <v>455800000</v>
      </c>
      <c r="I2">
        <f>H2/SUM(H$2:H$21)</f>
        <v>0.11285167111091304</v>
      </c>
      <c r="J2">
        <v>0.11458333333333333</v>
      </c>
      <c r="K2">
        <v>0.39445438282647588</v>
      </c>
      <c r="L2" s="19">
        <v>1</v>
      </c>
      <c r="M2" s="18">
        <v>86</v>
      </c>
      <c r="N2">
        <f t="shared" ref="N2:N21" si="0">M2/38</f>
        <v>2.263157894736842</v>
      </c>
      <c r="O2" s="5"/>
    </row>
    <row r="3" spans="1:15" x14ac:dyDescent="0.2">
      <c r="A3" t="s">
        <v>58</v>
      </c>
      <c r="B3" t="s">
        <v>3</v>
      </c>
      <c r="C3">
        <v>30</v>
      </c>
      <c r="D3">
        <v>10</v>
      </c>
      <c r="E3">
        <v>0.33333333333333331</v>
      </c>
      <c r="F3">
        <v>25.3</v>
      </c>
      <c r="G3">
        <v>36</v>
      </c>
      <c r="H3">
        <v>315750000</v>
      </c>
      <c r="I3">
        <f t="shared" ref="I3:I21" si="1">H3/SUM(H$2:H$21)</f>
        <v>7.8176645794802088E-2</v>
      </c>
      <c r="J3">
        <v>0.15111111111111114</v>
      </c>
      <c r="K3">
        <v>0.42816046450250722</v>
      </c>
      <c r="L3" s="19">
        <v>2</v>
      </c>
      <c r="M3" s="18">
        <v>84</v>
      </c>
      <c r="N3">
        <f t="shared" si="0"/>
        <v>2.2105263157894739</v>
      </c>
      <c r="O3" s="5"/>
    </row>
    <row r="4" spans="1:15" x14ac:dyDescent="0.2">
      <c r="A4" t="s">
        <v>58</v>
      </c>
      <c r="B4" t="s">
        <v>18</v>
      </c>
      <c r="C4">
        <v>30</v>
      </c>
      <c r="D4">
        <v>7</v>
      </c>
      <c r="E4">
        <v>0.23333333333333334</v>
      </c>
      <c r="F4">
        <v>27.3</v>
      </c>
      <c r="G4">
        <v>49</v>
      </c>
      <c r="H4">
        <v>584200000</v>
      </c>
      <c r="I4">
        <f t="shared" si="1"/>
        <v>0.1446422691158302</v>
      </c>
      <c r="J4">
        <v>0.10888888888888887</v>
      </c>
      <c r="K4">
        <v>0.51089925871067354</v>
      </c>
      <c r="L4" s="19">
        <v>3</v>
      </c>
      <c r="M4" s="18">
        <v>82</v>
      </c>
      <c r="N4">
        <f t="shared" si="0"/>
        <v>2.1578947368421053</v>
      </c>
      <c r="O4" s="5"/>
    </row>
    <row r="5" spans="1:15" x14ac:dyDescent="0.2">
      <c r="A5" t="s">
        <v>58</v>
      </c>
      <c r="B5" t="s">
        <v>2</v>
      </c>
      <c r="C5">
        <v>32</v>
      </c>
      <c r="D5">
        <v>5</v>
      </c>
      <c r="E5">
        <v>0.15625</v>
      </c>
      <c r="F5">
        <v>26.5</v>
      </c>
      <c r="G5">
        <v>41</v>
      </c>
      <c r="H5">
        <v>385750000</v>
      </c>
      <c r="I5">
        <f t="shared" si="1"/>
        <v>9.5507968694679035E-2</v>
      </c>
      <c r="J5">
        <v>0.10546875</v>
      </c>
      <c r="K5">
        <v>0.55316599814331513</v>
      </c>
      <c r="L5" s="19">
        <v>4</v>
      </c>
      <c r="M5" s="18">
        <v>79</v>
      </c>
      <c r="N5">
        <f t="shared" si="0"/>
        <v>2.0789473684210527</v>
      </c>
      <c r="O5" s="5"/>
    </row>
    <row r="6" spans="1:15" x14ac:dyDescent="0.2">
      <c r="A6" t="s">
        <v>58</v>
      </c>
      <c r="B6" t="s">
        <v>5</v>
      </c>
      <c r="C6">
        <v>33</v>
      </c>
      <c r="D6">
        <v>11</v>
      </c>
      <c r="E6">
        <v>0.33333333333333331</v>
      </c>
      <c r="F6">
        <v>27.2</v>
      </c>
      <c r="G6">
        <v>34</v>
      </c>
      <c r="H6">
        <v>210000000</v>
      </c>
      <c r="I6">
        <f t="shared" si="1"/>
        <v>5.1993968699630841E-2</v>
      </c>
      <c r="J6">
        <v>0.15151515151515141</v>
      </c>
      <c r="K6">
        <v>0.45611111111111113</v>
      </c>
      <c r="L6" s="19">
        <v>5</v>
      </c>
      <c r="M6" s="18">
        <v>72</v>
      </c>
      <c r="N6">
        <f t="shared" si="0"/>
        <v>1.8947368421052631</v>
      </c>
      <c r="O6" s="5"/>
    </row>
    <row r="7" spans="1:15" x14ac:dyDescent="0.2">
      <c r="A7" t="s">
        <v>58</v>
      </c>
      <c r="B7" t="s">
        <v>4</v>
      </c>
      <c r="C7">
        <v>30</v>
      </c>
      <c r="D7">
        <v>12</v>
      </c>
      <c r="E7">
        <v>0.4</v>
      </c>
      <c r="F7">
        <v>25</v>
      </c>
      <c r="G7">
        <v>41</v>
      </c>
      <c r="H7">
        <v>288950000</v>
      </c>
      <c r="I7">
        <f t="shared" si="1"/>
        <v>7.1541225027420635E-2</v>
      </c>
      <c r="J7">
        <v>0.20000000000000009</v>
      </c>
      <c r="K7">
        <v>0.43242198765645723</v>
      </c>
      <c r="L7" s="19">
        <v>6</v>
      </c>
      <c r="M7" s="18">
        <v>69</v>
      </c>
      <c r="N7">
        <f t="shared" si="0"/>
        <v>1.8157894736842106</v>
      </c>
      <c r="O7" s="5"/>
    </row>
    <row r="8" spans="1:15" x14ac:dyDescent="0.2">
      <c r="A8" t="s">
        <v>58</v>
      </c>
      <c r="B8" t="s">
        <v>19</v>
      </c>
      <c r="C8">
        <v>34</v>
      </c>
      <c r="D8">
        <v>13</v>
      </c>
      <c r="E8">
        <v>0.38235294117647056</v>
      </c>
      <c r="F8">
        <v>26.5</v>
      </c>
      <c r="G8">
        <v>37</v>
      </c>
      <c r="H8">
        <v>402550000</v>
      </c>
      <c r="I8">
        <f t="shared" si="1"/>
        <v>9.966748619064951E-2</v>
      </c>
      <c r="J8">
        <v>0.17647058823529418</v>
      </c>
      <c r="K8">
        <v>0.50007629930620878</v>
      </c>
      <c r="L8" s="19">
        <v>7</v>
      </c>
      <c r="M8" s="18">
        <v>64</v>
      </c>
      <c r="N8">
        <f t="shared" si="0"/>
        <v>1.6842105263157894</v>
      </c>
      <c r="O8" s="5"/>
    </row>
    <row r="9" spans="1:15" x14ac:dyDescent="0.2">
      <c r="A9" t="s">
        <v>58</v>
      </c>
      <c r="B9" t="s">
        <v>7</v>
      </c>
      <c r="C9">
        <v>26</v>
      </c>
      <c r="D9">
        <v>12</v>
      </c>
      <c r="E9">
        <v>0.46153846153846156</v>
      </c>
      <c r="F9">
        <v>24.6</v>
      </c>
      <c r="G9">
        <v>35</v>
      </c>
      <c r="H9">
        <v>131500000</v>
      </c>
      <c r="I9">
        <f t="shared" si="1"/>
        <v>3.2558128019054548E-2</v>
      </c>
      <c r="J9">
        <v>0.2366863905325445</v>
      </c>
      <c r="K9">
        <v>0.46413181242078588</v>
      </c>
      <c r="L9" s="19">
        <v>8</v>
      </c>
      <c r="M9" s="18">
        <v>56</v>
      </c>
      <c r="N9">
        <f t="shared" si="0"/>
        <v>1.4736842105263157</v>
      </c>
      <c r="O9" s="5"/>
    </row>
    <row r="10" spans="1:15" x14ac:dyDescent="0.2">
      <c r="A10" t="s">
        <v>58</v>
      </c>
      <c r="B10" t="s">
        <v>13</v>
      </c>
      <c r="C10">
        <v>30</v>
      </c>
      <c r="D10">
        <v>9</v>
      </c>
      <c r="E10">
        <v>0.3</v>
      </c>
      <c r="F10">
        <v>27.3</v>
      </c>
      <c r="G10">
        <v>33</v>
      </c>
      <c r="H10">
        <v>104700000</v>
      </c>
      <c r="I10">
        <f t="shared" si="1"/>
        <v>2.5922707251673092E-2</v>
      </c>
      <c r="J10">
        <v>0.13111111111111107</v>
      </c>
      <c r="K10">
        <v>0.34285259471505897</v>
      </c>
      <c r="L10" s="19">
        <v>9</v>
      </c>
      <c r="M10" s="18">
        <v>50</v>
      </c>
      <c r="N10">
        <f t="shared" si="0"/>
        <v>1.3157894736842106</v>
      </c>
      <c r="O10" s="5"/>
    </row>
    <row r="11" spans="1:15" x14ac:dyDescent="0.2">
      <c r="A11" t="s">
        <v>58</v>
      </c>
      <c r="B11" t="s">
        <v>6</v>
      </c>
      <c r="C11">
        <v>30</v>
      </c>
      <c r="D11">
        <v>7</v>
      </c>
      <c r="E11">
        <v>0.23333333333333334</v>
      </c>
      <c r="F11">
        <v>26.2</v>
      </c>
      <c r="G11">
        <v>37</v>
      </c>
      <c r="H11">
        <v>172300000</v>
      </c>
      <c r="I11">
        <f t="shared" si="1"/>
        <v>4.2659813366411399E-2</v>
      </c>
      <c r="J11">
        <v>0.1644444444444445</v>
      </c>
      <c r="K11">
        <v>0.47576900754497986</v>
      </c>
      <c r="L11" s="19">
        <v>10</v>
      </c>
      <c r="M11" s="18">
        <v>49</v>
      </c>
      <c r="N11">
        <f t="shared" si="0"/>
        <v>1.2894736842105263</v>
      </c>
      <c r="O11" s="5"/>
    </row>
    <row r="12" spans="1:15" x14ac:dyDescent="0.2">
      <c r="A12" t="s">
        <v>58</v>
      </c>
      <c r="B12" t="s">
        <v>16</v>
      </c>
      <c r="C12">
        <v>38</v>
      </c>
      <c r="D12">
        <v>15</v>
      </c>
      <c r="E12">
        <v>0.39473684210526316</v>
      </c>
      <c r="F12">
        <v>27.7</v>
      </c>
      <c r="G12">
        <v>45</v>
      </c>
      <c r="H12">
        <v>68700000</v>
      </c>
      <c r="I12">
        <f t="shared" si="1"/>
        <v>1.7009455474593517E-2</v>
      </c>
      <c r="J12">
        <v>0.19390581717451519</v>
      </c>
      <c r="K12">
        <v>0.40942629746310721</v>
      </c>
      <c r="L12" s="19">
        <v>11</v>
      </c>
      <c r="M12" s="18">
        <v>45</v>
      </c>
      <c r="N12">
        <f t="shared" si="0"/>
        <v>1.1842105263157894</v>
      </c>
      <c r="O12" s="5"/>
    </row>
    <row r="13" spans="1:15" x14ac:dyDescent="0.2">
      <c r="A13" t="s">
        <v>58</v>
      </c>
      <c r="B13" t="s">
        <v>8</v>
      </c>
      <c r="C13">
        <v>35</v>
      </c>
      <c r="D13">
        <v>6</v>
      </c>
      <c r="E13">
        <v>0.17142857142857143</v>
      </c>
      <c r="F13">
        <v>26.2</v>
      </c>
      <c r="G13">
        <v>36</v>
      </c>
      <c r="H13">
        <v>128930000</v>
      </c>
      <c r="I13">
        <f t="shared" si="1"/>
        <v>3.1921820878301928E-2</v>
      </c>
      <c r="J13">
        <v>0.13306122448979596</v>
      </c>
      <c r="K13">
        <v>0.47605485832906141</v>
      </c>
      <c r="L13" s="19">
        <v>12</v>
      </c>
      <c r="M13" s="18">
        <v>42</v>
      </c>
      <c r="N13">
        <f t="shared" si="0"/>
        <v>1.1052631578947369</v>
      </c>
      <c r="O13" s="5"/>
    </row>
    <row r="14" spans="1:15" x14ac:dyDescent="0.2">
      <c r="A14" t="s">
        <v>58</v>
      </c>
      <c r="B14" t="s">
        <v>11</v>
      </c>
      <c r="C14">
        <v>31</v>
      </c>
      <c r="D14">
        <v>13</v>
      </c>
      <c r="E14">
        <v>0.41935483870967744</v>
      </c>
      <c r="F14">
        <v>28.4</v>
      </c>
      <c r="G14">
        <v>45</v>
      </c>
      <c r="H14">
        <v>109500000</v>
      </c>
      <c r="I14">
        <f t="shared" si="1"/>
        <v>2.7111140821950368E-2</v>
      </c>
      <c r="J14">
        <v>0.1987513007284078</v>
      </c>
      <c r="K14">
        <v>0.45737308622078965</v>
      </c>
      <c r="L14" s="19">
        <v>13</v>
      </c>
      <c r="M14" s="18">
        <v>40</v>
      </c>
      <c r="N14">
        <f t="shared" si="0"/>
        <v>1.0526315789473684</v>
      </c>
      <c r="O14" s="5"/>
    </row>
    <row r="15" spans="1:15" x14ac:dyDescent="0.2">
      <c r="A15" t="s">
        <v>58</v>
      </c>
      <c r="B15" t="s">
        <v>9</v>
      </c>
      <c r="C15">
        <v>34</v>
      </c>
      <c r="D15">
        <v>7</v>
      </c>
      <c r="E15">
        <v>0.20588235294117646</v>
      </c>
      <c r="F15">
        <v>26.2</v>
      </c>
      <c r="G15">
        <v>39</v>
      </c>
      <c r="H15">
        <v>122000000</v>
      </c>
      <c r="I15">
        <f t="shared" si="1"/>
        <v>3.0206019911214108E-2</v>
      </c>
      <c r="J15">
        <v>9.3425605536332154E-2</v>
      </c>
      <c r="K15">
        <v>0.39882903981264634</v>
      </c>
      <c r="L15" s="19">
        <v>14</v>
      </c>
      <c r="M15" s="18">
        <v>38</v>
      </c>
      <c r="N15">
        <f t="shared" si="0"/>
        <v>1</v>
      </c>
      <c r="O15" s="5"/>
    </row>
    <row r="16" spans="1:15" x14ac:dyDescent="0.2">
      <c r="A16" t="s">
        <v>58</v>
      </c>
      <c r="B16" t="s">
        <v>12</v>
      </c>
      <c r="C16">
        <v>29</v>
      </c>
      <c r="D16">
        <v>12</v>
      </c>
      <c r="E16">
        <v>0.41379310344827586</v>
      </c>
      <c r="F16">
        <v>24.4</v>
      </c>
      <c r="G16">
        <v>36</v>
      </c>
      <c r="H16">
        <v>109500000</v>
      </c>
      <c r="I16">
        <f t="shared" si="1"/>
        <v>2.7111140821950368E-2</v>
      </c>
      <c r="J16">
        <v>0.19619500594530331</v>
      </c>
      <c r="K16">
        <v>0.41230190706419556</v>
      </c>
      <c r="L16" s="19">
        <v>15</v>
      </c>
      <c r="M16" s="18">
        <v>38</v>
      </c>
      <c r="N16">
        <f t="shared" si="0"/>
        <v>1</v>
      </c>
      <c r="O16" s="5"/>
    </row>
    <row r="17" spans="1:15" x14ac:dyDescent="0.2">
      <c r="A17" t="s">
        <v>58</v>
      </c>
      <c r="B17" t="s">
        <v>17</v>
      </c>
      <c r="C17">
        <v>27</v>
      </c>
      <c r="D17">
        <v>7</v>
      </c>
      <c r="E17">
        <v>0.25925925925925924</v>
      </c>
      <c r="F17">
        <v>27.4</v>
      </c>
      <c r="G17">
        <v>34</v>
      </c>
      <c r="H17">
        <v>68150000</v>
      </c>
      <c r="I17">
        <f t="shared" si="1"/>
        <v>1.6873280794665914E-2</v>
      </c>
      <c r="J17">
        <v>0.12757201646090532</v>
      </c>
      <c r="K17">
        <v>0.43611629067415997</v>
      </c>
      <c r="L17" s="19">
        <v>16</v>
      </c>
      <c r="M17" s="18">
        <v>37</v>
      </c>
      <c r="N17">
        <f t="shared" si="0"/>
        <v>0.97368421052631582</v>
      </c>
      <c r="O17" s="5"/>
    </row>
    <row r="18" spans="1:15" x14ac:dyDescent="0.2">
      <c r="A18" t="s">
        <v>58</v>
      </c>
      <c r="B18" t="s">
        <v>14</v>
      </c>
      <c r="C18">
        <v>32</v>
      </c>
      <c r="D18">
        <v>7</v>
      </c>
      <c r="E18">
        <v>0.21875</v>
      </c>
      <c r="F18">
        <v>27.7</v>
      </c>
      <c r="G18">
        <v>33</v>
      </c>
      <c r="H18">
        <v>90800000</v>
      </c>
      <c r="I18">
        <f t="shared" si="1"/>
        <v>2.2481201704411813E-2</v>
      </c>
      <c r="J18">
        <v>8.59375E-2</v>
      </c>
      <c r="K18">
        <v>0.38025975998784761</v>
      </c>
      <c r="L18" s="19">
        <v>17</v>
      </c>
      <c r="M18" s="18">
        <v>36</v>
      </c>
      <c r="N18">
        <f t="shared" si="0"/>
        <v>0.94736842105263153</v>
      </c>
      <c r="O18" s="5"/>
    </row>
    <row r="19" spans="1:15" x14ac:dyDescent="0.2">
      <c r="A19" t="s">
        <v>58</v>
      </c>
      <c r="B19" t="s">
        <v>15</v>
      </c>
      <c r="C19">
        <v>27</v>
      </c>
      <c r="D19">
        <v>10</v>
      </c>
      <c r="E19">
        <v>0.37037037037037035</v>
      </c>
      <c r="F19">
        <v>26.2</v>
      </c>
      <c r="G19">
        <v>32</v>
      </c>
      <c r="H19">
        <v>89300000</v>
      </c>
      <c r="I19">
        <f t="shared" si="1"/>
        <v>2.2109816213700163E-2</v>
      </c>
      <c r="J19">
        <v>0.18244170096021947</v>
      </c>
      <c r="K19">
        <v>0.35612593556784916</v>
      </c>
      <c r="L19" s="19">
        <v>18</v>
      </c>
      <c r="M19" s="18">
        <v>33</v>
      </c>
      <c r="N19">
        <f t="shared" si="0"/>
        <v>0.86842105263157898</v>
      </c>
      <c r="O19" s="5"/>
    </row>
    <row r="20" spans="1:15" x14ac:dyDescent="0.2">
      <c r="A20" t="s">
        <v>58</v>
      </c>
      <c r="B20" t="s">
        <v>10</v>
      </c>
      <c r="C20">
        <v>44</v>
      </c>
      <c r="D20">
        <v>12</v>
      </c>
      <c r="E20">
        <v>0.27272727272727271</v>
      </c>
      <c r="F20">
        <v>28.6</v>
      </c>
      <c r="G20">
        <v>48</v>
      </c>
      <c r="H20">
        <v>112650000</v>
      </c>
      <c r="I20">
        <f t="shared" si="1"/>
        <v>2.7891050352444831E-2</v>
      </c>
      <c r="J20">
        <v>0.10020661157024789</v>
      </c>
      <c r="K20">
        <v>0.45575489989954904</v>
      </c>
      <c r="L20" s="19">
        <v>19</v>
      </c>
      <c r="M20" s="18">
        <v>32</v>
      </c>
      <c r="N20">
        <f t="shared" si="0"/>
        <v>0.84210526315789469</v>
      </c>
      <c r="O20" s="5"/>
    </row>
    <row r="21" spans="1:15" x14ac:dyDescent="0.2">
      <c r="A21" t="s">
        <v>58</v>
      </c>
      <c r="B21" t="s">
        <v>20</v>
      </c>
      <c r="C21">
        <v>34</v>
      </c>
      <c r="D21">
        <v>13</v>
      </c>
      <c r="E21">
        <v>0.38235294117647056</v>
      </c>
      <c r="F21">
        <v>25.2</v>
      </c>
      <c r="G21">
        <v>42</v>
      </c>
      <c r="H21">
        <v>87900000</v>
      </c>
      <c r="I21">
        <f t="shared" si="1"/>
        <v>2.1763189755702624E-2</v>
      </c>
      <c r="J21">
        <v>0.17993079584775099</v>
      </c>
      <c r="K21">
        <v>0.47454858376360093</v>
      </c>
      <c r="L21" s="19">
        <v>20</v>
      </c>
      <c r="M21" s="18">
        <v>30</v>
      </c>
      <c r="N21">
        <f t="shared" si="0"/>
        <v>0.78947368421052633</v>
      </c>
      <c r="O21" s="5"/>
    </row>
  </sheetData>
  <sortState xmlns:xlrd2="http://schemas.microsoft.com/office/spreadsheetml/2017/richdata2" ref="B2:N21">
    <sortCondition ref="L2:L21"/>
  </sortState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33A7-2564-CF47-97B8-6775C04C018D}">
  <dimension ref="A1:N21"/>
  <sheetViews>
    <sheetView workbookViewId="0">
      <selection activeCell="K31" sqref="K31"/>
    </sheetView>
  </sheetViews>
  <sheetFormatPr baseColWidth="10" defaultRowHeight="16" x14ac:dyDescent="0.2"/>
  <cols>
    <col min="2" max="2" width="19.33203125" bestFit="1" customWidth="1"/>
    <col min="3" max="3" width="22.1640625" bestFit="1" customWidth="1"/>
    <col min="4" max="4" width="37.5" bestFit="1" customWidth="1"/>
    <col min="5" max="5" width="39.33203125" bestFit="1" customWidth="1"/>
    <col min="6" max="6" width="28.6640625" bestFit="1" customWidth="1"/>
    <col min="7" max="7" width="13.6640625" bestFit="1" customWidth="1"/>
    <col min="8" max="8" width="24.83203125" bestFit="1" customWidth="1"/>
    <col min="9" max="9" width="29.83203125" bestFit="1" customWidth="1"/>
    <col min="10" max="10" width="13.6640625" bestFit="1" customWidth="1"/>
    <col min="11" max="11" width="27.83203125" bestFit="1" customWidth="1"/>
    <col min="12" max="12" width="7.6640625" bestFit="1" customWidth="1"/>
    <col min="13" max="13" width="4" bestFit="1" customWidth="1"/>
    <col min="14" max="15" width="12.5" bestFit="1" customWidth="1"/>
  </cols>
  <sheetData>
    <row r="1" spans="1:14" x14ac:dyDescent="0.2">
      <c r="A1" s="7" t="s">
        <v>120</v>
      </c>
      <c r="B1" s="7" t="s">
        <v>0</v>
      </c>
      <c r="C1" s="7" t="s">
        <v>115</v>
      </c>
      <c r="D1" s="7" t="s">
        <v>122</v>
      </c>
      <c r="E1" s="7" t="s">
        <v>126</v>
      </c>
      <c r="F1" s="7" t="s">
        <v>121</v>
      </c>
      <c r="G1" s="7" t="s">
        <v>114</v>
      </c>
      <c r="H1" s="7" t="s">
        <v>124</v>
      </c>
      <c r="I1" s="7" t="s">
        <v>125</v>
      </c>
      <c r="J1" s="7" t="s">
        <v>116</v>
      </c>
      <c r="K1" s="7" t="s">
        <v>129</v>
      </c>
      <c r="L1" s="7" t="s">
        <v>110</v>
      </c>
      <c r="M1" s="7" t="s">
        <v>22</v>
      </c>
      <c r="N1" s="7" t="s">
        <v>45</v>
      </c>
    </row>
    <row r="2" spans="1:14" x14ac:dyDescent="0.2">
      <c r="A2" t="s">
        <v>87</v>
      </c>
      <c r="B2" t="s">
        <v>24</v>
      </c>
      <c r="C2">
        <v>32</v>
      </c>
      <c r="D2">
        <v>8</v>
      </c>
      <c r="E2">
        <v>0.25</v>
      </c>
      <c r="F2">
        <v>27</v>
      </c>
      <c r="G2">
        <v>38</v>
      </c>
      <c r="H2">
        <v>557250000</v>
      </c>
      <c r="I2">
        <f>H2/SUM(H$2:H$21)</f>
        <v>0.13230214033879795</v>
      </c>
      <c r="J2">
        <v>0.1171875</v>
      </c>
      <c r="K2">
        <v>0.55768655600418726</v>
      </c>
      <c r="L2" s="10">
        <v>1</v>
      </c>
      <c r="M2">
        <v>87</v>
      </c>
      <c r="N2">
        <f>M2/38</f>
        <v>2.2894736842105261</v>
      </c>
    </row>
    <row r="3" spans="1:14" x14ac:dyDescent="0.2">
      <c r="A3" t="s">
        <v>87</v>
      </c>
      <c r="B3" t="s">
        <v>30</v>
      </c>
      <c r="C3">
        <v>26</v>
      </c>
      <c r="D3">
        <v>4</v>
      </c>
      <c r="E3">
        <v>0.15384615384615385</v>
      </c>
      <c r="F3">
        <v>28.7</v>
      </c>
      <c r="G3">
        <v>34</v>
      </c>
      <c r="H3">
        <v>448250000</v>
      </c>
      <c r="I3">
        <f t="shared" ref="I3:I21" si="0">H3/SUM(H$2:H$21)</f>
        <v>0.1064233905910564</v>
      </c>
      <c r="J3">
        <v>0.11834319526627221</v>
      </c>
      <c r="K3">
        <v>0.47077523703290558</v>
      </c>
      <c r="L3" s="10">
        <v>2</v>
      </c>
      <c r="M3">
        <v>79</v>
      </c>
      <c r="N3">
        <f t="shared" ref="N3:N21" si="1">M3/38</f>
        <v>2.0789473684210527</v>
      </c>
    </row>
    <row r="4" spans="1:14" x14ac:dyDescent="0.2">
      <c r="A4" t="s">
        <v>87</v>
      </c>
      <c r="B4" t="s">
        <v>31</v>
      </c>
      <c r="C4">
        <v>32</v>
      </c>
      <c r="D4">
        <v>9</v>
      </c>
      <c r="E4">
        <v>0.28125</v>
      </c>
      <c r="F4">
        <v>25.9</v>
      </c>
      <c r="G4">
        <v>42</v>
      </c>
      <c r="H4">
        <v>414750000</v>
      </c>
      <c r="I4">
        <f t="shared" si="0"/>
        <v>9.8469829888768859E-2</v>
      </c>
      <c r="J4">
        <v>0.16015625</v>
      </c>
      <c r="K4">
        <v>0.51768793430195825</v>
      </c>
      <c r="L4" s="10">
        <v>3</v>
      </c>
      <c r="M4">
        <v>75</v>
      </c>
      <c r="N4">
        <f t="shared" si="1"/>
        <v>1.9736842105263157</v>
      </c>
    </row>
    <row r="5" spans="1:14" x14ac:dyDescent="0.2">
      <c r="A5" t="s">
        <v>87</v>
      </c>
      <c r="B5" t="s">
        <v>25</v>
      </c>
      <c r="C5">
        <v>39</v>
      </c>
      <c r="D5">
        <v>15</v>
      </c>
      <c r="E5">
        <v>0.38461538461538464</v>
      </c>
      <c r="F5">
        <v>25.7</v>
      </c>
      <c r="G5">
        <v>43</v>
      </c>
      <c r="H5">
        <v>505400000</v>
      </c>
      <c r="I5">
        <f t="shared" si="0"/>
        <v>0.11999192772943648</v>
      </c>
      <c r="J5">
        <v>0.18343195266272189</v>
      </c>
      <c r="K5">
        <v>0.57042983398345504</v>
      </c>
      <c r="L5" s="10">
        <v>4</v>
      </c>
      <c r="M5">
        <v>70</v>
      </c>
      <c r="N5">
        <f t="shared" si="1"/>
        <v>1.8421052631578947</v>
      </c>
    </row>
    <row r="6" spans="1:14" x14ac:dyDescent="0.2">
      <c r="A6" t="s">
        <v>87</v>
      </c>
      <c r="B6" t="s">
        <v>4</v>
      </c>
      <c r="C6">
        <v>33</v>
      </c>
      <c r="D6">
        <v>12</v>
      </c>
      <c r="E6">
        <v>0.36363636363636365</v>
      </c>
      <c r="F6">
        <v>24.5</v>
      </c>
      <c r="G6">
        <v>42</v>
      </c>
      <c r="H6">
        <v>304150000</v>
      </c>
      <c r="I6">
        <f t="shared" si="0"/>
        <v>7.2211208585097164E-2</v>
      </c>
      <c r="J6">
        <v>0.17355371900826447</v>
      </c>
      <c r="K6">
        <v>0.41869454527682359</v>
      </c>
      <c r="L6" s="10">
        <v>5</v>
      </c>
      <c r="M6">
        <v>64</v>
      </c>
      <c r="N6">
        <f t="shared" si="1"/>
        <v>1.6842105263157894</v>
      </c>
    </row>
    <row r="7" spans="1:14" x14ac:dyDescent="0.2">
      <c r="A7" t="s">
        <v>87</v>
      </c>
      <c r="B7" t="s">
        <v>3</v>
      </c>
      <c r="C7">
        <v>31</v>
      </c>
      <c r="D7">
        <v>12</v>
      </c>
      <c r="E7">
        <v>0.38709677419354838</v>
      </c>
      <c r="F7">
        <v>25.3</v>
      </c>
      <c r="G7">
        <v>35</v>
      </c>
      <c r="H7">
        <v>324850000</v>
      </c>
      <c r="I7">
        <f t="shared" si="0"/>
        <v>7.71257968399435E-2</v>
      </c>
      <c r="J7">
        <v>0.19250780437044743</v>
      </c>
      <c r="K7">
        <v>0.45122079958979905</v>
      </c>
      <c r="L7" s="10">
        <v>6</v>
      </c>
      <c r="M7">
        <v>62</v>
      </c>
      <c r="N7">
        <f t="shared" si="1"/>
        <v>1.631578947368421</v>
      </c>
    </row>
    <row r="8" spans="1:14" x14ac:dyDescent="0.2">
      <c r="A8" t="s">
        <v>87</v>
      </c>
      <c r="B8" t="s">
        <v>7</v>
      </c>
      <c r="C8">
        <v>35</v>
      </c>
      <c r="D8">
        <v>16</v>
      </c>
      <c r="E8">
        <v>0.45714285714285713</v>
      </c>
      <c r="F8">
        <v>25.6</v>
      </c>
      <c r="G8">
        <v>37</v>
      </c>
      <c r="H8">
        <v>210250000</v>
      </c>
      <c r="I8">
        <f t="shared" si="0"/>
        <v>4.9917496646446423E-2</v>
      </c>
      <c r="J8">
        <v>0.22775510204081631</v>
      </c>
      <c r="K8">
        <v>0.46726247554754324</v>
      </c>
      <c r="L8" s="10">
        <v>7</v>
      </c>
      <c r="M8">
        <v>60</v>
      </c>
      <c r="N8">
        <f t="shared" si="1"/>
        <v>1.5789473684210527</v>
      </c>
    </row>
    <row r="9" spans="1:14" x14ac:dyDescent="0.2">
      <c r="A9" t="s">
        <v>87</v>
      </c>
      <c r="B9" t="s">
        <v>8</v>
      </c>
      <c r="C9">
        <v>32</v>
      </c>
      <c r="D9">
        <v>9</v>
      </c>
      <c r="E9">
        <v>0.28125</v>
      </c>
      <c r="F9">
        <v>26.4</v>
      </c>
      <c r="G9">
        <v>36</v>
      </c>
      <c r="H9">
        <v>130750000</v>
      </c>
      <c r="I9">
        <f t="shared" si="0"/>
        <v>3.1042628711167038E-2</v>
      </c>
      <c r="J9">
        <v>0.1328125</v>
      </c>
      <c r="K9">
        <v>0.53904891136742128</v>
      </c>
      <c r="L9" s="10">
        <v>8</v>
      </c>
      <c r="M9">
        <v>56</v>
      </c>
      <c r="N9">
        <f t="shared" si="1"/>
        <v>1.4736842105263157</v>
      </c>
    </row>
    <row r="10" spans="1:14" x14ac:dyDescent="0.2">
      <c r="A10" t="s">
        <v>87</v>
      </c>
      <c r="B10" t="s">
        <v>13</v>
      </c>
      <c r="C10">
        <v>28</v>
      </c>
      <c r="D10">
        <v>6</v>
      </c>
      <c r="E10">
        <v>0.21428571428571427</v>
      </c>
      <c r="F10">
        <v>27.5</v>
      </c>
      <c r="G10">
        <v>30</v>
      </c>
      <c r="H10">
        <v>110500000</v>
      </c>
      <c r="I10">
        <f t="shared" si="0"/>
        <v>2.6234879331426063E-2</v>
      </c>
      <c r="J10">
        <v>9.9489795918367346E-2</v>
      </c>
      <c r="K10">
        <v>0.3928571428571429</v>
      </c>
      <c r="L10" s="10">
        <v>9</v>
      </c>
      <c r="M10">
        <v>54</v>
      </c>
      <c r="N10">
        <f t="shared" si="1"/>
        <v>1.4210526315789473</v>
      </c>
    </row>
    <row r="11" spans="1:14" x14ac:dyDescent="0.2">
      <c r="A11" t="s">
        <v>87</v>
      </c>
      <c r="B11" t="s">
        <v>28</v>
      </c>
      <c r="C11">
        <v>34</v>
      </c>
      <c r="D11">
        <v>14</v>
      </c>
      <c r="E11">
        <v>0.41176470588235292</v>
      </c>
      <c r="F11">
        <v>27.5</v>
      </c>
      <c r="G11">
        <v>42</v>
      </c>
      <c r="H11">
        <v>97250000</v>
      </c>
      <c r="I11">
        <f t="shared" si="0"/>
        <v>2.3089068008879499E-2</v>
      </c>
      <c r="J11">
        <v>0.19896193771626297</v>
      </c>
      <c r="K11">
        <v>0.41742513721948171</v>
      </c>
      <c r="L11" s="10">
        <v>10</v>
      </c>
      <c r="M11">
        <v>48</v>
      </c>
      <c r="N11">
        <f t="shared" si="1"/>
        <v>1.263157894736842</v>
      </c>
    </row>
    <row r="12" spans="1:14" x14ac:dyDescent="0.2">
      <c r="A12" t="s">
        <v>87</v>
      </c>
      <c r="B12" t="s">
        <v>5</v>
      </c>
      <c r="C12">
        <v>31</v>
      </c>
      <c r="D12">
        <v>12</v>
      </c>
      <c r="E12">
        <v>0.38709677419354838</v>
      </c>
      <c r="F12">
        <v>27.7</v>
      </c>
      <c r="G12">
        <v>40</v>
      </c>
      <c r="H12">
        <v>182850000</v>
      </c>
      <c r="I12">
        <f t="shared" si="0"/>
        <v>4.3412196251142579E-2</v>
      </c>
      <c r="J12">
        <v>0.18418314255983351</v>
      </c>
      <c r="K12">
        <v>0.59433521218696805</v>
      </c>
      <c r="L12" s="10">
        <v>11</v>
      </c>
      <c r="M12">
        <v>47</v>
      </c>
      <c r="N12">
        <f t="shared" si="1"/>
        <v>1.236842105263158</v>
      </c>
    </row>
    <row r="13" spans="1:14" x14ac:dyDescent="0.2">
      <c r="A13" t="s">
        <v>87</v>
      </c>
      <c r="B13" t="s">
        <v>11</v>
      </c>
      <c r="C13">
        <v>32</v>
      </c>
      <c r="D13">
        <v>13</v>
      </c>
      <c r="E13">
        <v>0.40625</v>
      </c>
      <c r="F13">
        <v>27.1</v>
      </c>
      <c r="G13">
        <v>36</v>
      </c>
      <c r="H13">
        <v>135900000</v>
      </c>
      <c r="I13">
        <f t="shared" si="0"/>
        <v>3.2265340281817212E-2</v>
      </c>
      <c r="J13">
        <v>0.19140625</v>
      </c>
      <c r="K13">
        <v>0.43066656517216018</v>
      </c>
      <c r="L13" s="10">
        <v>12</v>
      </c>
      <c r="M13">
        <v>47</v>
      </c>
      <c r="N13">
        <f t="shared" si="1"/>
        <v>1.236842105263158</v>
      </c>
    </row>
    <row r="14" spans="1:14" x14ac:dyDescent="0.2">
      <c r="A14" t="s">
        <v>87</v>
      </c>
      <c r="B14" t="s">
        <v>14</v>
      </c>
      <c r="C14">
        <v>32</v>
      </c>
      <c r="D14">
        <v>10</v>
      </c>
      <c r="E14">
        <v>0.3125</v>
      </c>
      <c r="F14">
        <v>27.9</v>
      </c>
      <c r="G14">
        <v>34</v>
      </c>
      <c r="H14">
        <v>95950000</v>
      </c>
      <c r="I14">
        <f t="shared" si="0"/>
        <v>2.2780422369686248E-2</v>
      </c>
      <c r="J14">
        <v>0.13671875</v>
      </c>
      <c r="K14">
        <v>0.40667732834989506</v>
      </c>
      <c r="L14" s="10">
        <v>13</v>
      </c>
      <c r="M14">
        <v>44</v>
      </c>
      <c r="N14">
        <f t="shared" si="1"/>
        <v>1.1578947368421053</v>
      </c>
    </row>
    <row r="15" spans="1:14" x14ac:dyDescent="0.2">
      <c r="A15" t="s">
        <v>87</v>
      </c>
      <c r="B15" t="s">
        <v>32</v>
      </c>
      <c r="C15">
        <v>30</v>
      </c>
      <c r="D15">
        <v>14</v>
      </c>
      <c r="E15">
        <v>0.46666666666666667</v>
      </c>
      <c r="F15">
        <v>27.5</v>
      </c>
      <c r="G15">
        <v>37</v>
      </c>
      <c r="H15">
        <v>66700000</v>
      </c>
      <c r="I15">
        <f t="shared" si="0"/>
        <v>1.5835895487838175E-2</v>
      </c>
      <c r="J15">
        <v>0.24222222222222223</v>
      </c>
      <c r="K15">
        <v>0.49736560291282961</v>
      </c>
      <c r="L15" s="10">
        <v>14</v>
      </c>
      <c r="M15">
        <v>41</v>
      </c>
      <c r="N15">
        <f t="shared" si="1"/>
        <v>1.0789473684210527</v>
      </c>
    </row>
    <row r="16" spans="1:14" x14ac:dyDescent="0.2">
      <c r="A16" t="s">
        <v>87</v>
      </c>
      <c r="B16" t="s">
        <v>6</v>
      </c>
      <c r="C16">
        <v>34</v>
      </c>
      <c r="D16">
        <v>10</v>
      </c>
      <c r="E16">
        <v>0.29411764705882354</v>
      </c>
      <c r="F16">
        <v>25.6</v>
      </c>
      <c r="G16">
        <v>42</v>
      </c>
      <c r="H16">
        <v>140000000</v>
      </c>
      <c r="I16">
        <f t="shared" si="0"/>
        <v>3.3238761143888219E-2</v>
      </c>
      <c r="J16">
        <v>0.12802768166089967</v>
      </c>
      <c r="K16">
        <v>0.47916666666666657</v>
      </c>
      <c r="L16" s="10">
        <v>15</v>
      </c>
      <c r="M16">
        <v>39</v>
      </c>
      <c r="N16">
        <f t="shared" si="1"/>
        <v>1.0263157894736843</v>
      </c>
    </row>
    <row r="17" spans="1:14" x14ac:dyDescent="0.2">
      <c r="A17" t="s">
        <v>87</v>
      </c>
      <c r="B17" t="s">
        <v>9</v>
      </c>
      <c r="C17">
        <v>32</v>
      </c>
      <c r="D17">
        <v>14</v>
      </c>
      <c r="E17">
        <v>0.4375</v>
      </c>
      <c r="F17">
        <v>27.5</v>
      </c>
      <c r="G17">
        <v>34</v>
      </c>
      <c r="H17">
        <v>91000000</v>
      </c>
      <c r="I17">
        <f t="shared" si="0"/>
        <v>2.1605194743527345E-2</v>
      </c>
      <c r="J17">
        <v>0.216796875</v>
      </c>
      <c r="K17">
        <v>0.43857927786499212</v>
      </c>
      <c r="L17" s="10">
        <v>16</v>
      </c>
      <c r="M17">
        <v>38</v>
      </c>
      <c r="N17">
        <f t="shared" si="1"/>
        <v>1</v>
      </c>
    </row>
    <row r="18" spans="1:14" x14ac:dyDescent="0.2">
      <c r="A18" t="s">
        <v>87</v>
      </c>
      <c r="B18" t="s">
        <v>12</v>
      </c>
      <c r="C18">
        <v>33</v>
      </c>
      <c r="D18">
        <v>16</v>
      </c>
      <c r="E18">
        <v>0.48484848484848486</v>
      </c>
      <c r="F18">
        <v>26.2</v>
      </c>
      <c r="G18">
        <v>38</v>
      </c>
      <c r="H18">
        <v>114250000</v>
      </c>
      <c r="I18">
        <f t="shared" si="0"/>
        <v>2.7125203290637355E-2</v>
      </c>
      <c r="J18">
        <v>0.25803489439853078</v>
      </c>
      <c r="K18">
        <v>0.40556015452538641</v>
      </c>
      <c r="L18" s="10">
        <v>17</v>
      </c>
      <c r="M18">
        <v>38</v>
      </c>
      <c r="N18">
        <f t="shared" si="1"/>
        <v>1</v>
      </c>
    </row>
    <row r="19" spans="1:14" x14ac:dyDescent="0.2">
      <c r="A19" t="s">
        <v>87</v>
      </c>
      <c r="B19" t="s">
        <v>26</v>
      </c>
      <c r="C19">
        <v>30</v>
      </c>
      <c r="D19">
        <v>8</v>
      </c>
      <c r="E19">
        <v>0.26666666666666666</v>
      </c>
      <c r="F19">
        <v>27</v>
      </c>
      <c r="G19">
        <v>35</v>
      </c>
      <c r="H19">
        <v>117100000</v>
      </c>
      <c r="I19">
        <f t="shared" si="0"/>
        <v>2.7801849499637935E-2</v>
      </c>
      <c r="J19">
        <v>0.12666666666666668</v>
      </c>
      <c r="K19">
        <v>0.41202805165230411</v>
      </c>
      <c r="L19" s="10">
        <v>18</v>
      </c>
      <c r="M19">
        <v>35</v>
      </c>
      <c r="N19">
        <f t="shared" si="1"/>
        <v>0.92105263157894735</v>
      </c>
    </row>
    <row r="20" spans="1:14" x14ac:dyDescent="0.2">
      <c r="A20" t="s">
        <v>87</v>
      </c>
      <c r="B20" t="s">
        <v>29</v>
      </c>
      <c r="C20">
        <v>27</v>
      </c>
      <c r="D20">
        <v>15</v>
      </c>
      <c r="E20">
        <v>0.55555555555555558</v>
      </c>
      <c r="F20">
        <v>27</v>
      </c>
      <c r="G20">
        <v>30</v>
      </c>
      <c r="H20">
        <v>52550000</v>
      </c>
      <c r="I20">
        <f t="shared" si="0"/>
        <v>1.2476406415080901E-2</v>
      </c>
      <c r="J20">
        <v>0.34979423868312759</v>
      </c>
      <c r="K20">
        <v>0.44749898056272935</v>
      </c>
      <c r="L20" s="10">
        <v>19</v>
      </c>
      <c r="M20">
        <v>33</v>
      </c>
      <c r="N20">
        <f t="shared" si="1"/>
        <v>0.86842105263157898</v>
      </c>
    </row>
    <row r="21" spans="1:14" x14ac:dyDescent="0.2">
      <c r="A21" t="s">
        <v>87</v>
      </c>
      <c r="B21" t="s">
        <v>27</v>
      </c>
      <c r="C21">
        <v>35</v>
      </c>
      <c r="D21">
        <v>15</v>
      </c>
      <c r="E21">
        <v>0.42857142857142855</v>
      </c>
      <c r="F21">
        <v>28</v>
      </c>
      <c r="G21">
        <v>41</v>
      </c>
      <c r="H21">
        <v>112250000</v>
      </c>
      <c r="I21">
        <f t="shared" si="0"/>
        <v>2.6650363845724664E-2</v>
      </c>
      <c r="J21">
        <v>0.2097959183673469</v>
      </c>
      <c r="K21">
        <v>0.50228791253290161</v>
      </c>
      <c r="L21" s="10">
        <v>20</v>
      </c>
      <c r="M21">
        <v>30</v>
      </c>
      <c r="N21">
        <f t="shared" si="1"/>
        <v>0.78947368421052633</v>
      </c>
    </row>
  </sheetData>
  <sortState xmlns:xlrd2="http://schemas.microsoft.com/office/spreadsheetml/2017/richdata2" ref="B2:N21">
    <sortCondition ref="L2:L21"/>
  </sortState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F1F9-17A7-354C-810B-C55983635CAE}">
  <dimension ref="A1:X21"/>
  <sheetViews>
    <sheetView topLeftCell="G1" workbookViewId="0">
      <selection activeCell="I27" sqref="I27"/>
    </sheetView>
  </sheetViews>
  <sheetFormatPr baseColWidth="10" defaultRowHeight="16" x14ac:dyDescent="0.2"/>
  <cols>
    <col min="2" max="2" width="19.33203125" bestFit="1" customWidth="1"/>
    <col min="3" max="3" width="22.1640625" bestFit="1" customWidth="1"/>
    <col min="4" max="4" width="37.5" bestFit="1" customWidth="1"/>
    <col min="5" max="5" width="39.33203125" bestFit="1" customWidth="1"/>
    <col min="6" max="6" width="28.6640625" bestFit="1" customWidth="1"/>
    <col min="7" max="7" width="13.6640625" bestFit="1" customWidth="1"/>
    <col min="8" max="8" width="24.83203125" bestFit="1" customWidth="1"/>
    <col min="9" max="9" width="29.83203125" bestFit="1" customWidth="1"/>
    <col min="10" max="10" width="13.6640625" bestFit="1" customWidth="1"/>
    <col min="11" max="11" width="27.83203125" bestFit="1" customWidth="1"/>
    <col min="12" max="12" width="7.6640625" bestFit="1" customWidth="1"/>
    <col min="13" max="13" width="4" bestFit="1" customWidth="1"/>
    <col min="14" max="14" width="12.5" bestFit="1" customWidth="1"/>
  </cols>
  <sheetData>
    <row r="1" spans="1:24" x14ac:dyDescent="0.2">
      <c r="A1" s="7" t="s">
        <v>120</v>
      </c>
      <c r="B1" s="7" t="s">
        <v>0</v>
      </c>
      <c r="C1" s="7" t="s">
        <v>115</v>
      </c>
      <c r="D1" s="7" t="s">
        <v>122</v>
      </c>
      <c r="E1" s="7" t="s">
        <v>126</v>
      </c>
      <c r="F1" s="7" t="s">
        <v>121</v>
      </c>
      <c r="G1" s="7" t="s">
        <v>114</v>
      </c>
      <c r="H1" s="7" t="s">
        <v>124</v>
      </c>
      <c r="I1" s="7" t="s">
        <v>125</v>
      </c>
      <c r="J1" s="7" t="s">
        <v>116</v>
      </c>
      <c r="K1" s="7" t="s">
        <v>129</v>
      </c>
      <c r="L1" s="7" t="s">
        <v>23</v>
      </c>
      <c r="M1" s="7" t="s">
        <v>22</v>
      </c>
      <c r="N1" s="7" t="s">
        <v>45</v>
      </c>
      <c r="S1" s="1"/>
      <c r="T1" s="1"/>
      <c r="U1" s="1"/>
      <c r="V1" s="1"/>
      <c r="W1" s="1"/>
    </row>
    <row r="2" spans="1:24" x14ac:dyDescent="0.2">
      <c r="A2" t="s">
        <v>101</v>
      </c>
      <c r="B2" t="s">
        <v>33</v>
      </c>
      <c r="C2">
        <v>27</v>
      </c>
      <c r="D2">
        <v>9</v>
      </c>
      <c r="E2">
        <v>0.33333333333333331</v>
      </c>
      <c r="F2">
        <v>27.3</v>
      </c>
      <c r="G2">
        <v>35</v>
      </c>
      <c r="H2">
        <v>161100000</v>
      </c>
      <c r="I2">
        <f>H2/SUM(H$2:H$21)</f>
        <v>3.3161590191909063E-2</v>
      </c>
      <c r="J2">
        <v>0.14128943758573387</v>
      </c>
      <c r="K2">
        <v>0.50339400492581243</v>
      </c>
      <c r="L2">
        <v>1</v>
      </c>
      <c r="M2">
        <v>81</v>
      </c>
      <c r="N2">
        <f>M2/38</f>
        <v>2.1315789473684212</v>
      </c>
      <c r="S2" s="6"/>
      <c r="T2" s="3"/>
      <c r="U2" s="2"/>
      <c r="V2" s="5"/>
      <c r="W2" s="5"/>
      <c r="X2" s="5"/>
    </row>
    <row r="3" spans="1:24" x14ac:dyDescent="0.2">
      <c r="A3" t="s">
        <v>101</v>
      </c>
      <c r="B3" t="s">
        <v>31</v>
      </c>
      <c r="C3">
        <v>27</v>
      </c>
      <c r="D3">
        <v>7</v>
      </c>
      <c r="E3">
        <v>0.25925925925925924</v>
      </c>
      <c r="F3">
        <v>26.6</v>
      </c>
      <c r="G3">
        <v>41</v>
      </c>
      <c r="H3">
        <v>457850000</v>
      </c>
      <c r="I3">
        <f t="shared" ref="I3:I21" si="0">H3/SUM(H$2:H$21)</f>
        <v>9.4246021535478369E-2</v>
      </c>
      <c r="J3">
        <v>0.15500685871056241</v>
      </c>
      <c r="K3">
        <v>0.54040049889931763</v>
      </c>
      <c r="L3">
        <v>2</v>
      </c>
      <c r="M3">
        <v>71</v>
      </c>
      <c r="N3">
        <f t="shared" ref="N3:N21" si="1">M3/38</f>
        <v>1.868421052631579</v>
      </c>
      <c r="S3" s="6"/>
      <c r="T3" s="3"/>
      <c r="U3" s="4"/>
      <c r="V3" s="5"/>
      <c r="W3" s="5"/>
      <c r="X3" s="5"/>
    </row>
    <row r="4" spans="1:24" x14ac:dyDescent="0.2">
      <c r="A4" t="s">
        <v>101</v>
      </c>
      <c r="B4" t="s">
        <v>4</v>
      </c>
      <c r="C4">
        <v>27</v>
      </c>
      <c r="D4">
        <v>13</v>
      </c>
      <c r="E4">
        <v>0.48148148148148145</v>
      </c>
      <c r="F4">
        <v>24.2</v>
      </c>
      <c r="G4">
        <v>31</v>
      </c>
      <c r="H4">
        <v>371850000</v>
      </c>
      <c r="I4">
        <f t="shared" si="0"/>
        <v>7.6543372519313382E-2</v>
      </c>
      <c r="J4">
        <v>0.27023319615912206</v>
      </c>
      <c r="K4">
        <v>0.39009341483104598</v>
      </c>
      <c r="L4">
        <v>3</v>
      </c>
      <c r="M4">
        <v>70</v>
      </c>
      <c r="N4">
        <f t="shared" si="1"/>
        <v>1.8421052631578947</v>
      </c>
      <c r="S4" s="6"/>
      <c r="T4" s="3"/>
      <c r="U4" s="2"/>
      <c r="V4" s="5"/>
      <c r="W4" s="5"/>
      <c r="X4" s="5"/>
    </row>
    <row r="5" spans="1:24" x14ac:dyDescent="0.2">
      <c r="A5" t="s">
        <v>101</v>
      </c>
      <c r="B5" t="s">
        <v>1</v>
      </c>
      <c r="C5">
        <v>35</v>
      </c>
      <c r="D5">
        <v>9</v>
      </c>
      <c r="E5">
        <v>0.25714285714285712</v>
      </c>
      <c r="F5">
        <v>27.8</v>
      </c>
      <c r="G5">
        <v>38</v>
      </c>
      <c r="H5">
        <v>499350000</v>
      </c>
      <c r="I5">
        <f t="shared" si="0"/>
        <v>0.10278857890955799</v>
      </c>
      <c r="J5">
        <v>0.14612244897959181</v>
      </c>
      <c r="K5">
        <v>0.49428900427698863</v>
      </c>
      <c r="L5">
        <v>4</v>
      </c>
      <c r="M5">
        <v>66</v>
      </c>
      <c r="N5">
        <f t="shared" si="1"/>
        <v>1.736842105263158</v>
      </c>
      <c r="S5" s="6"/>
      <c r="T5" s="3"/>
      <c r="U5" s="2"/>
      <c r="V5" s="5"/>
      <c r="W5" s="5"/>
      <c r="X5" s="5"/>
    </row>
    <row r="6" spans="1:24" x14ac:dyDescent="0.2">
      <c r="A6" t="s">
        <v>101</v>
      </c>
      <c r="B6" t="s">
        <v>25</v>
      </c>
      <c r="C6">
        <v>38</v>
      </c>
      <c r="D6">
        <v>15</v>
      </c>
      <c r="E6">
        <v>0.39473684210526316</v>
      </c>
      <c r="F6">
        <v>25.4</v>
      </c>
      <c r="G6">
        <v>44</v>
      </c>
      <c r="H6">
        <v>439850000</v>
      </c>
      <c r="I6">
        <f t="shared" si="0"/>
        <v>9.0540815927443841E-2</v>
      </c>
      <c r="J6">
        <v>0.18559556786703602</v>
      </c>
      <c r="K6">
        <v>0.49098729674269259</v>
      </c>
      <c r="L6">
        <v>5</v>
      </c>
      <c r="M6">
        <v>66</v>
      </c>
      <c r="N6">
        <f t="shared" si="1"/>
        <v>1.736842105263158</v>
      </c>
      <c r="S6" s="6"/>
      <c r="T6" s="3"/>
      <c r="U6" s="2"/>
      <c r="V6" s="5"/>
      <c r="W6" s="5"/>
      <c r="X6" s="5"/>
    </row>
    <row r="7" spans="1:24" x14ac:dyDescent="0.2">
      <c r="A7" t="s">
        <v>101</v>
      </c>
      <c r="B7" t="s">
        <v>7</v>
      </c>
      <c r="C7">
        <v>28</v>
      </c>
      <c r="D7">
        <v>10</v>
      </c>
      <c r="E7">
        <v>0.35714285714285715</v>
      </c>
      <c r="F7">
        <v>26</v>
      </c>
      <c r="G7">
        <v>35</v>
      </c>
      <c r="H7">
        <v>225500000</v>
      </c>
      <c r="I7">
        <f t="shared" si="0"/>
        <v>4.6417992478432618E-2</v>
      </c>
      <c r="J7">
        <v>0.16326530612244899</v>
      </c>
      <c r="K7">
        <v>0.42264291017074967</v>
      </c>
      <c r="L7">
        <v>6</v>
      </c>
      <c r="M7">
        <v>63</v>
      </c>
      <c r="N7">
        <f t="shared" si="1"/>
        <v>1.6578947368421053</v>
      </c>
      <c r="S7" s="6"/>
      <c r="T7" s="3"/>
      <c r="U7" s="2"/>
      <c r="V7" s="5"/>
      <c r="W7" s="5"/>
      <c r="X7" s="5"/>
    </row>
    <row r="8" spans="1:24" x14ac:dyDescent="0.2">
      <c r="A8" t="s">
        <v>101</v>
      </c>
      <c r="B8" t="s">
        <v>11</v>
      </c>
      <c r="C8">
        <v>39</v>
      </c>
      <c r="D8">
        <v>13</v>
      </c>
      <c r="E8">
        <v>0.33333333333333331</v>
      </c>
      <c r="F8">
        <v>26.4</v>
      </c>
      <c r="G8">
        <v>50</v>
      </c>
      <c r="H8">
        <v>201330000</v>
      </c>
      <c r="I8">
        <f t="shared" si="0"/>
        <v>4.1442724725866249E-2</v>
      </c>
      <c r="J8">
        <v>0.13609467455621299</v>
      </c>
      <c r="K8">
        <v>0.46859823936689715</v>
      </c>
      <c r="L8">
        <v>7</v>
      </c>
      <c r="M8">
        <v>62</v>
      </c>
      <c r="N8">
        <f t="shared" si="1"/>
        <v>1.631578947368421</v>
      </c>
      <c r="S8" s="6"/>
      <c r="T8" s="3"/>
      <c r="U8" s="2"/>
      <c r="V8" s="5"/>
      <c r="W8" s="5"/>
      <c r="X8" s="5"/>
    </row>
    <row r="9" spans="1:24" x14ac:dyDescent="0.2">
      <c r="A9" t="s">
        <v>101</v>
      </c>
      <c r="B9" t="s">
        <v>3</v>
      </c>
      <c r="C9">
        <v>36</v>
      </c>
      <c r="D9">
        <v>14</v>
      </c>
      <c r="E9">
        <v>0.3888888888888889</v>
      </c>
      <c r="F9">
        <v>24.9</v>
      </c>
      <c r="G9">
        <v>44</v>
      </c>
      <c r="H9">
        <v>375250000</v>
      </c>
      <c r="I9">
        <f t="shared" si="0"/>
        <v>7.7243244689719909E-2</v>
      </c>
      <c r="J9">
        <v>0.18518518518518517</v>
      </c>
      <c r="K9">
        <v>0.56312842989208467</v>
      </c>
      <c r="L9">
        <v>8</v>
      </c>
      <c r="M9">
        <v>60</v>
      </c>
      <c r="N9">
        <f t="shared" si="1"/>
        <v>1.5789473684210527</v>
      </c>
      <c r="S9" s="6"/>
      <c r="T9" s="3"/>
      <c r="U9" s="2"/>
      <c r="V9" s="5"/>
      <c r="W9" s="5"/>
      <c r="X9" s="5"/>
    </row>
    <row r="10" spans="1:24" x14ac:dyDescent="0.2">
      <c r="A10" t="s">
        <v>101</v>
      </c>
      <c r="B10" t="s">
        <v>13</v>
      </c>
      <c r="C10">
        <v>30</v>
      </c>
      <c r="D10">
        <v>6</v>
      </c>
      <c r="E10">
        <v>0.2</v>
      </c>
      <c r="F10">
        <v>27.5</v>
      </c>
      <c r="G10">
        <v>31</v>
      </c>
      <c r="H10">
        <v>147000000</v>
      </c>
      <c r="I10">
        <f t="shared" si="0"/>
        <v>3.0259179132282016E-2</v>
      </c>
      <c r="J10">
        <v>0.10666666666666669</v>
      </c>
      <c r="K10">
        <v>0.45420310981535489</v>
      </c>
      <c r="L10">
        <v>9</v>
      </c>
      <c r="M10">
        <v>51</v>
      </c>
      <c r="N10">
        <f t="shared" si="1"/>
        <v>1.3421052631578947</v>
      </c>
      <c r="S10" s="6"/>
      <c r="T10" s="3"/>
      <c r="U10" s="2"/>
      <c r="V10" s="5"/>
      <c r="W10" s="5"/>
      <c r="X10" s="5"/>
    </row>
    <row r="11" spans="1:24" x14ac:dyDescent="0.2">
      <c r="A11" t="s">
        <v>101</v>
      </c>
      <c r="B11" t="s">
        <v>18</v>
      </c>
      <c r="C11">
        <v>35</v>
      </c>
      <c r="D11">
        <v>8</v>
      </c>
      <c r="E11">
        <v>0.22857142857142856</v>
      </c>
      <c r="F11">
        <v>26.4</v>
      </c>
      <c r="G11">
        <v>40</v>
      </c>
      <c r="H11">
        <v>553500000</v>
      </c>
      <c r="I11">
        <f t="shared" si="0"/>
        <v>0.11393507244706187</v>
      </c>
      <c r="J11">
        <v>0.11183673469387753</v>
      </c>
      <c r="K11">
        <v>0.49572240820447422</v>
      </c>
      <c r="L11">
        <v>10</v>
      </c>
      <c r="M11">
        <v>50</v>
      </c>
      <c r="N11">
        <f t="shared" si="1"/>
        <v>1.3157894736842106</v>
      </c>
      <c r="S11" s="6"/>
      <c r="T11" s="3"/>
      <c r="U11" s="4"/>
      <c r="V11" s="5"/>
      <c r="W11" s="5"/>
      <c r="X11" s="5"/>
    </row>
    <row r="12" spans="1:24" x14ac:dyDescent="0.2">
      <c r="A12" t="s">
        <v>101</v>
      </c>
      <c r="B12" t="s">
        <v>5</v>
      </c>
      <c r="C12">
        <v>35</v>
      </c>
      <c r="D12">
        <v>15</v>
      </c>
      <c r="E12">
        <v>0.42857142857142855</v>
      </c>
      <c r="F12">
        <v>26.5</v>
      </c>
      <c r="G12">
        <v>39</v>
      </c>
      <c r="H12">
        <v>249850000</v>
      </c>
      <c r="I12">
        <f t="shared" si="0"/>
        <v>5.1430312287079331E-2</v>
      </c>
      <c r="J12">
        <v>0.21306122448979589</v>
      </c>
      <c r="K12">
        <v>0.5741990648934816</v>
      </c>
      <c r="L12">
        <v>11</v>
      </c>
      <c r="M12">
        <v>47</v>
      </c>
      <c r="N12">
        <f t="shared" si="1"/>
        <v>1.236842105263158</v>
      </c>
      <c r="S12" s="6"/>
      <c r="T12" s="3"/>
      <c r="U12" s="2"/>
      <c r="V12" s="5"/>
      <c r="W12" s="5"/>
      <c r="X12" s="5"/>
    </row>
    <row r="13" spans="1:24" x14ac:dyDescent="0.2">
      <c r="A13" t="s">
        <v>101</v>
      </c>
      <c r="B13" t="s">
        <v>8</v>
      </c>
      <c r="C13">
        <v>31</v>
      </c>
      <c r="D13">
        <v>9</v>
      </c>
      <c r="E13">
        <v>0.29032258064516131</v>
      </c>
      <c r="F13">
        <v>27.5</v>
      </c>
      <c r="G13">
        <v>36</v>
      </c>
      <c r="H13">
        <v>145800000</v>
      </c>
      <c r="I13">
        <f t="shared" si="0"/>
        <v>3.0012165425079715E-2</v>
      </c>
      <c r="J13">
        <v>0.11550468262226847</v>
      </c>
      <c r="K13">
        <v>0.43420210333790599</v>
      </c>
      <c r="L13">
        <v>12</v>
      </c>
      <c r="M13">
        <v>47</v>
      </c>
      <c r="N13">
        <f t="shared" si="1"/>
        <v>1.236842105263158</v>
      </c>
      <c r="S13" s="6"/>
      <c r="T13" s="3"/>
      <c r="U13" s="2"/>
      <c r="V13" s="5"/>
      <c r="W13" s="5"/>
      <c r="X13" s="5"/>
    </row>
    <row r="14" spans="1:24" x14ac:dyDescent="0.2">
      <c r="A14" t="s">
        <v>101</v>
      </c>
      <c r="B14" t="s">
        <v>34</v>
      </c>
      <c r="C14">
        <v>33</v>
      </c>
      <c r="D14">
        <v>3</v>
      </c>
      <c r="E14">
        <v>9.0909090909090912E-2</v>
      </c>
      <c r="F14">
        <v>28.1</v>
      </c>
      <c r="G14">
        <v>39</v>
      </c>
      <c r="H14">
        <v>137000000</v>
      </c>
      <c r="I14">
        <f t="shared" si="0"/>
        <v>2.8200731572262831E-2</v>
      </c>
      <c r="J14">
        <v>5.0505050505050504E-2</v>
      </c>
      <c r="K14">
        <v>0.43401844026123709</v>
      </c>
      <c r="L14">
        <v>13</v>
      </c>
      <c r="M14">
        <v>45</v>
      </c>
      <c r="N14">
        <f t="shared" si="1"/>
        <v>1.1842105263157894</v>
      </c>
      <c r="S14" s="6"/>
      <c r="T14" s="3"/>
      <c r="U14" s="2"/>
      <c r="V14" s="5"/>
      <c r="W14" s="5"/>
      <c r="X14" s="5"/>
    </row>
    <row r="15" spans="1:24" x14ac:dyDescent="0.2">
      <c r="A15" t="s">
        <v>101</v>
      </c>
      <c r="B15" t="s">
        <v>14</v>
      </c>
      <c r="C15">
        <v>32</v>
      </c>
      <c r="D15">
        <v>11</v>
      </c>
      <c r="E15">
        <v>0.34375</v>
      </c>
      <c r="F15">
        <v>28.6</v>
      </c>
      <c r="G15">
        <v>35</v>
      </c>
      <c r="H15">
        <v>113100000</v>
      </c>
      <c r="I15">
        <f t="shared" si="0"/>
        <v>2.3281041903816978E-2</v>
      </c>
      <c r="J15">
        <v>0.154296875</v>
      </c>
      <c r="K15">
        <v>0.39323607427055696</v>
      </c>
      <c r="L15">
        <v>14</v>
      </c>
      <c r="M15">
        <v>43</v>
      </c>
      <c r="N15">
        <f t="shared" si="1"/>
        <v>1.131578947368421</v>
      </c>
      <c r="S15" s="6"/>
      <c r="T15" s="3"/>
      <c r="U15" s="2"/>
      <c r="V15" s="5"/>
      <c r="W15" s="5"/>
      <c r="X15" s="5"/>
    </row>
    <row r="16" spans="1:24" x14ac:dyDescent="0.2">
      <c r="A16" t="s">
        <v>101</v>
      </c>
      <c r="B16" t="s">
        <v>28</v>
      </c>
      <c r="C16">
        <v>34</v>
      </c>
      <c r="D16">
        <v>16</v>
      </c>
      <c r="E16">
        <v>0.47058823529411764</v>
      </c>
      <c r="F16">
        <v>27.5</v>
      </c>
      <c r="G16">
        <v>38</v>
      </c>
      <c r="H16">
        <v>135700000</v>
      </c>
      <c r="I16">
        <f t="shared" si="0"/>
        <v>2.7933133389460338E-2</v>
      </c>
      <c r="J16">
        <v>0.24221453287197231</v>
      </c>
      <c r="K16">
        <v>0.43730600031263278</v>
      </c>
      <c r="L16">
        <v>15</v>
      </c>
      <c r="M16">
        <v>42</v>
      </c>
      <c r="N16">
        <f t="shared" si="1"/>
        <v>1.1052631578947369</v>
      </c>
      <c r="S16" s="6"/>
      <c r="T16" s="3"/>
      <c r="U16" s="2"/>
      <c r="V16" s="5"/>
      <c r="W16" s="5"/>
      <c r="X16" s="5"/>
    </row>
    <row r="17" spans="1:24" x14ac:dyDescent="0.2">
      <c r="A17" t="s">
        <v>101</v>
      </c>
      <c r="B17" t="s">
        <v>36</v>
      </c>
      <c r="C17">
        <v>34</v>
      </c>
      <c r="D17">
        <v>18</v>
      </c>
      <c r="E17">
        <v>0.52941176470588236</v>
      </c>
      <c r="F17">
        <v>27.5</v>
      </c>
      <c r="G17">
        <v>49</v>
      </c>
      <c r="H17">
        <v>99900000</v>
      </c>
      <c r="I17">
        <f t="shared" si="0"/>
        <v>2.0563891124591654E-2</v>
      </c>
      <c r="J17">
        <v>0.30103806228373703</v>
      </c>
      <c r="K17">
        <v>0.55452888786222143</v>
      </c>
      <c r="L17">
        <v>16</v>
      </c>
      <c r="M17">
        <v>42</v>
      </c>
      <c r="N17">
        <f t="shared" si="1"/>
        <v>1.1052631578947369</v>
      </c>
      <c r="S17" s="6"/>
      <c r="T17" s="3"/>
      <c r="U17" s="4"/>
      <c r="V17" s="5"/>
      <c r="W17" s="5"/>
      <c r="X17" s="5"/>
    </row>
    <row r="18" spans="1:24" x14ac:dyDescent="0.2">
      <c r="A18" t="s">
        <v>101</v>
      </c>
      <c r="B18" t="s">
        <v>9</v>
      </c>
      <c r="C18">
        <v>36</v>
      </c>
      <c r="D18">
        <v>12</v>
      </c>
      <c r="E18">
        <v>0.33333333333333331</v>
      </c>
      <c r="F18">
        <v>27.2</v>
      </c>
      <c r="G18">
        <v>42</v>
      </c>
      <c r="H18">
        <v>111250000</v>
      </c>
      <c r="I18">
        <f t="shared" si="0"/>
        <v>2.2900229105213429E-2</v>
      </c>
      <c r="J18">
        <v>0.14506172839506171</v>
      </c>
      <c r="K18">
        <v>0.38025195778004778</v>
      </c>
      <c r="L18">
        <v>17</v>
      </c>
      <c r="M18">
        <v>39</v>
      </c>
      <c r="N18">
        <f t="shared" si="1"/>
        <v>1.0263157894736843</v>
      </c>
      <c r="S18" s="6"/>
      <c r="T18" s="3"/>
      <c r="U18" s="2"/>
      <c r="V18" s="5"/>
      <c r="W18" s="5"/>
      <c r="X18" s="5"/>
    </row>
    <row r="19" spans="1:24" x14ac:dyDescent="0.2">
      <c r="A19" t="s">
        <v>101</v>
      </c>
      <c r="B19" t="s">
        <v>6</v>
      </c>
      <c r="C19">
        <v>37</v>
      </c>
      <c r="D19">
        <v>12</v>
      </c>
      <c r="E19">
        <v>0.32432432432432434</v>
      </c>
      <c r="F19">
        <v>25.2</v>
      </c>
      <c r="G19">
        <v>42</v>
      </c>
      <c r="H19">
        <v>198000000</v>
      </c>
      <c r="I19">
        <f t="shared" si="0"/>
        <v>4.0757261688379856E-2</v>
      </c>
      <c r="J19">
        <v>0.15120525931336742</v>
      </c>
      <c r="K19">
        <v>0.47979797979797989</v>
      </c>
      <c r="L19">
        <v>18</v>
      </c>
      <c r="M19">
        <v>37</v>
      </c>
      <c r="N19">
        <f t="shared" si="1"/>
        <v>0.97368421052631582</v>
      </c>
      <c r="S19" s="6"/>
      <c r="T19" s="3"/>
      <c r="U19" s="2"/>
      <c r="V19" s="5"/>
      <c r="W19" s="5"/>
      <c r="X19" s="5"/>
    </row>
    <row r="20" spans="1:24" x14ac:dyDescent="0.2">
      <c r="A20" t="s">
        <v>101</v>
      </c>
      <c r="B20" t="s">
        <v>35</v>
      </c>
      <c r="C20">
        <v>30</v>
      </c>
      <c r="D20">
        <v>12</v>
      </c>
      <c r="E20">
        <v>0.4</v>
      </c>
      <c r="F20">
        <v>27.7</v>
      </c>
      <c r="G20">
        <v>41</v>
      </c>
      <c r="H20">
        <v>116900000</v>
      </c>
      <c r="I20">
        <f t="shared" si="0"/>
        <v>2.4063251976624268E-2</v>
      </c>
      <c r="J20">
        <v>0.1977777777777778</v>
      </c>
      <c r="K20">
        <v>0.38575810052369142</v>
      </c>
      <c r="L20">
        <v>19</v>
      </c>
      <c r="M20">
        <v>34</v>
      </c>
      <c r="N20">
        <f t="shared" si="1"/>
        <v>0.89473684210526316</v>
      </c>
      <c r="S20" s="6"/>
      <c r="T20" s="3"/>
      <c r="U20" s="2"/>
      <c r="V20" s="5"/>
      <c r="W20" s="5"/>
      <c r="X20" s="5"/>
    </row>
    <row r="21" spans="1:24" x14ac:dyDescent="0.2">
      <c r="A21" t="s">
        <v>101</v>
      </c>
      <c r="B21" t="s">
        <v>12</v>
      </c>
      <c r="C21">
        <v>35</v>
      </c>
      <c r="D21">
        <v>15</v>
      </c>
      <c r="E21">
        <v>0.42857142857142855</v>
      </c>
      <c r="F21">
        <v>26.2</v>
      </c>
      <c r="G21">
        <v>44</v>
      </c>
      <c r="H21">
        <v>117950000</v>
      </c>
      <c r="I21">
        <f t="shared" si="0"/>
        <v>2.4279388970426283E-2</v>
      </c>
      <c r="J21">
        <v>0.21632653061224488</v>
      </c>
      <c r="K21">
        <v>0.42344712365658421</v>
      </c>
      <c r="L21">
        <v>20</v>
      </c>
      <c r="M21">
        <v>17</v>
      </c>
      <c r="N21">
        <f t="shared" si="1"/>
        <v>0.44736842105263158</v>
      </c>
      <c r="S21" s="6"/>
      <c r="T21" s="3"/>
      <c r="U21" s="2"/>
      <c r="V21" s="5"/>
      <c r="W21" s="5"/>
      <c r="X21" s="5"/>
    </row>
  </sheetData>
  <sortState xmlns:xlrd2="http://schemas.microsoft.com/office/spreadsheetml/2017/richdata2" ref="B2:N21">
    <sortCondition ref="L2:L21"/>
  </sortState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34AE-A198-4B49-9631-54837240B621}">
  <dimension ref="A1:Y21"/>
  <sheetViews>
    <sheetView topLeftCell="D1" workbookViewId="0">
      <selection activeCell="F26" sqref="F26"/>
    </sheetView>
  </sheetViews>
  <sheetFormatPr baseColWidth="10" defaultRowHeight="16" x14ac:dyDescent="0.2"/>
  <cols>
    <col min="2" max="2" width="19.33203125" bestFit="1" customWidth="1"/>
    <col min="3" max="3" width="22.1640625" bestFit="1" customWidth="1"/>
    <col min="4" max="4" width="37.5" bestFit="1" customWidth="1"/>
    <col min="5" max="5" width="39.33203125" bestFit="1" customWidth="1"/>
    <col min="6" max="6" width="28.6640625" bestFit="1" customWidth="1"/>
    <col min="7" max="7" width="13.6640625" bestFit="1" customWidth="1"/>
    <col min="8" max="8" width="24.83203125" bestFit="1" customWidth="1"/>
    <col min="9" max="9" width="29.83203125" bestFit="1" customWidth="1"/>
    <col min="10" max="10" width="13.6640625" bestFit="1" customWidth="1"/>
    <col min="11" max="11" width="29" bestFit="1" customWidth="1"/>
    <col min="12" max="12" width="7.6640625" bestFit="1" customWidth="1"/>
    <col min="13" max="13" width="4" bestFit="1" customWidth="1"/>
    <col min="14" max="14" width="12.5" bestFit="1" customWidth="1"/>
    <col min="16" max="16" width="12.5" bestFit="1" customWidth="1"/>
  </cols>
  <sheetData>
    <row r="1" spans="1:25" x14ac:dyDescent="0.2">
      <c r="A1" s="7" t="s">
        <v>120</v>
      </c>
      <c r="B1" s="7" t="s">
        <v>0</v>
      </c>
      <c r="C1" s="7" t="s">
        <v>115</v>
      </c>
      <c r="D1" s="7" t="s">
        <v>122</v>
      </c>
      <c r="E1" s="7" t="s">
        <v>126</v>
      </c>
      <c r="F1" s="7" t="s">
        <v>121</v>
      </c>
      <c r="G1" s="7" t="s">
        <v>114</v>
      </c>
      <c r="H1" s="7" t="s">
        <v>124</v>
      </c>
      <c r="I1" s="7" t="s">
        <v>125</v>
      </c>
      <c r="J1" s="7" t="s">
        <v>116</v>
      </c>
      <c r="K1" s="7" t="s">
        <v>129</v>
      </c>
      <c r="L1" s="7" t="s">
        <v>23</v>
      </c>
      <c r="M1" s="7" t="s">
        <v>22</v>
      </c>
      <c r="N1" s="7" t="s">
        <v>45</v>
      </c>
      <c r="T1" s="1"/>
      <c r="U1" s="1"/>
      <c r="V1" s="1"/>
      <c r="W1" s="1"/>
      <c r="X1" s="1"/>
    </row>
    <row r="2" spans="1:25" x14ac:dyDescent="0.2">
      <c r="A2" t="s">
        <v>105</v>
      </c>
      <c r="B2" t="s">
        <v>24</v>
      </c>
      <c r="C2">
        <v>26</v>
      </c>
      <c r="D2">
        <v>5</v>
      </c>
      <c r="E2">
        <v>0.19230769230769232</v>
      </c>
      <c r="F2">
        <v>27</v>
      </c>
      <c r="G2">
        <v>49</v>
      </c>
      <c r="H2">
        <v>686700000</v>
      </c>
      <c r="I2">
        <f>H2/SUM(H$2:H$21)</f>
        <v>0.11681630903331824</v>
      </c>
      <c r="J2">
        <v>0.13313609467455623</v>
      </c>
      <c r="K2">
        <v>0.57869788369694775</v>
      </c>
      <c r="L2">
        <v>1</v>
      </c>
      <c r="M2">
        <v>93</v>
      </c>
      <c r="N2">
        <f t="shared" ref="N2:N21" si="0">M2/38</f>
        <v>2.4473684210526314</v>
      </c>
      <c r="T2" s="6"/>
      <c r="U2" s="3"/>
      <c r="V2" s="2"/>
      <c r="W2" s="5"/>
      <c r="X2" s="5"/>
      <c r="Y2" s="5"/>
    </row>
    <row r="3" spans="1:25" x14ac:dyDescent="0.2">
      <c r="A3" t="s">
        <v>105</v>
      </c>
      <c r="B3" t="s">
        <v>4</v>
      </c>
      <c r="C3">
        <v>29</v>
      </c>
      <c r="D3">
        <v>12</v>
      </c>
      <c r="E3">
        <v>0.41379310344827586</v>
      </c>
      <c r="F3">
        <v>24.9</v>
      </c>
      <c r="G3">
        <v>38</v>
      </c>
      <c r="H3">
        <v>543650000</v>
      </c>
      <c r="I3">
        <f t="shared" ref="I3:I21" si="1">H3/SUM(H$2:H$21)</f>
        <v>9.248170439196661E-2</v>
      </c>
      <c r="J3">
        <v>0.2033293697978597</v>
      </c>
      <c r="K3">
        <v>0.51090568963678429</v>
      </c>
      <c r="L3">
        <v>2</v>
      </c>
      <c r="M3">
        <v>86</v>
      </c>
      <c r="N3">
        <f t="shared" si="0"/>
        <v>2.263157894736842</v>
      </c>
      <c r="T3" s="6"/>
      <c r="U3" s="3"/>
      <c r="V3" s="2"/>
      <c r="W3" s="5"/>
      <c r="X3" s="5"/>
      <c r="Y3" s="5"/>
    </row>
    <row r="4" spans="1:25" x14ac:dyDescent="0.2">
      <c r="A4" t="s">
        <v>105</v>
      </c>
      <c r="B4" t="s">
        <v>1</v>
      </c>
      <c r="C4">
        <v>29</v>
      </c>
      <c r="D4">
        <v>5</v>
      </c>
      <c r="E4">
        <v>0.17241379310344829</v>
      </c>
      <c r="F4">
        <v>28.1</v>
      </c>
      <c r="G4">
        <v>35</v>
      </c>
      <c r="H4">
        <v>576500000</v>
      </c>
      <c r="I4">
        <f t="shared" si="1"/>
        <v>9.8069902661581429E-2</v>
      </c>
      <c r="J4">
        <v>0.11533888228299644</v>
      </c>
      <c r="K4">
        <v>0.49901442876291102</v>
      </c>
      <c r="L4">
        <v>3</v>
      </c>
      <c r="M4">
        <v>78</v>
      </c>
      <c r="N4">
        <f t="shared" si="0"/>
        <v>2.0526315789473686</v>
      </c>
      <c r="T4" s="6"/>
      <c r="U4" s="3"/>
      <c r="V4" s="2"/>
      <c r="W4" s="5"/>
      <c r="X4" s="5"/>
      <c r="Y4" s="5"/>
    </row>
    <row r="5" spans="1:25" x14ac:dyDescent="0.2">
      <c r="A5" t="s">
        <v>105</v>
      </c>
      <c r="B5" t="s">
        <v>3</v>
      </c>
      <c r="C5">
        <v>28</v>
      </c>
      <c r="D5">
        <v>10</v>
      </c>
      <c r="E5">
        <v>0.35714285714285715</v>
      </c>
      <c r="F5">
        <v>25.6</v>
      </c>
      <c r="G5">
        <v>38</v>
      </c>
      <c r="H5">
        <v>425650000</v>
      </c>
      <c r="I5">
        <f t="shared" si="1"/>
        <v>7.240841989228472E-2</v>
      </c>
      <c r="J5">
        <v>0.16581632653061223</v>
      </c>
      <c r="K5">
        <v>0.54653340642416171</v>
      </c>
      <c r="L5">
        <v>4</v>
      </c>
      <c r="M5">
        <v>76</v>
      </c>
      <c r="N5">
        <f t="shared" si="0"/>
        <v>2</v>
      </c>
      <c r="T5" s="6"/>
      <c r="U5" s="3"/>
      <c r="V5" s="2"/>
      <c r="W5" s="5"/>
      <c r="X5" s="5"/>
      <c r="Y5" s="5"/>
    </row>
    <row r="6" spans="1:25" x14ac:dyDescent="0.2">
      <c r="A6" t="s">
        <v>105</v>
      </c>
      <c r="B6" t="s">
        <v>2</v>
      </c>
      <c r="C6">
        <v>31</v>
      </c>
      <c r="D6">
        <v>11</v>
      </c>
      <c r="E6">
        <v>0.35483870967741937</v>
      </c>
      <c r="F6">
        <v>26.6</v>
      </c>
      <c r="G6">
        <v>42</v>
      </c>
      <c r="H6">
        <v>542000000</v>
      </c>
      <c r="I6">
        <f t="shared" si="1"/>
        <v>9.2201018634132062E-2</v>
      </c>
      <c r="J6">
        <v>0.186264308012487</v>
      </c>
      <c r="K6">
        <v>0.4940660217412986</v>
      </c>
      <c r="L6">
        <v>5</v>
      </c>
      <c r="M6">
        <v>75</v>
      </c>
      <c r="N6">
        <f t="shared" si="0"/>
        <v>1.9736842105263157</v>
      </c>
      <c r="T6" s="6"/>
      <c r="U6" s="3"/>
      <c r="V6" s="2"/>
      <c r="W6" s="5"/>
      <c r="X6" s="5"/>
      <c r="Y6" s="5"/>
    </row>
    <row r="7" spans="1:25" x14ac:dyDescent="0.2">
      <c r="A7" t="s">
        <v>105</v>
      </c>
      <c r="B7" t="s">
        <v>19</v>
      </c>
      <c r="C7">
        <v>35</v>
      </c>
      <c r="D7">
        <v>12</v>
      </c>
      <c r="E7">
        <v>0.34285714285714286</v>
      </c>
      <c r="F7">
        <v>26.4</v>
      </c>
      <c r="G7">
        <v>42</v>
      </c>
      <c r="H7">
        <v>531450000.00000006</v>
      </c>
      <c r="I7">
        <f t="shared" si="1"/>
        <v>9.0406330909796107E-2</v>
      </c>
      <c r="J7">
        <v>0.15265306122448979</v>
      </c>
      <c r="K7">
        <v>0.50013574721449383</v>
      </c>
      <c r="L7">
        <v>6</v>
      </c>
      <c r="M7">
        <v>69</v>
      </c>
      <c r="N7">
        <f t="shared" si="0"/>
        <v>1.8157894736842106</v>
      </c>
      <c r="T7" s="6"/>
      <c r="U7" s="3"/>
      <c r="V7" s="4"/>
      <c r="W7" s="5"/>
      <c r="X7" s="5"/>
      <c r="Y7" s="5"/>
    </row>
    <row r="8" spans="1:25" x14ac:dyDescent="0.2">
      <c r="A8" t="s">
        <v>105</v>
      </c>
      <c r="B8" t="s">
        <v>5</v>
      </c>
      <c r="C8">
        <v>31</v>
      </c>
      <c r="D8">
        <v>11</v>
      </c>
      <c r="E8">
        <v>0.35483870967741937</v>
      </c>
      <c r="F8">
        <v>27.2</v>
      </c>
      <c r="G8">
        <v>39</v>
      </c>
      <c r="H8">
        <v>311250000</v>
      </c>
      <c r="I8">
        <f t="shared" si="1"/>
        <v>5.2947540682423626E-2</v>
      </c>
      <c r="J8">
        <v>0.15296566077003124</v>
      </c>
      <c r="K8">
        <v>0.53871703028329532</v>
      </c>
      <c r="L8">
        <v>7</v>
      </c>
      <c r="M8">
        <v>61</v>
      </c>
      <c r="N8">
        <f t="shared" si="0"/>
        <v>1.6052631578947369</v>
      </c>
      <c r="T8" s="6"/>
      <c r="U8" s="3"/>
      <c r="V8" s="2"/>
      <c r="W8" s="5"/>
      <c r="X8" s="5"/>
      <c r="Y8" s="5"/>
    </row>
    <row r="9" spans="1:25" x14ac:dyDescent="0.2">
      <c r="A9" t="s">
        <v>105</v>
      </c>
      <c r="B9" t="s">
        <v>7</v>
      </c>
      <c r="C9">
        <v>34</v>
      </c>
      <c r="D9">
        <v>16</v>
      </c>
      <c r="E9">
        <v>0.47058823529411764</v>
      </c>
      <c r="F9">
        <v>25.8</v>
      </c>
      <c r="G9">
        <v>36</v>
      </c>
      <c r="H9">
        <v>263750000</v>
      </c>
      <c r="I9">
        <f t="shared" si="1"/>
        <v>4.4867193108399137E-2</v>
      </c>
      <c r="J9">
        <v>0.24048442906574394</v>
      </c>
      <c r="K9">
        <v>0.47577193738331175</v>
      </c>
      <c r="L9">
        <v>8</v>
      </c>
      <c r="M9">
        <v>46</v>
      </c>
      <c r="N9">
        <f t="shared" si="0"/>
        <v>1.2105263157894737</v>
      </c>
      <c r="T9" s="6"/>
      <c r="U9" s="3"/>
      <c r="V9" s="2"/>
      <c r="W9" s="5"/>
      <c r="X9" s="5"/>
      <c r="Y9" s="5"/>
    </row>
    <row r="10" spans="1:25" x14ac:dyDescent="0.2">
      <c r="A10" t="s">
        <v>105</v>
      </c>
      <c r="B10" t="s">
        <v>38</v>
      </c>
      <c r="C10">
        <v>30</v>
      </c>
      <c r="D10">
        <v>18</v>
      </c>
      <c r="E10">
        <v>0.6</v>
      </c>
      <c r="F10">
        <v>26.4</v>
      </c>
      <c r="G10">
        <v>41</v>
      </c>
      <c r="H10">
        <v>131600000</v>
      </c>
      <c r="I10">
        <f t="shared" si="1"/>
        <v>2.2386815594560482E-2</v>
      </c>
      <c r="J10">
        <v>0.37777777777777777</v>
      </c>
      <c r="K10">
        <v>0.47228818389057747</v>
      </c>
      <c r="L10">
        <v>9</v>
      </c>
      <c r="M10">
        <v>46</v>
      </c>
      <c r="N10">
        <f t="shared" si="0"/>
        <v>1.2105263157894737</v>
      </c>
      <c r="T10" s="6"/>
      <c r="U10" s="3"/>
      <c r="V10" s="2"/>
      <c r="W10" s="5"/>
      <c r="X10" s="5"/>
      <c r="Y10" s="5"/>
    </row>
    <row r="11" spans="1:25" x14ac:dyDescent="0.2">
      <c r="A11" t="s">
        <v>105</v>
      </c>
      <c r="B11" t="s">
        <v>14</v>
      </c>
      <c r="C11">
        <v>28</v>
      </c>
      <c r="D11">
        <v>11</v>
      </c>
      <c r="E11">
        <v>0.39285714285714285</v>
      </c>
      <c r="F11">
        <v>28.9</v>
      </c>
      <c r="G11">
        <v>30</v>
      </c>
      <c r="H11">
        <v>123200000</v>
      </c>
      <c r="I11">
        <f t="shared" si="1"/>
        <v>2.0957869918311937E-2</v>
      </c>
      <c r="J11">
        <v>0.19642857142857142</v>
      </c>
      <c r="K11">
        <v>0.48859180035650629</v>
      </c>
      <c r="L11">
        <v>10</v>
      </c>
      <c r="M11">
        <v>45</v>
      </c>
      <c r="N11">
        <f t="shared" si="0"/>
        <v>1.1842105263157894</v>
      </c>
      <c r="T11" s="6"/>
      <c r="U11" s="3"/>
      <c r="V11" s="2"/>
      <c r="W11" s="5"/>
      <c r="X11" s="5"/>
      <c r="Y11" s="5"/>
    </row>
    <row r="12" spans="1:25" x14ac:dyDescent="0.2">
      <c r="A12" t="s">
        <v>105</v>
      </c>
      <c r="B12" t="s">
        <v>11</v>
      </c>
      <c r="C12">
        <v>38</v>
      </c>
      <c r="D12">
        <v>13</v>
      </c>
      <c r="E12">
        <v>0.34210526315789475</v>
      </c>
      <c r="F12">
        <v>26.5</v>
      </c>
      <c r="G12">
        <v>44</v>
      </c>
      <c r="H12">
        <v>273050000</v>
      </c>
      <c r="I12">
        <f t="shared" si="1"/>
        <v>4.6449240107102878E-2</v>
      </c>
      <c r="J12">
        <v>0.14265927977839335</v>
      </c>
      <c r="K12">
        <v>0.44876445755405653</v>
      </c>
      <c r="L12">
        <v>11</v>
      </c>
      <c r="M12">
        <v>45</v>
      </c>
      <c r="N12">
        <f t="shared" si="0"/>
        <v>1.1842105263157894</v>
      </c>
      <c r="T12" s="6"/>
      <c r="U12" s="3"/>
      <c r="V12" s="2"/>
      <c r="W12" s="5"/>
      <c r="X12" s="5"/>
      <c r="Y12" s="5"/>
    </row>
    <row r="13" spans="1:25" x14ac:dyDescent="0.2">
      <c r="A13" t="s">
        <v>105</v>
      </c>
      <c r="B13" t="s">
        <v>40</v>
      </c>
      <c r="C13">
        <v>28</v>
      </c>
      <c r="D13">
        <v>8</v>
      </c>
      <c r="E13">
        <v>0.2857142857142857</v>
      </c>
      <c r="F13">
        <v>27.3</v>
      </c>
      <c r="G13">
        <v>31</v>
      </c>
      <c r="H13">
        <v>218650000</v>
      </c>
      <c r="I13">
        <f t="shared" si="1"/>
        <v>3.7195115727588518E-2</v>
      </c>
      <c r="J13">
        <v>0.12244897959183673</v>
      </c>
      <c r="K13">
        <v>0.47493711410930717</v>
      </c>
      <c r="L13">
        <v>12</v>
      </c>
      <c r="M13">
        <v>44</v>
      </c>
      <c r="N13">
        <f t="shared" si="0"/>
        <v>1.1578947368421053</v>
      </c>
      <c r="T13" s="6"/>
      <c r="U13" s="3"/>
      <c r="V13" s="4"/>
      <c r="W13" s="5"/>
      <c r="X13" s="5"/>
      <c r="Y13" s="5"/>
    </row>
    <row r="14" spans="1:25" x14ac:dyDescent="0.2">
      <c r="A14" t="s">
        <v>105</v>
      </c>
      <c r="B14" t="s">
        <v>13</v>
      </c>
      <c r="C14">
        <v>30</v>
      </c>
      <c r="D14">
        <v>7</v>
      </c>
      <c r="E14">
        <v>0.23333333333333334</v>
      </c>
      <c r="F14">
        <v>28.6</v>
      </c>
      <c r="G14">
        <v>34</v>
      </c>
      <c r="H14">
        <v>186000000</v>
      </c>
      <c r="I14">
        <f t="shared" si="1"/>
        <v>3.1640939974074841E-2</v>
      </c>
      <c r="J14">
        <v>0.1</v>
      </c>
      <c r="K14">
        <v>0.48763440860215057</v>
      </c>
      <c r="L14">
        <v>13</v>
      </c>
      <c r="M14">
        <v>44</v>
      </c>
      <c r="N14">
        <f t="shared" si="0"/>
        <v>1.1578947368421053</v>
      </c>
      <c r="T14" s="6"/>
      <c r="U14" s="3"/>
      <c r="V14" s="2"/>
      <c r="W14" s="5"/>
      <c r="X14" s="5"/>
      <c r="Y14" s="5"/>
    </row>
    <row r="15" spans="1:25" x14ac:dyDescent="0.2">
      <c r="A15" t="s">
        <v>105</v>
      </c>
      <c r="B15" t="s">
        <v>28</v>
      </c>
      <c r="C15">
        <v>40</v>
      </c>
      <c r="D15">
        <v>16</v>
      </c>
      <c r="E15">
        <v>0.4</v>
      </c>
      <c r="F15">
        <v>27.8</v>
      </c>
      <c r="G15">
        <v>45</v>
      </c>
      <c r="H15">
        <v>228430000</v>
      </c>
      <c r="I15">
        <f t="shared" si="1"/>
        <v>3.8858816764935036E-2</v>
      </c>
      <c r="J15">
        <v>0.19125000000000003</v>
      </c>
      <c r="K15">
        <v>0.53255704106495871</v>
      </c>
      <c r="L15">
        <v>14</v>
      </c>
      <c r="M15">
        <v>41</v>
      </c>
      <c r="N15">
        <f t="shared" si="0"/>
        <v>1.0789473684210527</v>
      </c>
      <c r="T15" s="6"/>
      <c r="U15" s="3"/>
      <c r="V15" s="2"/>
      <c r="W15" s="5"/>
      <c r="X15" s="5"/>
      <c r="Y15" s="5"/>
    </row>
    <row r="16" spans="1:25" x14ac:dyDescent="0.2">
      <c r="A16" t="s">
        <v>105</v>
      </c>
      <c r="B16" t="s">
        <v>8</v>
      </c>
      <c r="C16">
        <v>30</v>
      </c>
      <c r="D16">
        <v>7</v>
      </c>
      <c r="E16">
        <v>0.23333333333333334</v>
      </c>
      <c r="F16">
        <v>27.3</v>
      </c>
      <c r="G16">
        <v>37</v>
      </c>
      <c r="H16">
        <v>157100000</v>
      </c>
      <c r="I16">
        <f t="shared" si="1"/>
        <v>2.6724686397457838E-2</v>
      </c>
      <c r="J16">
        <v>0.1088888888888889</v>
      </c>
      <c r="K16">
        <v>0.4809392460570055</v>
      </c>
      <c r="L16">
        <v>15</v>
      </c>
      <c r="M16">
        <v>41</v>
      </c>
      <c r="N16">
        <f t="shared" si="0"/>
        <v>1.0789473684210527</v>
      </c>
      <c r="T16" s="6"/>
      <c r="U16" s="3"/>
      <c r="V16" s="2"/>
      <c r="W16" s="5"/>
      <c r="X16" s="5"/>
      <c r="Y16" s="5"/>
    </row>
    <row r="17" spans="1:25" x14ac:dyDescent="0.2">
      <c r="A17" t="s">
        <v>105</v>
      </c>
      <c r="B17" t="s">
        <v>29</v>
      </c>
      <c r="C17">
        <v>30</v>
      </c>
      <c r="D17">
        <v>17</v>
      </c>
      <c r="E17">
        <v>0.56666666666666665</v>
      </c>
      <c r="F17">
        <v>27.4</v>
      </c>
      <c r="G17">
        <v>36</v>
      </c>
      <c r="H17">
        <v>107180000</v>
      </c>
      <c r="I17">
        <f t="shared" si="1"/>
        <v>1.8232666378609364E-2</v>
      </c>
      <c r="J17">
        <v>0.34888888888888886</v>
      </c>
      <c r="K17">
        <v>0.54102004692709837</v>
      </c>
      <c r="L17">
        <v>16</v>
      </c>
      <c r="M17">
        <v>40</v>
      </c>
      <c r="N17">
        <f t="shared" si="0"/>
        <v>1.0526315789473684</v>
      </c>
      <c r="T17" s="6"/>
      <c r="U17" s="3"/>
      <c r="V17" s="4"/>
      <c r="W17" s="5"/>
      <c r="X17" s="5"/>
      <c r="Y17" s="5"/>
    </row>
    <row r="18" spans="1:25" x14ac:dyDescent="0.2">
      <c r="A18" t="s">
        <v>105</v>
      </c>
      <c r="B18" t="s">
        <v>37</v>
      </c>
      <c r="C18">
        <v>38</v>
      </c>
      <c r="D18">
        <v>9</v>
      </c>
      <c r="E18">
        <v>0.23684210526315788</v>
      </c>
      <c r="F18">
        <v>28.4</v>
      </c>
      <c r="G18">
        <v>46</v>
      </c>
      <c r="H18">
        <v>175650000</v>
      </c>
      <c r="I18">
        <f t="shared" si="1"/>
        <v>2.9880274765840032E-2</v>
      </c>
      <c r="J18">
        <v>8.3102493074792241E-2</v>
      </c>
      <c r="K18">
        <v>0.41964844861941364</v>
      </c>
      <c r="L18">
        <v>17</v>
      </c>
      <c r="M18">
        <v>40</v>
      </c>
      <c r="N18">
        <f t="shared" si="0"/>
        <v>1.0526315789473684</v>
      </c>
      <c r="T18" s="6"/>
      <c r="U18" s="3"/>
      <c r="V18" s="2"/>
      <c r="W18" s="5"/>
      <c r="X18" s="5"/>
      <c r="Y18" s="5"/>
    </row>
    <row r="19" spans="1:25" x14ac:dyDescent="0.2">
      <c r="A19" t="s">
        <v>105</v>
      </c>
      <c r="B19" t="s">
        <v>17</v>
      </c>
      <c r="C19">
        <v>34</v>
      </c>
      <c r="D19">
        <v>13</v>
      </c>
      <c r="E19">
        <v>0.38235294117647056</v>
      </c>
      <c r="F19">
        <v>27.2</v>
      </c>
      <c r="G19">
        <v>42</v>
      </c>
      <c r="H19">
        <v>135850000</v>
      </c>
      <c r="I19">
        <f t="shared" si="1"/>
        <v>2.3109794061710039E-2</v>
      </c>
      <c r="J19">
        <v>0.18339100346020759</v>
      </c>
      <c r="K19">
        <v>0.42643672117356318</v>
      </c>
      <c r="L19">
        <v>18</v>
      </c>
      <c r="M19">
        <v>34</v>
      </c>
      <c r="N19">
        <f t="shared" si="0"/>
        <v>0.89473684210526316</v>
      </c>
      <c r="T19" s="6"/>
      <c r="U19" s="3"/>
      <c r="V19" s="2"/>
      <c r="W19" s="5"/>
      <c r="X19" s="5"/>
      <c r="Y19" s="5"/>
    </row>
    <row r="20" spans="1:25" x14ac:dyDescent="0.2">
      <c r="A20" t="s">
        <v>105</v>
      </c>
      <c r="B20" t="s">
        <v>39</v>
      </c>
      <c r="C20">
        <v>32</v>
      </c>
      <c r="D20">
        <v>13</v>
      </c>
      <c r="E20">
        <v>0.40625</v>
      </c>
      <c r="F20">
        <v>27.1</v>
      </c>
      <c r="G20">
        <v>35</v>
      </c>
      <c r="H20">
        <v>128800000.00000001</v>
      </c>
      <c r="I20">
        <f t="shared" si="1"/>
        <v>2.1910500369144301E-2</v>
      </c>
      <c r="J20">
        <v>0.205078125</v>
      </c>
      <c r="K20">
        <v>0.45976042590949417</v>
      </c>
      <c r="L20">
        <v>19</v>
      </c>
      <c r="M20">
        <v>28</v>
      </c>
      <c r="N20">
        <f t="shared" si="0"/>
        <v>0.73684210526315785</v>
      </c>
      <c r="T20" s="6"/>
      <c r="U20" s="3"/>
      <c r="V20" s="2"/>
      <c r="W20" s="5"/>
      <c r="X20" s="5"/>
      <c r="Y20" s="5"/>
    </row>
    <row r="21" spans="1:25" x14ac:dyDescent="0.2">
      <c r="A21" t="s">
        <v>105</v>
      </c>
      <c r="B21" t="s">
        <v>9</v>
      </c>
      <c r="C21">
        <v>39</v>
      </c>
      <c r="D21">
        <v>13</v>
      </c>
      <c r="E21">
        <v>0.33333333333333331</v>
      </c>
      <c r="F21">
        <v>26.5</v>
      </c>
      <c r="G21">
        <v>42</v>
      </c>
      <c r="H21">
        <v>132000000</v>
      </c>
      <c r="I21">
        <f t="shared" si="1"/>
        <v>2.2454860626762791E-2</v>
      </c>
      <c r="J21">
        <v>0.13609467455621299</v>
      </c>
      <c r="K21">
        <v>0.43009641873278226</v>
      </c>
      <c r="L21">
        <v>20</v>
      </c>
      <c r="M21">
        <v>24</v>
      </c>
      <c r="N21">
        <f t="shared" si="0"/>
        <v>0.63157894736842102</v>
      </c>
      <c r="T21" s="6"/>
      <c r="U21" s="3"/>
      <c r="V21" s="2"/>
      <c r="W21" s="5"/>
      <c r="X21" s="5"/>
      <c r="Y21" s="5"/>
    </row>
  </sheetData>
  <sortState xmlns:xlrd2="http://schemas.microsoft.com/office/spreadsheetml/2017/richdata2" ref="B2:N21">
    <sortCondition ref="L2:L21"/>
  </sortState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BCC1-1582-0A40-8726-DC6A359F0371}">
  <dimension ref="A1:W21"/>
  <sheetViews>
    <sheetView workbookViewId="0">
      <selection activeCell="I31" sqref="I31"/>
    </sheetView>
  </sheetViews>
  <sheetFormatPr baseColWidth="10" defaultRowHeight="16" x14ac:dyDescent="0.2"/>
  <cols>
    <col min="2" max="2" width="20.1640625" bestFit="1" customWidth="1"/>
    <col min="3" max="3" width="22.1640625" bestFit="1" customWidth="1"/>
    <col min="4" max="4" width="37.5" bestFit="1" customWidth="1"/>
    <col min="5" max="5" width="39.33203125" bestFit="1" customWidth="1"/>
    <col min="6" max="6" width="28.6640625" bestFit="1" customWidth="1"/>
    <col min="7" max="7" width="13.6640625" bestFit="1" customWidth="1"/>
    <col min="8" max="8" width="24.83203125" bestFit="1" customWidth="1"/>
    <col min="9" max="9" width="26.83203125" bestFit="1" customWidth="1"/>
    <col min="10" max="10" width="13.6640625" bestFit="1" customWidth="1"/>
    <col min="11" max="11" width="27.83203125" bestFit="1" customWidth="1"/>
    <col min="12" max="12" width="7.6640625" bestFit="1" customWidth="1"/>
    <col min="13" max="13" width="4.1640625" bestFit="1" customWidth="1"/>
    <col min="14" max="14" width="12.5" bestFit="1" customWidth="1"/>
    <col min="17" max="17" width="24" bestFit="1" customWidth="1"/>
    <col min="18" max="18" width="25.83203125" bestFit="1" customWidth="1"/>
    <col min="19" max="19" width="23.33203125" bestFit="1" customWidth="1"/>
  </cols>
  <sheetData>
    <row r="1" spans="1:23" x14ac:dyDescent="0.2">
      <c r="A1" s="7" t="s">
        <v>120</v>
      </c>
      <c r="B1" s="7" t="s">
        <v>0</v>
      </c>
      <c r="C1" s="7" t="s">
        <v>115</v>
      </c>
      <c r="D1" s="7" t="s">
        <v>122</v>
      </c>
      <c r="E1" s="7" t="s">
        <v>126</v>
      </c>
      <c r="F1" s="7" t="s">
        <v>121</v>
      </c>
      <c r="G1" s="7" t="s">
        <v>114</v>
      </c>
      <c r="H1" s="7" t="s">
        <v>124</v>
      </c>
      <c r="I1" s="7" t="s">
        <v>125</v>
      </c>
      <c r="J1" s="7" t="s">
        <v>116</v>
      </c>
      <c r="K1" s="7" t="s">
        <v>129</v>
      </c>
      <c r="L1" s="7" t="s">
        <v>110</v>
      </c>
      <c r="M1" s="7" t="s">
        <v>22</v>
      </c>
      <c r="N1" s="7" t="s">
        <v>45</v>
      </c>
      <c r="R1" s="1"/>
      <c r="S1" s="1"/>
      <c r="T1" s="1"/>
      <c r="U1" s="1"/>
      <c r="V1" s="1"/>
    </row>
    <row r="2" spans="1:23" x14ac:dyDescent="0.2">
      <c r="A2" t="s">
        <v>107</v>
      </c>
      <c r="B2" t="s">
        <v>1</v>
      </c>
      <c r="C2">
        <v>26</v>
      </c>
      <c r="D2">
        <v>6</v>
      </c>
      <c r="E2">
        <v>0.23076923076923078</v>
      </c>
      <c r="F2">
        <v>26</v>
      </c>
      <c r="G2">
        <v>32</v>
      </c>
      <c r="H2">
        <v>1010000000</v>
      </c>
      <c r="I2">
        <f>H2/SUM(H$2:H$21)</f>
        <v>0.12492424148721691</v>
      </c>
      <c r="J2">
        <v>0.12130177514792902</v>
      </c>
      <c r="K2">
        <v>0.52229930624380583</v>
      </c>
      <c r="L2">
        <v>1</v>
      </c>
      <c r="M2">
        <v>100</v>
      </c>
      <c r="N2">
        <f>M2/38</f>
        <v>2.6315789473684212</v>
      </c>
      <c r="R2" s="6"/>
      <c r="S2" s="3"/>
      <c r="T2" s="2"/>
      <c r="U2" s="5"/>
      <c r="V2" s="5"/>
      <c r="W2" s="5"/>
    </row>
    <row r="3" spans="1:23" x14ac:dyDescent="0.2">
      <c r="A3" t="s">
        <v>107</v>
      </c>
      <c r="B3" t="s">
        <v>19</v>
      </c>
      <c r="C3">
        <v>28</v>
      </c>
      <c r="D3">
        <v>7</v>
      </c>
      <c r="E3">
        <v>0.25</v>
      </c>
      <c r="F3">
        <v>26.3</v>
      </c>
      <c r="G3">
        <v>35</v>
      </c>
      <c r="H3">
        <v>849500000</v>
      </c>
      <c r="I3">
        <f t="shared" ref="I3:I21" si="0">H3/SUM(H$2:H$21)</f>
        <v>0.10507241895385225</v>
      </c>
      <c r="J3">
        <v>0.10714285714285718</v>
      </c>
      <c r="K3">
        <v>0.52772048583566911</v>
      </c>
      <c r="L3">
        <v>2</v>
      </c>
      <c r="M3">
        <v>81</v>
      </c>
      <c r="N3">
        <f t="shared" ref="N3:N21" si="1">M3/38</f>
        <v>2.1315789473684212</v>
      </c>
      <c r="R3" s="6"/>
      <c r="S3" s="3"/>
      <c r="T3" s="4"/>
      <c r="U3" s="5"/>
      <c r="V3" s="5"/>
      <c r="W3" s="5"/>
    </row>
    <row r="4" spans="1:23" x14ac:dyDescent="0.2">
      <c r="A4" t="s">
        <v>107</v>
      </c>
      <c r="B4" t="s">
        <v>4</v>
      </c>
      <c r="C4">
        <v>31</v>
      </c>
      <c r="D4">
        <v>10</v>
      </c>
      <c r="E4">
        <v>0.32258064516129031</v>
      </c>
      <c r="F4">
        <v>25.8</v>
      </c>
      <c r="G4">
        <v>34</v>
      </c>
      <c r="H4">
        <v>829600000</v>
      </c>
      <c r="I4">
        <f t="shared" si="0"/>
        <v>0.10261104033445065</v>
      </c>
      <c r="J4">
        <v>0.14255983350676379</v>
      </c>
      <c r="K4">
        <v>0.536025393764063</v>
      </c>
      <c r="L4">
        <v>3</v>
      </c>
      <c r="M4">
        <v>77</v>
      </c>
      <c r="N4">
        <f t="shared" si="1"/>
        <v>2.0263157894736841</v>
      </c>
      <c r="R4" s="6"/>
      <c r="S4" s="3"/>
      <c r="T4" s="2"/>
      <c r="U4" s="5"/>
      <c r="V4" s="5"/>
      <c r="W4" s="5"/>
    </row>
    <row r="5" spans="1:23" x14ac:dyDescent="0.2">
      <c r="A5" t="s">
        <v>107</v>
      </c>
      <c r="B5" t="s">
        <v>3</v>
      </c>
      <c r="C5">
        <v>31</v>
      </c>
      <c r="D5">
        <v>12</v>
      </c>
      <c r="E5">
        <v>0.38709677419354838</v>
      </c>
      <c r="F5">
        <v>25.5</v>
      </c>
      <c r="G5">
        <v>35</v>
      </c>
      <c r="H5">
        <v>857500000</v>
      </c>
      <c r="I5">
        <f t="shared" si="0"/>
        <v>0.10606191789632524</v>
      </c>
      <c r="J5">
        <v>0.18002081165452638</v>
      </c>
      <c r="K5">
        <v>0.55291103454368762</v>
      </c>
      <c r="L5">
        <v>4</v>
      </c>
      <c r="M5">
        <v>75</v>
      </c>
      <c r="N5">
        <f t="shared" si="1"/>
        <v>1.9736842105263157</v>
      </c>
      <c r="R5" s="6"/>
      <c r="S5" s="3"/>
      <c r="T5" s="2"/>
      <c r="U5" s="5"/>
      <c r="V5" s="5"/>
      <c r="W5" s="5"/>
    </row>
    <row r="6" spans="1:23" x14ac:dyDescent="0.2">
      <c r="A6" t="s">
        <v>107</v>
      </c>
      <c r="B6" t="s">
        <v>18</v>
      </c>
      <c r="C6">
        <v>32</v>
      </c>
      <c r="D6">
        <v>7</v>
      </c>
      <c r="E6">
        <v>0.21875</v>
      </c>
      <c r="F6">
        <v>26.6</v>
      </c>
      <c r="G6">
        <v>46</v>
      </c>
      <c r="H6">
        <v>884250000</v>
      </c>
      <c r="I6">
        <f t="shared" si="0"/>
        <v>0.10937055498521936</v>
      </c>
      <c r="J6">
        <v>0.1171875</v>
      </c>
      <c r="K6">
        <v>0.54263769403718531</v>
      </c>
      <c r="L6">
        <v>5</v>
      </c>
      <c r="M6">
        <v>70</v>
      </c>
      <c r="N6">
        <f t="shared" si="1"/>
        <v>1.8421052631578947</v>
      </c>
      <c r="R6" s="6"/>
      <c r="S6" s="3"/>
      <c r="T6" s="4"/>
      <c r="U6" s="5"/>
      <c r="V6" s="5"/>
      <c r="W6" s="5"/>
    </row>
    <row r="7" spans="1:23" x14ac:dyDescent="0.2">
      <c r="A7" t="s">
        <v>107</v>
      </c>
      <c r="B7" t="s">
        <v>31</v>
      </c>
      <c r="C7">
        <v>33</v>
      </c>
      <c r="D7">
        <v>12</v>
      </c>
      <c r="E7">
        <v>0.36363636363636365</v>
      </c>
      <c r="F7">
        <v>26.5</v>
      </c>
      <c r="G7">
        <v>45</v>
      </c>
      <c r="H7">
        <v>694000000</v>
      </c>
      <c r="I7">
        <f t="shared" si="0"/>
        <v>8.583903325953321E-2</v>
      </c>
      <c r="J7">
        <v>0.17722681359044984</v>
      </c>
      <c r="K7">
        <v>0.55973167412016334</v>
      </c>
      <c r="L7">
        <v>6</v>
      </c>
      <c r="M7">
        <v>63</v>
      </c>
      <c r="N7">
        <f t="shared" si="1"/>
        <v>1.6578947368421053</v>
      </c>
      <c r="R7" s="6"/>
      <c r="S7" s="3"/>
      <c r="T7" s="4"/>
      <c r="U7" s="5"/>
      <c r="V7" s="5"/>
      <c r="W7" s="5"/>
    </row>
    <row r="8" spans="1:23" x14ac:dyDescent="0.2">
      <c r="A8" t="s">
        <v>107</v>
      </c>
      <c r="B8" t="s">
        <v>41</v>
      </c>
      <c r="C8">
        <v>29</v>
      </c>
      <c r="D8">
        <v>13</v>
      </c>
      <c r="E8">
        <v>0.44827586206896552</v>
      </c>
      <c r="F8">
        <v>27.3</v>
      </c>
      <c r="G8">
        <v>30</v>
      </c>
      <c r="H8">
        <v>169300000</v>
      </c>
      <c r="I8">
        <f t="shared" si="0"/>
        <v>2.0940271370084973E-2</v>
      </c>
      <c r="J8">
        <v>0.24375743162901323</v>
      </c>
      <c r="K8">
        <v>0.41875013529017024</v>
      </c>
      <c r="L8">
        <v>7</v>
      </c>
      <c r="M8">
        <v>54</v>
      </c>
      <c r="N8">
        <f t="shared" si="1"/>
        <v>1.4210526315789473</v>
      </c>
      <c r="R8" s="6"/>
      <c r="S8" s="3"/>
      <c r="T8" s="2"/>
      <c r="U8" s="5"/>
      <c r="V8" s="5"/>
      <c r="W8" s="5"/>
    </row>
    <row r="9" spans="1:23" x14ac:dyDescent="0.2">
      <c r="A9" t="s">
        <v>107</v>
      </c>
      <c r="B9" t="s">
        <v>5</v>
      </c>
      <c r="C9">
        <v>33</v>
      </c>
      <c r="D9">
        <v>11</v>
      </c>
      <c r="E9">
        <v>0.33333333333333331</v>
      </c>
      <c r="F9">
        <v>26.3</v>
      </c>
      <c r="G9">
        <v>48</v>
      </c>
      <c r="H9">
        <v>381250000</v>
      </c>
      <c r="I9">
        <f t="shared" si="0"/>
        <v>4.7155808977229152E-2</v>
      </c>
      <c r="J9">
        <v>0.14233241505968777</v>
      </c>
      <c r="K9">
        <v>0.45225725094577568</v>
      </c>
      <c r="L9">
        <v>8</v>
      </c>
      <c r="M9">
        <v>49</v>
      </c>
      <c r="N9">
        <f t="shared" si="1"/>
        <v>1.2894736842105263</v>
      </c>
      <c r="R9" s="6"/>
      <c r="S9" s="3"/>
      <c r="T9" s="2"/>
      <c r="U9" s="5"/>
      <c r="V9" s="5"/>
      <c r="W9" s="5"/>
    </row>
    <row r="10" spans="1:23" x14ac:dyDescent="0.2">
      <c r="A10" t="s">
        <v>107</v>
      </c>
      <c r="B10" t="s">
        <v>33</v>
      </c>
      <c r="C10">
        <v>31</v>
      </c>
      <c r="D10">
        <v>10</v>
      </c>
      <c r="E10">
        <v>0.32258064516129031</v>
      </c>
      <c r="F10">
        <v>26.8</v>
      </c>
      <c r="G10">
        <v>34</v>
      </c>
      <c r="H10">
        <v>304250000</v>
      </c>
      <c r="I10">
        <f t="shared" si="0"/>
        <v>3.7631881655926479E-2</v>
      </c>
      <c r="J10">
        <v>0.14047866805411025</v>
      </c>
      <c r="K10">
        <v>0.52720863042383448</v>
      </c>
      <c r="L10">
        <v>9</v>
      </c>
      <c r="M10">
        <v>47</v>
      </c>
      <c r="N10">
        <f t="shared" si="1"/>
        <v>1.236842105263158</v>
      </c>
      <c r="R10" s="6"/>
      <c r="S10" s="3"/>
      <c r="T10" s="2"/>
      <c r="U10" s="5"/>
      <c r="V10" s="5"/>
      <c r="W10" s="5"/>
    </row>
    <row r="11" spans="1:23" x14ac:dyDescent="0.2">
      <c r="A11" t="s">
        <v>107</v>
      </c>
      <c r="B11" t="s">
        <v>44</v>
      </c>
      <c r="C11">
        <v>28</v>
      </c>
      <c r="D11">
        <v>5</v>
      </c>
      <c r="E11">
        <v>0.17857142857142858</v>
      </c>
      <c r="F11">
        <v>25.5</v>
      </c>
      <c r="G11">
        <v>37</v>
      </c>
      <c r="H11">
        <v>208280000</v>
      </c>
      <c r="I11">
        <f t="shared" si="0"/>
        <v>2.576160496728469E-2</v>
      </c>
      <c r="J11">
        <v>9.6938775510204106E-2</v>
      </c>
      <c r="K11">
        <v>0.45824497525973962</v>
      </c>
      <c r="L11">
        <v>10</v>
      </c>
      <c r="M11">
        <v>44</v>
      </c>
      <c r="N11">
        <f t="shared" si="1"/>
        <v>1.1578947368421053</v>
      </c>
      <c r="R11" s="6"/>
      <c r="S11" s="3"/>
      <c r="T11" s="4"/>
      <c r="U11" s="5"/>
      <c r="V11" s="5"/>
      <c r="W11" s="5"/>
    </row>
    <row r="12" spans="1:23" x14ac:dyDescent="0.2">
      <c r="A12" t="s">
        <v>107</v>
      </c>
      <c r="B12" t="s">
        <v>28</v>
      </c>
      <c r="C12">
        <v>37</v>
      </c>
      <c r="D12">
        <v>14</v>
      </c>
      <c r="E12">
        <v>0.3783783783783784</v>
      </c>
      <c r="F12">
        <v>27</v>
      </c>
      <c r="G12">
        <v>41</v>
      </c>
      <c r="H12">
        <v>220730000</v>
      </c>
      <c r="I12">
        <f t="shared" si="0"/>
        <v>2.7301512696508306E-2</v>
      </c>
      <c r="J12">
        <v>0.16727538349159976</v>
      </c>
      <c r="K12">
        <v>0.54337033261600043</v>
      </c>
      <c r="L12">
        <v>11</v>
      </c>
      <c r="M12">
        <v>44</v>
      </c>
      <c r="N12">
        <f t="shared" si="1"/>
        <v>1.1578947368421053</v>
      </c>
      <c r="R12" s="6"/>
      <c r="S12" s="3"/>
      <c r="T12" s="2"/>
      <c r="U12" s="5"/>
      <c r="V12" s="5"/>
      <c r="W12" s="5"/>
    </row>
    <row r="13" spans="1:23" x14ac:dyDescent="0.2">
      <c r="A13" t="s">
        <v>107</v>
      </c>
      <c r="B13" t="s">
        <v>38</v>
      </c>
      <c r="C13">
        <v>28</v>
      </c>
      <c r="D13">
        <v>17</v>
      </c>
      <c r="E13">
        <v>0.6071428571428571</v>
      </c>
      <c r="F13">
        <v>26.7</v>
      </c>
      <c r="G13">
        <v>35</v>
      </c>
      <c r="H13">
        <v>144500000</v>
      </c>
      <c r="I13">
        <f t="shared" si="0"/>
        <v>1.7872824648418658E-2</v>
      </c>
      <c r="J13">
        <v>0.38265306122448961</v>
      </c>
      <c r="K13">
        <v>0.49976931949250286</v>
      </c>
      <c r="L13">
        <v>12</v>
      </c>
      <c r="M13">
        <v>44</v>
      </c>
      <c r="N13">
        <f t="shared" si="1"/>
        <v>1.1578947368421053</v>
      </c>
      <c r="R13" s="6"/>
      <c r="S13" s="3"/>
      <c r="T13" s="2"/>
      <c r="U13" s="5"/>
      <c r="V13" s="5"/>
      <c r="W13" s="5"/>
    </row>
    <row r="14" spans="1:23" x14ac:dyDescent="0.2">
      <c r="A14" t="s">
        <v>107</v>
      </c>
      <c r="B14" t="s">
        <v>11</v>
      </c>
      <c r="C14">
        <v>37</v>
      </c>
      <c r="D14">
        <v>14</v>
      </c>
      <c r="E14">
        <v>0.3783783783783784</v>
      </c>
      <c r="F14">
        <v>27.6</v>
      </c>
      <c r="G14">
        <v>41</v>
      </c>
      <c r="H14">
        <v>260600000.00000003</v>
      </c>
      <c r="I14">
        <f t="shared" si="0"/>
        <v>3.2232928051058152E-2</v>
      </c>
      <c r="J14">
        <v>0.17019722425127837</v>
      </c>
      <c r="K14">
        <v>0.46190916888628047</v>
      </c>
      <c r="L14">
        <v>13</v>
      </c>
      <c r="M14">
        <v>42</v>
      </c>
      <c r="N14">
        <f t="shared" si="1"/>
        <v>1.1052631578947369</v>
      </c>
      <c r="R14" s="6"/>
      <c r="S14" s="3"/>
      <c r="T14" s="2"/>
      <c r="U14" s="5"/>
      <c r="V14" s="5"/>
      <c r="W14" s="5"/>
    </row>
    <row r="15" spans="1:23" x14ac:dyDescent="0.2">
      <c r="A15" t="s">
        <v>107</v>
      </c>
      <c r="B15" t="s">
        <v>37</v>
      </c>
      <c r="C15">
        <v>36</v>
      </c>
      <c r="D15">
        <v>9</v>
      </c>
      <c r="E15">
        <v>0.25</v>
      </c>
      <c r="F15">
        <v>27.6</v>
      </c>
      <c r="G15">
        <v>37</v>
      </c>
      <c r="H15">
        <v>196000000</v>
      </c>
      <c r="I15">
        <f t="shared" si="0"/>
        <v>2.4242724090588627E-2</v>
      </c>
      <c r="J15">
        <v>9.7222222222222252E-2</v>
      </c>
      <c r="K15">
        <v>0.46376050420168063</v>
      </c>
      <c r="L15">
        <v>14</v>
      </c>
      <c r="M15">
        <v>41</v>
      </c>
      <c r="N15">
        <f t="shared" si="1"/>
        <v>1.0789473684210527</v>
      </c>
      <c r="R15" s="6"/>
      <c r="S15" s="3"/>
      <c r="T15" s="2"/>
      <c r="U15" s="5"/>
      <c r="V15" s="5"/>
      <c r="W15" s="5"/>
    </row>
    <row r="16" spans="1:23" x14ac:dyDescent="0.2">
      <c r="A16" t="s">
        <v>107</v>
      </c>
      <c r="B16" t="s">
        <v>42</v>
      </c>
      <c r="C16">
        <v>29</v>
      </c>
      <c r="D16">
        <v>9</v>
      </c>
      <c r="E16">
        <v>0.31034482758620691</v>
      </c>
      <c r="F16">
        <v>27.4</v>
      </c>
      <c r="G16">
        <v>39</v>
      </c>
      <c r="H16">
        <v>148200000</v>
      </c>
      <c r="I16">
        <f t="shared" si="0"/>
        <v>1.8330467909312424E-2</v>
      </c>
      <c r="J16">
        <v>0.12960760998810938</v>
      </c>
      <c r="K16">
        <v>0.52879612344600235</v>
      </c>
      <c r="L16">
        <v>15</v>
      </c>
      <c r="M16">
        <v>40</v>
      </c>
      <c r="N16">
        <f t="shared" si="1"/>
        <v>1.0526315789473684</v>
      </c>
      <c r="R16" s="6"/>
      <c r="S16" s="3"/>
      <c r="T16" s="2"/>
      <c r="U16" s="5"/>
      <c r="V16" s="5"/>
      <c r="W16" s="5"/>
    </row>
    <row r="17" spans="1:23" x14ac:dyDescent="0.2">
      <c r="A17" t="s">
        <v>107</v>
      </c>
      <c r="B17" t="s">
        <v>43</v>
      </c>
      <c r="C17">
        <v>28</v>
      </c>
      <c r="D17">
        <v>10</v>
      </c>
      <c r="E17">
        <v>0.35714285714285715</v>
      </c>
      <c r="F17">
        <v>26.2</v>
      </c>
      <c r="G17">
        <v>35</v>
      </c>
      <c r="H17">
        <v>106050000</v>
      </c>
      <c r="I17">
        <f t="shared" si="0"/>
        <v>1.3117045356157776E-2</v>
      </c>
      <c r="J17">
        <v>0.1760204081632652</v>
      </c>
      <c r="K17">
        <v>0.54018637157833438</v>
      </c>
      <c r="L17">
        <v>16</v>
      </c>
      <c r="M17">
        <v>37</v>
      </c>
      <c r="N17">
        <f t="shared" si="1"/>
        <v>0.97368421052631582</v>
      </c>
      <c r="R17" s="6"/>
      <c r="S17" s="3"/>
      <c r="T17" s="2"/>
      <c r="U17" s="5"/>
      <c r="V17" s="5"/>
      <c r="W17" s="5"/>
    </row>
    <row r="18" spans="1:23" x14ac:dyDescent="0.2">
      <c r="A18" t="s">
        <v>107</v>
      </c>
      <c r="B18" t="s">
        <v>7</v>
      </c>
      <c r="C18">
        <v>27</v>
      </c>
      <c r="D18">
        <v>11</v>
      </c>
      <c r="E18">
        <v>0.40740740740740738</v>
      </c>
      <c r="F18">
        <v>26</v>
      </c>
      <c r="G18">
        <v>29</v>
      </c>
      <c r="H18">
        <v>297000000</v>
      </c>
      <c r="I18">
        <f t="shared" si="0"/>
        <v>3.6735148239310317E-2</v>
      </c>
      <c r="J18">
        <v>0.19341563786008242</v>
      </c>
      <c r="K18">
        <v>0.437890812890813</v>
      </c>
      <c r="L18">
        <v>17</v>
      </c>
      <c r="M18">
        <v>36</v>
      </c>
      <c r="N18">
        <f t="shared" si="1"/>
        <v>0.94736842105263153</v>
      </c>
      <c r="R18" s="6"/>
      <c r="S18" s="3"/>
      <c r="T18" s="2"/>
      <c r="U18" s="5"/>
      <c r="V18" s="5"/>
      <c r="W18" s="5"/>
    </row>
    <row r="19" spans="1:23" x14ac:dyDescent="0.2">
      <c r="A19" t="s">
        <v>107</v>
      </c>
      <c r="B19" t="s">
        <v>8</v>
      </c>
      <c r="C19">
        <v>29</v>
      </c>
      <c r="D19">
        <v>9</v>
      </c>
      <c r="E19">
        <v>0.31034482758620691</v>
      </c>
      <c r="F19">
        <v>27</v>
      </c>
      <c r="G19">
        <v>36</v>
      </c>
      <c r="H19">
        <v>165490000</v>
      </c>
      <c r="I19">
        <f t="shared" si="0"/>
        <v>2.0469022498732205E-2</v>
      </c>
      <c r="J19">
        <v>0.15101070154577884</v>
      </c>
      <c r="K19">
        <v>0.50804497937255211</v>
      </c>
      <c r="L19">
        <v>18</v>
      </c>
      <c r="M19">
        <v>33</v>
      </c>
      <c r="N19">
        <f t="shared" si="1"/>
        <v>0.86842105263157898</v>
      </c>
      <c r="R19" s="6"/>
      <c r="S19" s="3"/>
      <c r="T19" s="2"/>
      <c r="U19" s="5"/>
      <c r="V19" s="5"/>
      <c r="W19" s="5"/>
    </row>
    <row r="20" spans="1:23" x14ac:dyDescent="0.2">
      <c r="A20" t="s">
        <v>107</v>
      </c>
      <c r="B20" t="s">
        <v>13</v>
      </c>
      <c r="C20">
        <v>32</v>
      </c>
      <c r="D20">
        <v>8</v>
      </c>
      <c r="E20">
        <v>0.25</v>
      </c>
      <c r="F20">
        <v>27.5</v>
      </c>
      <c r="G20">
        <v>35</v>
      </c>
      <c r="H20">
        <v>192450000</v>
      </c>
      <c r="I20">
        <f t="shared" si="0"/>
        <v>2.3803633934866231E-2</v>
      </c>
      <c r="J20">
        <v>0.1015625</v>
      </c>
      <c r="K20">
        <v>0.53411259541984746</v>
      </c>
      <c r="L20">
        <v>19</v>
      </c>
      <c r="M20">
        <v>33</v>
      </c>
      <c r="N20">
        <f t="shared" si="1"/>
        <v>0.86842105263157898</v>
      </c>
      <c r="R20" s="6"/>
      <c r="S20" s="3"/>
      <c r="T20" s="2"/>
      <c r="U20" s="5"/>
      <c r="V20" s="5"/>
      <c r="W20" s="5"/>
    </row>
    <row r="21" spans="1:23" x14ac:dyDescent="0.2">
      <c r="A21" t="s">
        <v>107</v>
      </c>
      <c r="B21" t="s">
        <v>14</v>
      </c>
      <c r="C21">
        <v>32</v>
      </c>
      <c r="D21">
        <v>16</v>
      </c>
      <c r="E21">
        <v>0.5</v>
      </c>
      <c r="F21">
        <v>28.7</v>
      </c>
      <c r="G21">
        <v>33</v>
      </c>
      <c r="H21">
        <v>165950000</v>
      </c>
      <c r="I21">
        <f t="shared" si="0"/>
        <v>2.0525918687924402E-2</v>
      </c>
      <c r="J21">
        <v>0.28125</v>
      </c>
      <c r="K21">
        <v>0.49687116006007392</v>
      </c>
      <c r="L21">
        <v>20</v>
      </c>
      <c r="M21">
        <v>31</v>
      </c>
      <c r="N21">
        <f t="shared" si="1"/>
        <v>0.81578947368421051</v>
      </c>
      <c r="R21" s="6"/>
      <c r="S21" s="3"/>
      <c r="T21" s="2"/>
      <c r="U21" s="5"/>
      <c r="V21" s="5"/>
      <c r="W21" s="5"/>
    </row>
  </sheetData>
  <sortState xmlns:xlrd2="http://schemas.microsoft.com/office/spreadsheetml/2017/richdata2" ref="B2:N21">
    <sortCondition ref="L2:L21"/>
  </sortState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8D3E-A64C-D747-9573-E365C61A4358}">
  <dimension ref="A1:AH65"/>
  <sheetViews>
    <sheetView tabSelected="1" topLeftCell="C1" workbookViewId="0">
      <selection activeCell="C32" sqref="C32"/>
    </sheetView>
  </sheetViews>
  <sheetFormatPr baseColWidth="10" defaultRowHeight="16" x14ac:dyDescent="0.2"/>
  <cols>
    <col min="1" max="1" width="19.33203125" bestFit="1" customWidth="1"/>
    <col min="2" max="2" width="13.6640625" bestFit="1" customWidth="1"/>
    <col min="3" max="3" width="22.1640625" bestFit="1" customWidth="1"/>
    <col min="4" max="4" width="13.6640625" bestFit="1" customWidth="1"/>
    <col min="5" max="5" width="13.6640625" customWidth="1"/>
    <col min="6" max="6" width="19.33203125" bestFit="1" customWidth="1"/>
    <col min="7" max="7" width="12.1640625" bestFit="1" customWidth="1"/>
    <col min="33" max="33" width="37.5" bestFit="1" customWidth="1"/>
    <col min="34" max="34" width="44" bestFit="1" customWidth="1"/>
  </cols>
  <sheetData>
    <row r="1" spans="1:34" x14ac:dyDescent="0.2">
      <c r="A1" s="21" t="s">
        <v>0</v>
      </c>
      <c r="B1" s="14" t="s">
        <v>114</v>
      </c>
      <c r="C1" s="14" t="s">
        <v>115</v>
      </c>
      <c r="D1" s="15" t="s">
        <v>116</v>
      </c>
      <c r="F1" s="21" t="s">
        <v>0</v>
      </c>
      <c r="G1" s="26" t="s">
        <v>111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8"/>
      <c r="AG1" s="16" t="s">
        <v>122</v>
      </c>
      <c r="AH1" s="16" t="s">
        <v>123</v>
      </c>
    </row>
    <row r="2" spans="1:34" x14ac:dyDescent="0.2">
      <c r="A2" s="8" t="s">
        <v>1</v>
      </c>
      <c r="B2">
        <v>27</v>
      </c>
      <c r="C2">
        <f>SUM(G2:S2)</f>
        <v>24</v>
      </c>
      <c r="D2" s="11">
        <v>0.11458333333333333</v>
      </c>
      <c r="F2" s="8" t="s">
        <v>1</v>
      </c>
      <c r="G2" s="8">
        <v>3</v>
      </c>
      <c r="H2">
        <v>1</v>
      </c>
      <c r="I2">
        <v>1</v>
      </c>
      <c r="J2">
        <v>1</v>
      </c>
      <c r="K2">
        <v>1</v>
      </c>
      <c r="L2">
        <v>5</v>
      </c>
      <c r="M2">
        <v>2</v>
      </c>
      <c r="N2">
        <v>1</v>
      </c>
      <c r="O2">
        <v>1</v>
      </c>
      <c r="P2">
        <v>1</v>
      </c>
      <c r="Q2">
        <v>2</v>
      </c>
      <c r="R2">
        <v>1</v>
      </c>
      <c r="S2">
        <v>4</v>
      </c>
      <c r="AE2" s="11"/>
      <c r="AG2" s="16">
        <f>L2</f>
        <v>5</v>
      </c>
      <c r="AH2" s="16">
        <f>AG2/C2</f>
        <v>0.20833333333333334</v>
      </c>
    </row>
    <row r="3" spans="1:34" x14ac:dyDescent="0.2">
      <c r="A3" s="8" t="s">
        <v>3</v>
      </c>
      <c r="B3">
        <v>36</v>
      </c>
      <c r="C3">
        <f>SUM(G3:T3)</f>
        <v>30</v>
      </c>
      <c r="D3" s="11">
        <v>0.15111111111111114</v>
      </c>
      <c r="F3" s="8" t="s">
        <v>3</v>
      </c>
      <c r="G3" s="8">
        <v>2</v>
      </c>
      <c r="H3">
        <v>1</v>
      </c>
      <c r="I3">
        <v>2</v>
      </c>
      <c r="J3">
        <v>1</v>
      </c>
      <c r="K3">
        <v>1</v>
      </c>
      <c r="L3">
        <v>10</v>
      </c>
      <c r="M3">
        <v>2</v>
      </c>
      <c r="N3">
        <v>1</v>
      </c>
      <c r="O3">
        <v>1</v>
      </c>
      <c r="P3">
        <v>2</v>
      </c>
      <c r="Q3">
        <v>1</v>
      </c>
      <c r="R3">
        <v>1</v>
      </c>
      <c r="S3">
        <v>2</v>
      </c>
      <c r="T3">
        <v>3</v>
      </c>
      <c r="AE3" s="11"/>
      <c r="AG3" s="16">
        <f>L3</f>
        <v>10</v>
      </c>
      <c r="AH3" s="16">
        <f t="shared" ref="AH3:AH21" si="0">AG3/C3</f>
        <v>0.33333333333333331</v>
      </c>
    </row>
    <row r="4" spans="1:34" x14ac:dyDescent="0.2">
      <c r="A4" s="8" t="s">
        <v>18</v>
      </c>
      <c r="B4">
        <v>49</v>
      </c>
      <c r="C4">
        <f>SUM(G4:U4)</f>
        <v>30</v>
      </c>
      <c r="D4" s="11">
        <v>0.10888888888888887</v>
      </c>
      <c r="F4" s="8" t="s">
        <v>18</v>
      </c>
      <c r="G4" s="8">
        <v>1</v>
      </c>
      <c r="H4">
        <v>2</v>
      </c>
      <c r="I4">
        <v>4</v>
      </c>
      <c r="J4">
        <v>1</v>
      </c>
      <c r="K4">
        <v>2</v>
      </c>
      <c r="L4">
        <v>1</v>
      </c>
      <c r="M4">
        <v>7</v>
      </c>
      <c r="N4">
        <v>1</v>
      </c>
      <c r="O4">
        <v>1</v>
      </c>
      <c r="P4">
        <v>2</v>
      </c>
      <c r="Q4">
        <v>1</v>
      </c>
      <c r="R4">
        <v>1</v>
      </c>
      <c r="S4">
        <v>1</v>
      </c>
      <c r="T4">
        <v>2</v>
      </c>
      <c r="U4">
        <v>3</v>
      </c>
      <c r="AE4" s="11"/>
      <c r="AG4" s="16">
        <f>M4</f>
        <v>7</v>
      </c>
      <c r="AH4" s="16">
        <f t="shared" si="0"/>
        <v>0.23333333333333334</v>
      </c>
    </row>
    <row r="5" spans="1:34" x14ac:dyDescent="0.2">
      <c r="A5" s="8" t="s">
        <v>2</v>
      </c>
      <c r="B5">
        <v>41</v>
      </c>
      <c r="C5">
        <f>SUM(G5:V5)</f>
        <v>32</v>
      </c>
      <c r="D5" s="11">
        <v>0.10546875</v>
      </c>
      <c r="F5" s="8" t="s">
        <v>2</v>
      </c>
      <c r="G5" s="8">
        <v>1</v>
      </c>
      <c r="H5">
        <v>1</v>
      </c>
      <c r="I5">
        <v>1</v>
      </c>
      <c r="J5">
        <v>5</v>
      </c>
      <c r="K5">
        <v>6</v>
      </c>
      <c r="L5">
        <v>4</v>
      </c>
      <c r="M5">
        <v>1</v>
      </c>
      <c r="N5">
        <v>1</v>
      </c>
      <c r="O5">
        <v>1</v>
      </c>
      <c r="P5">
        <v>1</v>
      </c>
      <c r="Q5">
        <v>1</v>
      </c>
      <c r="R5">
        <v>2</v>
      </c>
      <c r="S5">
        <v>1</v>
      </c>
      <c r="T5">
        <v>1</v>
      </c>
      <c r="U5">
        <v>1</v>
      </c>
      <c r="V5">
        <v>4</v>
      </c>
      <c r="AE5" s="11"/>
      <c r="AG5" s="16">
        <f>J5</f>
        <v>5</v>
      </c>
      <c r="AH5" s="16">
        <f t="shared" si="0"/>
        <v>0.15625</v>
      </c>
    </row>
    <row r="6" spans="1:34" x14ac:dyDescent="0.2">
      <c r="A6" s="8" t="s">
        <v>5</v>
      </c>
      <c r="B6">
        <v>34</v>
      </c>
      <c r="C6">
        <f>SUM(G6:V6)</f>
        <v>33</v>
      </c>
      <c r="D6" s="11">
        <v>0.15151515151515141</v>
      </c>
      <c r="F6" s="8" t="s">
        <v>5</v>
      </c>
      <c r="G6" s="8">
        <v>3</v>
      </c>
      <c r="H6">
        <v>1</v>
      </c>
      <c r="I6">
        <v>2</v>
      </c>
      <c r="J6">
        <v>1</v>
      </c>
      <c r="K6">
        <v>11</v>
      </c>
      <c r="L6">
        <v>1</v>
      </c>
      <c r="M6">
        <v>1</v>
      </c>
      <c r="N6">
        <v>4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2</v>
      </c>
      <c r="AE6" s="11"/>
      <c r="AG6" s="16">
        <f>K6</f>
        <v>11</v>
      </c>
      <c r="AH6" s="16">
        <f t="shared" si="0"/>
        <v>0.33333333333333331</v>
      </c>
    </row>
    <row r="7" spans="1:34" x14ac:dyDescent="0.2">
      <c r="A7" s="8" t="s">
        <v>4</v>
      </c>
      <c r="B7">
        <v>41</v>
      </c>
      <c r="C7">
        <f>SUM(G7:S7)</f>
        <v>30</v>
      </c>
      <c r="D7" s="11">
        <v>0.20000000000000009</v>
      </c>
      <c r="F7" s="8" t="s">
        <v>4</v>
      </c>
      <c r="G7" s="8">
        <v>1</v>
      </c>
      <c r="H7">
        <v>3</v>
      </c>
      <c r="I7">
        <v>3</v>
      </c>
      <c r="J7">
        <v>1</v>
      </c>
      <c r="K7">
        <v>12</v>
      </c>
      <c r="L7">
        <v>3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AE7" s="11"/>
      <c r="AG7" s="16">
        <f>K7</f>
        <v>12</v>
      </c>
      <c r="AH7" s="16">
        <f t="shared" si="0"/>
        <v>0.4</v>
      </c>
    </row>
    <row r="8" spans="1:34" x14ac:dyDescent="0.2">
      <c r="A8" s="8" t="s">
        <v>19</v>
      </c>
      <c r="B8">
        <v>37</v>
      </c>
      <c r="C8">
        <f>SUM(G8:V8)</f>
        <v>34</v>
      </c>
      <c r="D8" s="11">
        <v>0.17647058823529418</v>
      </c>
      <c r="F8" s="8" t="s">
        <v>19</v>
      </c>
      <c r="G8" s="8">
        <v>2</v>
      </c>
      <c r="H8">
        <v>3</v>
      </c>
      <c r="I8">
        <v>1</v>
      </c>
      <c r="J8">
        <v>1</v>
      </c>
      <c r="K8">
        <v>1</v>
      </c>
      <c r="L8">
        <v>13</v>
      </c>
      <c r="M8">
        <v>1</v>
      </c>
      <c r="N8">
        <v>1</v>
      </c>
      <c r="O8">
        <v>1</v>
      </c>
      <c r="P8">
        <v>2</v>
      </c>
      <c r="Q8">
        <v>1</v>
      </c>
      <c r="R8">
        <v>1</v>
      </c>
      <c r="S8">
        <v>1</v>
      </c>
      <c r="T8">
        <v>1</v>
      </c>
      <c r="U8">
        <v>2</v>
      </c>
      <c r="V8">
        <v>2</v>
      </c>
      <c r="AE8" s="11"/>
      <c r="AG8" s="16">
        <f>L8</f>
        <v>13</v>
      </c>
      <c r="AH8" s="16">
        <f t="shared" si="0"/>
        <v>0.38235294117647056</v>
      </c>
    </row>
    <row r="9" spans="1:34" x14ac:dyDescent="0.2">
      <c r="A9" s="8" t="s">
        <v>7</v>
      </c>
      <c r="B9">
        <v>35</v>
      </c>
      <c r="C9">
        <f>SUM(G9:T9)</f>
        <v>26</v>
      </c>
      <c r="D9" s="11">
        <v>0.2366863905325445</v>
      </c>
      <c r="F9" s="8" t="s">
        <v>7</v>
      </c>
      <c r="G9" s="8">
        <v>1</v>
      </c>
      <c r="H9">
        <v>12</v>
      </c>
      <c r="I9">
        <v>1</v>
      </c>
      <c r="J9">
        <v>1</v>
      </c>
      <c r="K9">
        <v>2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AE9" s="11"/>
      <c r="AG9" s="16">
        <f>H9</f>
        <v>12</v>
      </c>
      <c r="AH9" s="16">
        <f t="shared" si="0"/>
        <v>0.46153846153846156</v>
      </c>
    </row>
    <row r="10" spans="1:34" x14ac:dyDescent="0.2">
      <c r="A10" s="8" t="s">
        <v>13</v>
      </c>
      <c r="B10">
        <v>33</v>
      </c>
      <c r="C10">
        <f>SUM(G10:W10)</f>
        <v>30</v>
      </c>
      <c r="D10" s="11">
        <v>0.13111111111111107</v>
      </c>
      <c r="F10" s="8" t="s">
        <v>13</v>
      </c>
      <c r="G10" s="8">
        <v>1</v>
      </c>
      <c r="H10">
        <v>1</v>
      </c>
      <c r="I10">
        <v>1</v>
      </c>
      <c r="J10">
        <v>1</v>
      </c>
      <c r="K10">
        <v>9</v>
      </c>
      <c r="L10">
        <v>1</v>
      </c>
      <c r="M10">
        <v>1</v>
      </c>
      <c r="N10">
        <v>1</v>
      </c>
      <c r="O10">
        <v>4</v>
      </c>
      <c r="P10">
        <v>1</v>
      </c>
      <c r="Q10">
        <v>1</v>
      </c>
      <c r="R10">
        <v>1</v>
      </c>
      <c r="S10">
        <v>2</v>
      </c>
      <c r="T10">
        <v>1</v>
      </c>
      <c r="U10">
        <v>1</v>
      </c>
      <c r="V10">
        <v>2</v>
      </c>
      <c r="W10">
        <v>1</v>
      </c>
      <c r="AE10" s="11"/>
      <c r="AG10" s="16">
        <f>K10</f>
        <v>9</v>
      </c>
      <c r="AH10" s="16">
        <f t="shared" si="0"/>
        <v>0.3</v>
      </c>
    </row>
    <row r="11" spans="1:34" x14ac:dyDescent="0.2">
      <c r="A11" s="8" t="s">
        <v>6</v>
      </c>
      <c r="B11">
        <v>37</v>
      </c>
      <c r="C11">
        <f>SUM(G11:T11)</f>
        <v>30</v>
      </c>
      <c r="D11" s="11">
        <v>0.1644444444444445</v>
      </c>
      <c r="F11" s="8" t="s">
        <v>6</v>
      </c>
      <c r="G11" s="8">
        <v>2</v>
      </c>
      <c r="H11">
        <v>1</v>
      </c>
      <c r="I11">
        <v>1</v>
      </c>
      <c r="J11">
        <v>1</v>
      </c>
      <c r="K11">
        <v>7</v>
      </c>
      <c r="L11">
        <v>9</v>
      </c>
      <c r="M11">
        <v>1</v>
      </c>
      <c r="N11">
        <v>1</v>
      </c>
      <c r="O11">
        <v>1</v>
      </c>
      <c r="P11">
        <v>2</v>
      </c>
      <c r="Q11">
        <v>1</v>
      </c>
      <c r="R11">
        <v>1</v>
      </c>
      <c r="S11">
        <v>1</v>
      </c>
      <c r="T11">
        <v>1</v>
      </c>
      <c r="AE11" s="11"/>
      <c r="AG11" s="16">
        <f>K11</f>
        <v>7</v>
      </c>
      <c r="AH11" s="16">
        <f t="shared" si="0"/>
        <v>0.23333333333333334</v>
      </c>
    </row>
    <row r="12" spans="1:34" x14ac:dyDescent="0.2">
      <c r="A12" s="8" t="s">
        <v>16</v>
      </c>
      <c r="B12">
        <v>45</v>
      </c>
      <c r="C12">
        <f t="array" ref="C12">SUM(G12:V12)</f>
        <v>38</v>
      </c>
      <c r="D12" s="11">
        <v>0.19390581717451519</v>
      </c>
      <c r="F12" s="8" t="s">
        <v>16</v>
      </c>
      <c r="G12" s="8">
        <v>1</v>
      </c>
      <c r="H12">
        <v>1</v>
      </c>
      <c r="I12">
        <v>1</v>
      </c>
      <c r="J12">
        <v>1</v>
      </c>
      <c r="K12">
        <v>1</v>
      </c>
      <c r="L12">
        <v>15</v>
      </c>
      <c r="M12">
        <v>1</v>
      </c>
      <c r="N12">
        <v>3</v>
      </c>
      <c r="O12">
        <v>1</v>
      </c>
      <c r="P12">
        <v>1</v>
      </c>
      <c r="Q12">
        <v>1</v>
      </c>
      <c r="R12">
        <v>1</v>
      </c>
      <c r="S12">
        <v>3</v>
      </c>
      <c r="T12">
        <v>1</v>
      </c>
      <c r="U12">
        <v>5</v>
      </c>
      <c r="V12">
        <v>1</v>
      </c>
      <c r="AE12" s="11"/>
      <c r="AG12" s="16">
        <f>L12</f>
        <v>15</v>
      </c>
      <c r="AH12" s="16">
        <f t="shared" si="0"/>
        <v>0.39473684210526316</v>
      </c>
    </row>
    <row r="13" spans="1:34" x14ac:dyDescent="0.2">
      <c r="A13" s="8" t="s">
        <v>8</v>
      </c>
      <c r="B13">
        <v>36</v>
      </c>
      <c r="C13">
        <f>SUM(G13:T13)</f>
        <v>35</v>
      </c>
      <c r="D13" s="11">
        <v>0.13306122448979596</v>
      </c>
      <c r="F13" s="8" t="s">
        <v>8</v>
      </c>
      <c r="G13" s="8">
        <v>1</v>
      </c>
      <c r="H13">
        <v>1</v>
      </c>
      <c r="I13">
        <v>6</v>
      </c>
      <c r="J13">
        <v>1</v>
      </c>
      <c r="K13">
        <v>1</v>
      </c>
      <c r="L13">
        <v>1</v>
      </c>
      <c r="M13">
        <v>1</v>
      </c>
      <c r="N13">
        <v>4</v>
      </c>
      <c r="O13">
        <v>1</v>
      </c>
      <c r="P13">
        <v>2</v>
      </c>
      <c r="Q13">
        <v>1</v>
      </c>
      <c r="R13">
        <v>1</v>
      </c>
      <c r="S13">
        <v>7</v>
      </c>
      <c r="T13">
        <v>7</v>
      </c>
      <c r="AE13" s="11"/>
      <c r="AG13" s="16">
        <f>I13</f>
        <v>6</v>
      </c>
      <c r="AH13" s="16">
        <f t="shared" si="0"/>
        <v>0.17142857142857143</v>
      </c>
    </row>
    <row r="14" spans="1:34" x14ac:dyDescent="0.2">
      <c r="A14" s="8" t="s">
        <v>11</v>
      </c>
      <c r="B14">
        <v>45</v>
      </c>
      <c r="C14">
        <f>SUM(G14:W14)</f>
        <v>31</v>
      </c>
      <c r="D14" s="11">
        <v>0.1987513007284078</v>
      </c>
      <c r="F14" s="8" t="s">
        <v>11</v>
      </c>
      <c r="G14" s="8">
        <v>1</v>
      </c>
      <c r="H14">
        <v>1</v>
      </c>
      <c r="I14">
        <v>1</v>
      </c>
      <c r="J14">
        <v>13</v>
      </c>
      <c r="K14">
        <v>1</v>
      </c>
      <c r="L14">
        <v>1</v>
      </c>
      <c r="M14">
        <v>1</v>
      </c>
      <c r="N14">
        <v>2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2</v>
      </c>
      <c r="W14">
        <v>1</v>
      </c>
      <c r="AE14" s="11"/>
      <c r="AG14" s="16">
        <f>J14</f>
        <v>13</v>
      </c>
      <c r="AH14" s="16">
        <f t="shared" si="0"/>
        <v>0.41935483870967744</v>
      </c>
    </row>
    <row r="15" spans="1:34" x14ac:dyDescent="0.2">
      <c r="A15" s="8" t="s">
        <v>9</v>
      </c>
      <c r="B15">
        <v>39</v>
      </c>
      <c r="C15">
        <f>SUM(G15:W15)</f>
        <v>34</v>
      </c>
      <c r="D15" s="11">
        <v>9.3425605536332154E-2</v>
      </c>
      <c r="F15" s="8" t="s">
        <v>9</v>
      </c>
      <c r="G15" s="8">
        <v>3</v>
      </c>
      <c r="H15">
        <v>1</v>
      </c>
      <c r="I15">
        <v>1</v>
      </c>
      <c r="J15">
        <v>1</v>
      </c>
      <c r="K15">
        <v>7</v>
      </c>
      <c r="L15">
        <v>1</v>
      </c>
      <c r="M15">
        <v>1</v>
      </c>
      <c r="N15">
        <v>2</v>
      </c>
      <c r="O15">
        <v>4</v>
      </c>
      <c r="P15">
        <v>2</v>
      </c>
      <c r="Q15">
        <v>1</v>
      </c>
      <c r="R15">
        <v>3</v>
      </c>
      <c r="S15">
        <v>2</v>
      </c>
      <c r="T15">
        <v>1</v>
      </c>
      <c r="U15">
        <v>1</v>
      </c>
      <c r="V15">
        <v>1</v>
      </c>
      <c r="W15">
        <v>2</v>
      </c>
      <c r="AE15" s="11"/>
      <c r="AG15" s="16">
        <f>K15</f>
        <v>7</v>
      </c>
      <c r="AH15" s="16">
        <f t="shared" si="0"/>
        <v>0.20588235294117646</v>
      </c>
    </row>
    <row r="16" spans="1:34" x14ac:dyDescent="0.2">
      <c r="A16" s="8" t="s">
        <v>12</v>
      </c>
      <c r="B16">
        <v>36</v>
      </c>
      <c r="C16">
        <f>SUM(G16:V16)</f>
        <v>29</v>
      </c>
      <c r="D16" s="11">
        <v>0.19619500594530331</v>
      </c>
      <c r="F16" s="8" t="s">
        <v>12</v>
      </c>
      <c r="G16" s="8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12</v>
      </c>
      <c r="N16">
        <v>2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AE16" s="11"/>
      <c r="AG16" s="16">
        <f>M16</f>
        <v>12</v>
      </c>
      <c r="AH16" s="16">
        <f t="shared" si="0"/>
        <v>0.41379310344827586</v>
      </c>
    </row>
    <row r="17" spans="1:34" x14ac:dyDescent="0.2">
      <c r="A17" s="8" t="s">
        <v>17</v>
      </c>
      <c r="B17">
        <v>34</v>
      </c>
      <c r="C17">
        <f>SUM(G17:U17)</f>
        <v>27</v>
      </c>
      <c r="D17" s="11">
        <v>0.12757201646090532</v>
      </c>
      <c r="F17" s="8" t="s">
        <v>17</v>
      </c>
      <c r="G17" s="8">
        <v>1</v>
      </c>
      <c r="H17">
        <v>1</v>
      </c>
      <c r="I17">
        <v>2</v>
      </c>
      <c r="J17">
        <v>7</v>
      </c>
      <c r="K17">
        <v>1</v>
      </c>
      <c r="L17">
        <v>1</v>
      </c>
      <c r="M17">
        <v>5</v>
      </c>
      <c r="N17">
        <v>1</v>
      </c>
      <c r="O17">
        <v>1</v>
      </c>
      <c r="P17">
        <v>2</v>
      </c>
      <c r="Q17">
        <v>1</v>
      </c>
      <c r="R17">
        <v>1</v>
      </c>
      <c r="S17">
        <v>1</v>
      </c>
      <c r="T17">
        <v>1</v>
      </c>
      <c r="U17">
        <v>1</v>
      </c>
      <c r="AE17" s="11"/>
      <c r="AG17" s="16">
        <f>J17</f>
        <v>7</v>
      </c>
      <c r="AH17" s="16">
        <f t="shared" si="0"/>
        <v>0.25925925925925924</v>
      </c>
    </row>
    <row r="18" spans="1:34" x14ac:dyDescent="0.2">
      <c r="A18" s="8" t="s">
        <v>14</v>
      </c>
      <c r="B18">
        <v>33</v>
      </c>
      <c r="C18">
        <f>SUM(G18:Z18)</f>
        <v>32</v>
      </c>
      <c r="D18" s="11">
        <v>8.59375E-2</v>
      </c>
      <c r="F18" s="8" t="s">
        <v>14</v>
      </c>
      <c r="G18" s="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7</v>
      </c>
      <c r="O18">
        <v>2</v>
      </c>
      <c r="P18">
        <v>1</v>
      </c>
      <c r="Q18">
        <v>2</v>
      </c>
      <c r="R18">
        <v>1</v>
      </c>
      <c r="S18">
        <v>1</v>
      </c>
      <c r="T18">
        <v>1</v>
      </c>
      <c r="U18">
        <v>1</v>
      </c>
      <c r="V18">
        <v>3</v>
      </c>
      <c r="W18">
        <v>2</v>
      </c>
      <c r="X18">
        <v>2</v>
      </c>
      <c r="Y18">
        <v>1</v>
      </c>
      <c r="Z18">
        <v>1</v>
      </c>
      <c r="AE18" s="11"/>
      <c r="AG18" s="16">
        <f>N18</f>
        <v>7</v>
      </c>
      <c r="AH18" s="16">
        <f t="shared" si="0"/>
        <v>0.21875</v>
      </c>
    </row>
    <row r="19" spans="1:34" x14ac:dyDescent="0.2">
      <c r="A19" s="8" t="s">
        <v>15</v>
      </c>
      <c r="B19">
        <v>32</v>
      </c>
      <c r="C19">
        <f>SUM(G19:Q19)</f>
        <v>27</v>
      </c>
      <c r="D19" s="11">
        <v>0.18244170096021947</v>
      </c>
      <c r="F19" s="8" t="s">
        <v>15</v>
      </c>
      <c r="G19" s="8">
        <v>2</v>
      </c>
      <c r="H19">
        <v>1</v>
      </c>
      <c r="I19">
        <v>10</v>
      </c>
      <c r="J19">
        <v>2</v>
      </c>
      <c r="K19">
        <v>2</v>
      </c>
      <c r="L19">
        <v>2</v>
      </c>
      <c r="M19">
        <v>1</v>
      </c>
      <c r="N19">
        <v>1</v>
      </c>
      <c r="O19">
        <v>3</v>
      </c>
      <c r="P19">
        <v>2</v>
      </c>
      <c r="Q19">
        <v>1</v>
      </c>
      <c r="AE19" s="11"/>
      <c r="AG19" s="16">
        <f>I19</f>
        <v>10</v>
      </c>
      <c r="AH19" s="16">
        <f t="shared" si="0"/>
        <v>0.37037037037037035</v>
      </c>
    </row>
    <row r="20" spans="1:34" x14ac:dyDescent="0.2">
      <c r="A20" s="8" t="s">
        <v>10</v>
      </c>
      <c r="B20">
        <v>48</v>
      </c>
      <c r="C20">
        <f>SUM(G20:AE20)</f>
        <v>44</v>
      </c>
      <c r="D20" s="11">
        <v>0.10020661157024789</v>
      </c>
      <c r="F20" s="8" t="s">
        <v>10</v>
      </c>
      <c r="G20" s="8">
        <v>1</v>
      </c>
      <c r="H20">
        <v>1</v>
      </c>
      <c r="I20">
        <v>1</v>
      </c>
      <c r="J20">
        <v>2</v>
      </c>
      <c r="K20">
        <v>12</v>
      </c>
      <c r="L20">
        <v>1</v>
      </c>
      <c r="M20">
        <v>1</v>
      </c>
      <c r="N20">
        <v>2</v>
      </c>
      <c r="O20">
        <v>1</v>
      </c>
      <c r="P20">
        <v>2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3</v>
      </c>
      <c r="Y20">
        <v>1</v>
      </c>
      <c r="Z20">
        <v>2</v>
      </c>
      <c r="AA20">
        <v>2</v>
      </c>
      <c r="AB20">
        <v>2</v>
      </c>
      <c r="AC20">
        <v>1</v>
      </c>
      <c r="AD20">
        <v>1</v>
      </c>
      <c r="AE20" s="11">
        <v>1</v>
      </c>
      <c r="AG20" s="16">
        <f>K20</f>
        <v>12</v>
      </c>
      <c r="AH20" s="16">
        <f t="shared" si="0"/>
        <v>0.27272727272727271</v>
      </c>
    </row>
    <row r="21" spans="1:34" x14ac:dyDescent="0.2">
      <c r="A21" s="9" t="s">
        <v>20</v>
      </c>
      <c r="B21" s="7">
        <v>42</v>
      </c>
      <c r="C21" s="7">
        <f>SUM(G21:V21)</f>
        <v>34</v>
      </c>
      <c r="D21" s="12">
        <v>0.17993079584775099</v>
      </c>
      <c r="F21" s="9" t="s">
        <v>20</v>
      </c>
      <c r="G21" s="9">
        <v>1</v>
      </c>
      <c r="H21" s="7">
        <v>1</v>
      </c>
      <c r="I21" s="7">
        <v>1</v>
      </c>
      <c r="J21" s="7">
        <v>1</v>
      </c>
      <c r="K21" s="7">
        <v>13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3</v>
      </c>
      <c r="R21" s="7">
        <v>3</v>
      </c>
      <c r="S21" s="7">
        <v>1</v>
      </c>
      <c r="T21" s="7">
        <v>1</v>
      </c>
      <c r="U21" s="7">
        <v>3</v>
      </c>
      <c r="V21" s="7">
        <v>1</v>
      </c>
      <c r="W21" s="7"/>
      <c r="X21" s="7"/>
      <c r="Y21" s="7"/>
      <c r="Z21" s="7"/>
      <c r="AA21" s="7"/>
      <c r="AB21" s="7"/>
      <c r="AC21" s="7"/>
      <c r="AD21" s="7"/>
      <c r="AE21" s="12"/>
      <c r="AG21" s="16">
        <f>K21</f>
        <v>13</v>
      </c>
      <c r="AH21" s="16">
        <f t="shared" si="0"/>
        <v>0.38235294117647056</v>
      </c>
    </row>
    <row r="23" spans="1:34" x14ac:dyDescent="0.2">
      <c r="F23" s="16" t="s">
        <v>55</v>
      </c>
      <c r="G23" s="29" t="s">
        <v>112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1"/>
    </row>
    <row r="24" spans="1:34" x14ac:dyDescent="0.2">
      <c r="F24" s="17">
        <f>SUM(G24:S24)</f>
        <v>0.99999999999999989</v>
      </c>
      <c r="G24">
        <f>G2/$C2</f>
        <v>0.125</v>
      </c>
      <c r="H24">
        <f t="shared" ref="H24:R24" si="1">H2/$C2</f>
        <v>4.1666666666666664E-2</v>
      </c>
      <c r="I24">
        <f t="shared" si="1"/>
        <v>4.1666666666666664E-2</v>
      </c>
      <c r="J24">
        <f t="shared" si="1"/>
        <v>4.1666666666666664E-2</v>
      </c>
      <c r="K24">
        <f t="shared" si="1"/>
        <v>4.1666666666666664E-2</v>
      </c>
      <c r="L24">
        <f t="shared" si="1"/>
        <v>0.20833333333333334</v>
      </c>
      <c r="M24">
        <f t="shared" si="1"/>
        <v>8.3333333333333329E-2</v>
      </c>
      <c r="N24">
        <f t="shared" si="1"/>
        <v>4.1666666666666664E-2</v>
      </c>
      <c r="O24">
        <f t="shared" si="1"/>
        <v>4.1666666666666664E-2</v>
      </c>
      <c r="P24">
        <f t="shared" si="1"/>
        <v>4.1666666666666664E-2</v>
      </c>
      <c r="Q24">
        <f t="shared" si="1"/>
        <v>8.3333333333333329E-2</v>
      </c>
      <c r="R24">
        <f t="shared" si="1"/>
        <v>4.1666666666666664E-2</v>
      </c>
      <c r="S24">
        <f t="shared" ref="S24" si="2">S2/$C2</f>
        <v>0.16666666666666666</v>
      </c>
      <c r="AE24" s="11"/>
    </row>
    <row r="25" spans="1:34" x14ac:dyDescent="0.2">
      <c r="F25" s="17">
        <f>SUM(G25:T25)</f>
        <v>0.99999999999999989</v>
      </c>
      <c r="G25">
        <f>G3/$C3</f>
        <v>6.6666666666666666E-2</v>
      </c>
      <c r="H25">
        <f t="shared" ref="G25:R43" si="3">H3/$C3</f>
        <v>3.3333333333333333E-2</v>
      </c>
      <c r="I25">
        <f t="shared" si="3"/>
        <v>6.6666666666666666E-2</v>
      </c>
      <c r="J25">
        <f t="shared" si="3"/>
        <v>3.3333333333333333E-2</v>
      </c>
      <c r="K25">
        <f t="shared" si="3"/>
        <v>3.3333333333333333E-2</v>
      </c>
      <c r="L25">
        <f t="shared" si="3"/>
        <v>0.33333333333333331</v>
      </c>
      <c r="M25">
        <f t="shared" si="3"/>
        <v>6.6666666666666666E-2</v>
      </c>
      <c r="N25">
        <f t="shared" si="3"/>
        <v>3.3333333333333333E-2</v>
      </c>
      <c r="O25">
        <f t="shared" si="3"/>
        <v>3.3333333333333333E-2</v>
      </c>
      <c r="P25">
        <f t="shared" si="3"/>
        <v>6.6666666666666666E-2</v>
      </c>
      <c r="Q25">
        <f t="shared" si="3"/>
        <v>3.3333333333333333E-2</v>
      </c>
      <c r="R25">
        <f t="shared" si="3"/>
        <v>3.3333333333333333E-2</v>
      </c>
      <c r="S25">
        <f t="shared" ref="S25:T25" si="4">S3/$C3</f>
        <v>6.6666666666666666E-2</v>
      </c>
      <c r="T25">
        <f t="shared" si="4"/>
        <v>0.1</v>
      </c>
      <c r="AE25" s="11"/>
    </row>
    <row r="26" spans="1:34" x14ac:dyDescent="0.2">
      <c r="F26" s="17">
        <f>SUM(G26:U26)</f>
        <v>0.99999999999999989</v>
      </c>
      <c r="G26">
        <f t="shared" si="3"/>
        <v>3.3333333333333333E-2</v>
      </c>
      <c r="H26">
        <f t="shared" si="3"/>
        <v>6.6666666666666666E-2</v>
      </c>
      <c r="I26">
        <f t="shared" si="3"/>
        <v>0.13333333333333333</v>
      </c>
      <c r="J26">
        <f t="shared" si="3"/>
        <v>3.3333333333333333E-2</v>
      </c>
      <c r="K26">
        <f t="shared" si="3"/>
        <v>6.6666666666666666E-2</v>
      </c>
      <c r="L26">
        <f t="shared" si="3"/>
        <v>3.3333333333333333E-2</v>
      </c>
      <c r="M26">
        <f t="shared" si="3"/>
        <v>0.23333333333333334</v>
      </c>
      <c r="N26">
        <f t="shared" si="3"/>
        <v>3.3333333333333333E-2</v>
      </c>
      <c r="O26">
        <f t="shared" si="3"/>
        <v>3.3333333333333333E-2</v>
      </c>
      <c r="P26">
        <f t="shared" si="3"/>
        <v>6.6666666666666666E-2</v>
      </c>
      <c r="Q26">
        <f t="shared" si="3"/>
        <v>3.3333333333333333E-2</v>
      </c>
      <c r="R26">
        <f t="shared" si="3"/>
        <v>3.3333333333333333E-2</v>
      </c>
      <c r="S26">
        <f t="shared" ref="S26:U26" si="5">S4/$C4</f>
        <v>3.3333333333333333E-2</v>
      </c>
      <c r="T26">
        <f t="shared" si="5"/>
        <v>6.6666666666666666E-2</v>
      </c>
      <c r="U26">
        <f t="shared" si="5"/>
        <v>0.1</v>
      </c>
      <c r="AE26" s="11"/>
    </row>
    <row r="27" spans="1:34" x14ac:dyDescent="0.2">
      <c r="F27" s="17">
        <f>SUM(G27:V27)</f>
        <v>1</v>
      </c>
      <c r="G27">
        <f t="shared" si="3"/>
        <v>3.125E-2</v>
      </c>
      <c r="H27">
        <f t="shared" si="3"/>
        <v>3.125E-2</v>
      </c>
      <c r="I27">
        <f t="shared" si="3"/>
        <v>3.125E-2</v>
      </c>
      <c r="J27">
        <f t="shared" si="3"/>
        <v>0.15625</v>
      </c>
      <c r="K27">
        <f t="shared" si="3"/>
        <v>0.1875</v>
      </c>
      <c r="L27">
        <f t="shared" si="3"/>
        <v>0.125</v>
      </c>
      <c r="M27">
        <f t="shared" si="3"/>
        <v>3.125E-2</v>
      </c>
      <c r="N27">
        <f t="shared" si="3"/>
        <v>3.125E-2</v>
      </c>
      <c r="O27">
        <f t="shared" si="3"/>
        <v>3.125E-2</v>
      </c>
      <c r="P27">
        <f t="shared" si="3"/>
        <v>3.125E-2</v>
      </c>
      <c r="Q27">
        <f t="shared" si="3"/>
        <v>3.125E-2</v>
      </c>
      <c r="R27">
        <f t="shared" si="3"/>
        <v>6.25E-2</v>
      </c>
      <c r="S27">
        <f t="shared" ref="S27:U27" si="6">S5/$C5</f>
        <v>3.125E-2</v>
      </c>
      <c r="T27">
        <f t="shared" si="6"/>
        <v>3.125E-2</v>
      </c>
      <c r="U27">
        <f t="shared" si="6"/>
        <v>3.125E-2</v>
      </c>
      <c r="V27">
        <f>V5/$C5</f>
        <v>0.125</v>
      </c>
      <c r="AE27" s="11"/>
    </row>
    <row r="28" spans="1:34" x14ac:dyDescent="0.2">
      <c r="F28" s="17">
        <f t="array" ref="F28">SUM(G28:V28)</f>
        <v>0.99999999999999978</v>
      </c>
      <c r="G28">
        <f t="shared" si="3"/>
        <v>9.0909090909090912E-2</v>
      </c>
      <c r="H28">
        <f t="shared" si="3"/>
        <v>3.0303030303030304E-2</v>
      </c>
      <c r="I28">
        <f t="shared" si="3"/>
        <v>6.0606060606060608E-2</v>
      </c>
      <c r="J28">
        <f t="shared" si="3"/>
        <v>3.0303030303030304E-2</v>
      </c>
      <c r="K28">
        <f t="shared" si="3"/>
        <v>0.33333333333333331</v>
      </c>
      <c r="L28">
        <f t="shared" si="3"/>
        <v>3.0303030303030304E-2</v>
      </c>
      <c r="M28">
        <f t="shared" si="3"/>
        <v>3.0303030303030304E-2</v>
      </c>
      <c r="N28">
        <f t="shared" si="3"/>
        <v>0.12121212121212122</v>
      </c>
      <c r="O28">
        <f t="shared" si="3"/>
        <v>3.0303030303030304E-2</v>
      </c>
      <c r="P28">
        <f t="shared" si="3"/>
        <v>3.0303030303030304E-2</v>
      </c>
      <c r="Q28">
        <f t="shared" si="3"/>
        <v>3.0303030303030304E-2</v>
      </c>
      <c r="R28">
        <f t="shared" si="3"/>
        <v>3.0303030303030304E-2</v>
      </c>
      <c r="S28">
        <f t="shared" ref="S28:V28" si="7">S6/$C6</f>
        <v>3.0303030303030304E-2</v>
      </c>
      <c r="T28">
        <f t="shared" si="7"/>
        <v>3.0303030303030304E-2</v>
      </c>
      <c r="U28">
        <f t="shared" si="7"/>
        <v>3.0303030303030304E-2</v>
      </c>
      <c r="V28">
        <f t="shared" si="7"/>
        <v>6.0606060606060608E-2</v>
      </c>
      <c r="AE28" s="11"/>
    </row>
    <row r="29" spans="1:34" x14ac:dyDescent="0.2">
      <c r="F29" s="17">
        <f>SUM(G29:S29)</f>
        <v>1</v>
      </c>
      <c r="G29">
        <f t="shared" si="3"/>
        <v>3.3333333333333333E-2</v>
      </c>
      <c r="H29">
        <f t="shared" si="3"/>
        <v>0.1</v>
      </c>
      <c r="I29">
        <f t="shared" si="3"/>
        <v>0.1</v>
      </c>
      <c r="J29">
        <f t="shared" si="3"/>
        <v>3.3333333333333333E-2</v>
      </c>
      <c r="K29">
        <f t="shared" si="3"/>
        <v>0.4</v>
      </c>
      <c r="L29">
        <f t="shared" si="3"/>
        <v>0.1</v>
      </c>
      <c r="M29">
        <f t="shared" si="3"/>
        <v>3.3333333333333333E-2</v>
      </c>
      <c r="N29">
        <f t="shared" si="3"/>
        <v>3.3333333333333333E-2</v>
      </c>
      <c r="O29">
        <f t="shared" si="3"/>
        <v>3.3333333333333333E-2</v>
      </c>
      <c r="P29">
        <f t="shared" si="3"/>
        <v>3.3333333333333333E-2</v>
      </c>
      <c r="Q29">
        <f t="shared" si="3"/>
        <v>3.3333333333333333E-2</v>
      </c>
      <c r="R29">
        <f t="shared" si="3"/>
        <v>3.3333333333333333E-2</v>
      </c>
      <c r="S29">
        <f t="shared" ref="S29" si="8">S7/$C7</f>
        <v>3.3333333333333333E-2</v>
      </c>
      <c r="AE29" s="11"/>
    </row>
    <row r="30" spans="1:34" x14ac:dyDescent="0.2">
      <c r="F30" s="17">
        <f>SUM(G30:V30)</f>
        <v>1</v>
      </c>
      <c r="G30">
        <f t="shared" si="3"/>
        <v>5.8823529411764705E-2</v>
      </c>
      <c r="H30">
        <f t="shared" si="3"/>
        <v>8.8235294117647065E-2</v>
      </c>
      <c r="I30">
        <f t="shared" si="3"/>
        <v>2.9411764705882353E-2</v>
      </c>
      <c r="J30">
        <f t="shared" si="3"/>
        <v>2.9411764705882353E-2</v>
      </c>
      <c r="K30">
        <f t="shared" si="3"/>
        <v>2.9411764705882353E-2</v>
      </c>
      <c r="L30">
        <f t="shared" si="3"/>
        <v>0.38235294117647056</v>
      </c>
      <c r="M30">
        <f t="shared" si="3"/>
        <v>2.9411764705882353E-2</v>
      </c>
      <c r="N30">
        <f t="shared" si="3"/>
        <v>2.9411764705882353E-2</v>
      </c>
      <c r="O30">
        <f t="shared" si="3"/>
        <v>2.9411764705882353E-2</v>
      </c>
      <c r="P30">
        <f t="shared" si="3"/>
        <v>5.8823529411764705E-2</v>
      </c>
      <c r="Q30">
        <f t="shared" si="3"/>
        <v>2.9411764705882353E-2</v>
      </c>
      <c r="R30">
        <f t="shared" si="3"/>
        <v>2.9411764705882353E-2</v>
      </c>
      <c r="S30">
        <f t="shared" ref="S30:V30" si="9">S8/$C8</f>
        <v>2.9411764705882353E-2</v>
      </c>
      <c r="T30">
        <f t="shared" si="9"/>
        <v>2.9411764705882353E-2</v>
      </c>
      <c r="U30">
        <f t="shared" si="9"/>
        <v>5.8823529411764705E-2</v>
      </c>
      <c r="V30">
        <f t="shared" si="9"/>
        <v>5.8823529411764705E-2</v>
      </c>
      <c r="AE30" s="11"/>
    </row>
    <row r="31" spans="1:34" x14ac:dyDescent="0.2">
      <c r="F31" s="17">
        <f>SUM(G31:T31)</f>
        <v>0.99999999999999967</v>
      </c>
      <c r="G31">
        <f t="shared" si="3"/>
        <v>3.8461538461538464E-2</v>
      </c>
      <c r="H31">
        <f t="shared" si="3"/>
        <v>0.46153846153846156</v>
      </c>
      <c r="I31">
        <f t="shared" si="3"/>
        <v>3.8461538461538464E-2</v>
      </c>
      <c r="J31">
        <f t="shared" si="3"/>
        <v>3.8461538461538464E-2</v>
      </c>
      <c r="K31">
        <f t="shared" si="3"/>
        <v>7.6923076923076927E-2</v>
      </c>
      <c r="L31">
        <f t="shared" si="3"/>
        <v>3.8461538461538464E-2</v>
      </c>
      <c r="M31">
        <f t="shared" si="3"/>
        <v>3.8461538461538464E-2</v>
      </c>
      <c r="N31">
        <f t="shared" si="3"/>
        <v>3.8461538461538464E-2</v>
      </c>
      <c r="O31">
        <f t="shared" si="3"/>
        <v>3.8461538461538464E-2</v>
      </c>
      <c r="P31">
        <f t="shared" si="3"/>
        <v>3.8461538461538464E-2</v>
      </c>
      <c r="Q31">
        <f t="shared" si="3"/>
        <v>3.8461538461538464E-2</v>
      </c>
      <c r="R31">
        <f t="shared" si="3"/>
        <v>3.8461538461538464E-2</v>
      </c>
      <c r="S31">
        <f t="shared" ref="S31:T31" si="10">S9/$C9</f>
        <v>3.8461538461538464E-2</v>
      </c>
      <c r="T31">
        <f t="shared" si="10"/>
        <v>3.8461538461538464E-2</v>
      </c>
      <c r="AE31" s="11"/>
    </row>
    <row r="32" spans="1:34" x14ac:dyDescent="0.2">
      <c r="F32" s="17">
        <f>SUM(G32:W32)</f>
        <v>0.99999999999999989</v>
      </c>
      <c r="G32">
        <f t="shared" si="3"/>
        <v>3.3333333333333333E-2</v>
      </c>
      <c r="H32">
        <f t="shared" si="3"/>
        <v>3.3333333333333333E-2</v>
      </c>
      <c r="I32">
        <f t="shared" si="3"/>
        <v>3.3333333333333333E-2</v>
      </c>
      <c r="J32">
        <f t="shared" si="3"/>
        <v>3.3333333333333333E-2</v>
      </c>
      <c r="K32">
        <f t="shared" si="3"/>
        <v>0.3</v>
      </c>
      <c r="L32">
        <f t="shared" si="3"/>
        <v>3.3333333333333333E-2</v>
      </c>
      <c r="M32">
        <f t="shared" si="3"/>
        <v>3.3333333333333333E-2</v>
      </c>
      <c r="N32">
        <f t="shared" si="3"/>
        <v>3.3333333333333333E-2</v>
      </c>
      <c r="O32">
        <f t="shared" si="3"/>
        <v>0.13333333333333333</v>
      </c>
      <c r="P32">
        <f t="shared" si="3"/>
        <v>3.3333333333333333E-2</v>
      </c>
      <c r="Q32">
        <f t="shared" si="3"/>
        <v>3.3333333333333333E-2</v>
      </c>
      <c r="R32">
        <f t="shared" si="3"/>
        <v>3.3333333333333333E-2</v>
      </c>
      <c r="S32">
        <f t="shared" ref="S32:W32" si="11">S10/$C10</f>
        <v>6.6666666666666666E-2</v>
      </c>
      <c r="T32">
        <f t="shared" si="11"/>
        <v>3.3333333333333333E-2</v>
      </c>
      <c r="U32">
        <f t="shared" si="11"/>
        <v>3.3333333333333333E-2</v>
      </c>
      <c r="V32">
        <f t="shared" si="11"/>
        <v>6.6666666666666666E-2</v>
      </c>
      <c r="W32">
        <f t="shared" si="11"/>
        <v>3.3333333333333333E-2</v>
      </c>
      <c r="AE32" s="11"/>
    </row>
    <row r="33" spans="6:31" x14ac:dyDescent="0.2">
      <c r="F33" s="17">
        <f>SUM(G33:T33)</f>
        <v>0.99999999999999989</v>
      </c>
      <c r="G33">
        <f t="shared" si="3"/>
        <v>6.6666666666666666E-2</v>
      </c>
      <c r="H33">
        <f t="shared" si="3"/>
        <v>3.3333333333333333E-2</v>
      </c>
      <c r="I33">
        <f t="shared" si="3"/>
        <v>3.3333333333333333E-2</v>
      </c>
      <c r="J33">
        <f t="shared" si="3"/>
        <v>3.3333333333333333E-2</v>
      </c>
      <c r="K33">
        <f t="shared" si="3"/>
        <v>0.23333333333333334</v>
      </c>
      <c r="L33">
        <f t="shared" si="3"/>
        <v>0.3</v>
      </c>
      <c r="M33">
        <f t="shared" si="3"/>
        <v>3.3333333333333333E-2</v>
      </c>
      <c r="N33">
        <f t="shared" si="3"/>
        <v>3.3333333333333333E-2</v>
      </c>
      <c r="O33">
        <f t="shared" si="3"/>
        <v>3.3333333333333333E-2</v>
      </c>
      <c r="P33">
        <f t="shared" si="3"/>
        <v>6.6666666666666666E-2</v>
      </c>
      <c r="Q33">
        <f t="shared" si="3"/>
        <v>3.3333333333333333E-2</v>
      </c>
      <c r="R33">
        <f t="shared" si="3"/>
        <v>3.3333333333333333E-2</v>
      </c>
      <c r="S33">
        <f t="shared" ref="S33:T33" si="12">S11/$C11</f>
        <v>3.3333333333333333E-2</v>
      </c>
      <c r="T33">
        <f t="shared" si="12"/>
        <v>3.3333333333333333E-2</v>
      </c>
      <c r="AE33" s="11"/>
    </row>
    <row r="34" spans="6:31" x14ac:dyDescent="0.2">
      <c r="F34" s="17">
        <f t="array" ref="F34">SUM(G34:V34)</f>
        <v>0.99999999999999978</v>
      </c>
      <c r="G34">
        <f t="shared" si="3"/>
        <v>2.6315789473684209E-2</v>
      </c>
      <c r="H34">
        <f t="shared" si="3"/>
        <v>2.6315789473684209E-2</v>
      </c>
      <c r="I34">
        <f t="shared" si="3"/>
        <v>2.6315789473684209E-2</v>
      </c>
      <c r="J34">
        <f t="shared" si="3"/>
        <v>2.6315789473684209E-2</v>
      </c>
      <c r="K34">
        <f t="shared" si="3"/>
        <v>2.6315789473684209E-2</v>
      </c>
      <c r="L34">
        <f t="shared" si="3"/>
        <v>0.39473684210526316</v>
      </c>
      <c r="M34">
        <f t="shared" si="3"/>
        <v>2.6315789473684209E-2</v>
      </c>
      <c r="N34">
        <f t="shared" si="3"/>
        <v>7.8947368421052627E-2</v>
      </c>
      <c r="O34">
        <f t="shared" si="3"/>
        <v>2.6315789473684209E-2</v>
      </c>
      <c r="P34">
        <f t="shared" si="3"/>
        <v>2.6315789473684209E-2</v>
      </c>
      <c r="Q34">
        <f t="shared" si="3"/>
        <v>2.6315789473684209E-2</v>
      </c>
      <c r="R34">
        <f t="shared" si="3"/>
        <v>2.6315789473684209E-2</v>
      </c>
      <c r="S34">
        <f t="shared" ref="S34:V34" si="13">S12/$C12</f>
        <v>7.8947368421052627E-2</v>
      </c>
      <c r="T34">
        <f t="shared" si="13"/>
        <v>2.6315789473684209E-2</v>
      </c>
      <c r="U34">
        <f t="shared" si="13"/>
        <v>0.13157894736842105</v>
      </c>
      <c r="V34">
        <f t="shared" si="13"/>
        <v>2.6315789473684209E-2</v>
      </c>
      <c r="AE34" s="11"/>
    </row>
    <row r="35" spans="6:31" x14ac:dyDescent="0.2">
      <c r="F35" s="17">
        <f>SUM(G35:T35)</f>
        <v>1</v>
      </c>
      <c r="G35">
        <f t="shared" si="3"/>
        <v>2.8571428571428571E-2</v>
      </c>
      <c r="H35">
        <f t="shared" si="3"/>
        <v>2.8571428571428571E-2</v>
      </c>
      <c r="I35">
        <f t="shared" si="3"/>
        <v>0.17142857142857143</v>
      </c>
      <c r="J35">
        <f t="shared" si="3"/>
        <v>2.8571428571428571E-2</v>
      </c>
      <c r="K35">
        <f t="shared" si="3"/>
        <v>2.8571428571428571E-2</v>
      </c>
      <c r="L35">
        <f t="shared" si="3"/>
        <v>2.8571428571428571E-2</v>
      </c>
      <c r="M35">
        <f t="shared" si="3"/>
        <v>2.8571428571428571E-2</v>
      </c>
      <c r="N35">
        <f t="shared" si="3"/>
        <v>0.11428571428571428</v>
      </c>
      <c r="O35">
        <f t="shared" si="3"/>
        <v>2.8571428571428571E-2</v>
      </c>
      <c r="P35">
        <f t="shared" si="3"/>
        <v>5.7142857142857141E-2</v>
      </c>
      <c r="Q35">
        <f t="shared" si="3"/>
        <v>2.8571428571428571E-2</v>
      </c>
      <c r="R35">
        <f t="shared" si="3"/>
        <v>2.8571428571428571E-2</v>
      </c>
      <c r="S35">
        <f t="shared" ref="S35:T35" si="14">S13/$C13</f>
        <v>0.2</v>
      </c>
      <c r="T35">
        <f t="shared" si="14"/>
        <v>0.2</v>
      </c>
      <c r="AE35" s="11"/>
    </row>
    <row r="36" spans="6:31" x14ac:dyDescent="0.2">
      <c r="F36" s="17">
        <f t="array" ref="F36">SUM(G36:W36)</f>
        <v>0.99999999999999956</v>
      </c>
      <c r="G36">
        <f t="shared" si="3"/>
        <v>3.2258064516129031E-2</v>
      </c>
      <c r="H36">
        <f t="shared" si="3"/>
        <v>3.2258064516129031E-2</v>
      </c>
      <c r="I36">
        <f t="shared" si="3"/>
        <v>3.2258064516129031E-2</v>
      </c>
      <c r="J36">
        <f t="shared" si="3"/>
        <v>0.41935483870967744</v>
      </c>
      <c r="K36">
        <f t="shared" si="3"/>
        <v>3.2258064516129031E-2</v>
      </c>
      <c r="L36">
        <f t="shared" si="3"/>
        <v>3.2258064516129031E-2</v>
      </c>
      <c r="M36">
        <f t="shared" si="3"/>
        <v>3.2258064516129031E-2</v>
      </c>
      <c r="N36">
        <f t="shared" si="3"/>
        <v>6.4516129032258063E-2</v>
      </c>
      <c r="O36">
        <f t="shared" si="3"/>
        <v>3.2258064516129031E-2</v>
      </c>
      <c r="P36">
        <f t="shared" si="3"/>
        <v>3.2258064516129031E-2</v>
      </c>
      <c r="Q36">
        <f t="shared" si="3"/>
        <v>3.2258064516129031E-2</v>
      </c>
      <c r="R36">
        <f t="shared" si="3"/>
        <v>3.2258064516129031E-2</v>
      </c>
      <c r="S36">
        <f t="shared" ref="S36:W36" si="15">S14/$C14</f>
        <v>3.2258064516129031E-2</v>
      </c>
      <c r="T36">
        <f t="shared" si="15"/>
        <v>3.2258064516129031E-2</v>
      </c>
      <c r="U36">
        <f t="shared" si="15"/>
        <v>3.2258064516129031E-2</v>
      </c>
      <c r="V36">
        <f t="shared" si="15"/>
        <v>6.4516129032258063E-2</v>
      </c>
      <c r="W36">
        <f t="shared" si="15"/>
        <v>3.2258064516129031E-2</v>
      </c>
      <c r="AE36" s="11"/>
    </row>
    <row r="37" spans="6:31" x14ac:dyDescent="0.2">
      <c r="F37" s="17">
        <f t="array" ref="F37">SUM(G37:W37)</f>
        <v>1</v>
      </c>
      <c r="G37">
        <f t="shared" si="3"/>
        <v>8.8235294117647065E-2</v>
      </c>
      <c r="H37">
        <f t="shared" si="3"/>
        <v>2.9411764705882353E-2</v>
      </c>
      <c r="I37">
        <f t="shared" si="3"/>
        <v>2.9411764705882353E-2</v>
      </c>
      <c r="J37">
        <f t="shared" si="3"/>
        <v>2.9411764705882353E-2</v>
      </c>
      <c r="K37">
        <f t="shared" si="3"/>
        <v>0.20588235294117646</v>
      </c>
      <c r="L37">
        <f t="shared" si="3"/>
        <v>2.9411764705882353E-2</v>
      </c>
      <c r="M37">
        <f t="shared" si="3"/>
        <v>2.9411764705882353E-2</v>
      </c>
      <c r="N37">
        <f t="shared" si="3"/>
        <v>5.8823529411764705E-2</v>
      </c>
      <c r="O37">
        <f t="shared" si="3"/>
        <v>0.11764705882352941</v>
      </c>
      <c r="P37">
        <f t="shared" si="3"/>
        <v>5.8823529411764705E-2</v>
      </c>
      <c r="Q37">
        <f t="shared" si="3"/>
        <v>2.9411764705882353E-2</v>
      </c>
      <c r="R37">
        <f t="shared" si="3"/>
        <v>8.8235294117647065E-2</v>
      </c>
      <c r="S37">
        <f t="shared" ref="S37:W37" si="16">S15/$C15</f>
        <v>5.8823529411764705E-2</v>
      </c>
      <c r="T37">
        <f t="shared" si="16"/>
        <v>2.9411764705882353E-2</v>
      </c>
      <c r="U37">
        <f t="shared" si="16"/>
        <v>2.9411764705882353E-2</v>
      </c>
      <c r="V37">
        <f t="shared" si="16"/>
        <v>2.9411764705882353E-2</v>
      </c>
      <c r="W37">
        <f t="shared" si="16"/>
        <v>5.8823529411764705E-2</v>
      </c>
      <c r="AE37" s="11"/>
    </row>
    <row r="38" spans="6:31" x14ac:dyDescent="0.2">
      <c r="F38" s="17">
        <f>SUM(G38:V38)</f>
        <v>0.99999999999999967</v>
      </c>
      <c r="G38">
        <f t="shared" si="3"/>
        <v>3.4482758620689655E-2</v>
      </c>
      <c r="H38">
        <f t="shared" si="3"/>
        <v>3.4482758620689655E-2</v>
      </c>
      <c r="I38">
        <f t="shared" si="3"/>
        <v>3.4482758620689655E-2</v>
      </c>
      <c r="J38">
        <f t="shared" si="3"/>
        <v>3.4482758620689655E-2</v>
      </c>
      <c r="K38">
        <f t="shared" si="3"/>
        <v>3.4482758620689655E-2</v>
      </c>
      <c r="L38">
        <f t="shared" si="3"/>
        <v>6.8965517241379309E-2</v>
      </c>
      <c r="M38">
        <f t="shared" si="3"/>
        <v>0.41379310344827586</v>
      </c>
      <c r="N38">
        <f t="shared" si="3"/>
        <v>6.8965517241379309E-2</v>
      </c>
      <c r="O38">
        <f t="shared" si="3"/>
        <v>3.4482758620689655E-2</v>
      </c>
      <c r="P38">
        <f t="shared" si="3"/>
        <v>3.4482758620689655E-2</v>
      </c>
      <c r="Q38">
        <f t="shared" si="3"/>
        <v>3.4482758620689655E-2</v>
      </c>
      <c r="R38">
        <f t="shared" si="3"/>
        <v>3.4482758620689655E-2</v>
      </c>
      <c r="S38">
        <f t="shared" ref="S38:V38" si="17">S16/$C16</f>
        <v>3.4482758620689655E-2</v>
      </c>
      <c r="T38">
        <f t="shared" si="17"/>
        <v>3.4482758620689655E-2</v>
      </c>
      <c r="U38">
        <f t="shared" si="17"/>
        <v>3.4482758620689655E-2</v>
      </c>
      <c r="V38">
        <f t="shared" si="17"/>
        <v>3.4482758620689655E-2</v>
      </c>
      <c r="AE38" s="11"/>
    </row>
    <row r="39" spans="6:31" x14ac:dyDescent="0.2">
      <c r="F39" s="17">
        <f t="array" ref="F39">SUM(G39:U39)</f>
        <v>0.99999999999999978</v>
      </c>
      <c r="G39">
        <f t="shared" si="3"/>
        <v>3.7037037037037035E-2</v>
      </c>
      <c r="H39">
        <f t="shared" si="3"/>
        <v>3.7037037037037035E-2</v>
      </c>
      <c r="I39">
        <f t="shared" si="3"/>
        <v>7.407407407407407E-2</v>
      </c>
      <c r="J39">
        <f t="shared" si="3"/>
        <v>0.25925925925925924</v>
      </c>
      <c r="K39">
        <f t="shared" si="3"/>
        <v>3.7037037037037035E-2</v>
      </c>
      <c r="L39">
        <f t="shared" si="3"/>
        <v>3.7037037037037035E-2</v>
      </c>
      <c r="M39">
        <f t="shared" si="3"/>
        <v>0.18518518518518517</v>
      </c>
      <c r="N39">
        <f t="shared" si="3"/>
        <v>3.7037037037037035E-2</v>
      </c>
      <c r="O39">
        <f t="shared" si="3"/>
        <v>3.7037037037037035E-2</v>
      </c>
      <c r="P39">
        <f t="shared" si="3"/>
        <v>7.407407407407407E-2</v>
      </c>
      <c r="Q39">
        <f t="shared" si="3"/>
        <v>3.7037037037037035E-2</v>
      </c>
      <c r="R39">
        <f t="shared" si="3"/>
        <v>3.7037037037037035E-2</v>
      </c>
      <c r="S39">
        <f t="shared" ref="S39:U39" si="18">S17/$C17</f>
        <v>3.7037037037037035E-2</v>
      </c>
      <c r="T39">
        <f t="shared" si="18"/>
        <v>3.7037037037037035E-2</v>
      </c>
      <c r="U39">
        <f t="shared" si="18"/>
        <v>3.7037037037037035E-2</v>
      </c>
      <c r="AE39" s="11"/>
    </row>
    <row r="40" spans="6:31" x14ac:dyDescent="0.2">
      <c r="F40" s="17">
        <f>SUM(G40:Z40)</f>
        <v>1</v>
      </c>
      <c r="G40">
        <f t="shared" si="3"/>
        <v>3.125E-2</v>
      </c>
      <c r="H40">
        <f t="shared" si="3"/>
        <v>3.125E-2</v>
      </c>
      <c r="I40">
        <f t="shared" si="3"/>
        <v>3.125E-2</v>
      </c>
      <c r="J40">
        <f t="shared" si="3"/>
        <v>3.125E-2</v>
      </c>
      <c r="K40">
        <f t="shared" si="3"/>
        <v>3.125E-2</v>
      </c>
      <c r="L40">
        <f t="shared" si="3"/>
        <v>3.125E-2</v>
      </c>
      <c r="M40">
        <f t="shared" si="3"/>
        <v>3.125E-2</v>
      </c>
      <c r="N40">
        <f t="shared" si="3"/>
        <v>0.21875</v>
      </c>
      <c r="O40">
        <f t="shared" si="3"/>
        <v>6.25E-2</v>
      </c>
      <c r="P40">
        <f t="shared" si="3"/>
        <v>3.125E-2</v>
      </c>
      <c r="Q40">
        <f t="shared" si="3"/>
        <v>6.25E-2</v>
      </c>
      <c r="R40">
        <f t="shared" si="3"/>
        <v>3.125E-2</v>
      </c>
      <c r="S40">
        <f t="shared" ref="S40:Y40" si="19">S18/$C18</f>
        <v>3.125E-2</v>
      </c>
      <c r="T40">
        <f t="shared" si="19"/>
        <v>3.125E-2</v>
      </c>
      <c r="U40">
        <f t="shared" si="19"/>
        <v>3.125E-2</v>
      </c>
      <c r="V40">
        <f t="shared" si="19"/>
        <v>9.375E-2</v>
      </c>
      <c r="W40">
        <f t="shared" si="19"/>
        <v>6.25E-2</v>
      </c>
      <c r="X40">
        <f t="shared" si="19"/>
        <v>6.25E-2</v>
      </c>
      <c r="Y40">
        <f t="shared" si="19"/>
        <v>3.125E-2</v>
      </c>
      <c r="Z40">
        <f t="shared" ref="Z40" si="20">Z18/$C18</f>
        <v>3.125E-2</v>
      </c>
      <c r="AE40" s="11"/>
    </row>
    <row r="41" spans="6:31" x14ac:dyDescent="0.2">
      <c r="F41" s="17">
        <f>SUM(G41:Q41)</f>
        <v>1</v>
      </c>
      <c r="G41">
        <f t="shared" si="3"/>
        <v>7.407407407407407E-2</v>
      </c>
      <c r="H41">
        <f t="shared" si="3"/>
        <v>3.7037037037037035E-2</v>
      </c>
      <c r="I41">
        <f t="shared" si="3"/>
        <v>0.37037037037037035</v>
      </c>
      <c r="J41">
        <f t="shared" si="3"/>
        <v>7.407407407407407E-2</v>
      </c>
      <c r="K41">
        <f t="shared" si="3"/>
        <v>7.407407407407407E-2</v>
      </c>
      <c r="L41">
        <f t="shared" si="3"/>
        <v>7.407407407407407E-2</v>
      </c>
      <c r="M41">
        <f t="shared" si="3"/>
        <v>3.7037037037037035E-2</v>
      </c>
      <c r="N41">
        <f t="shared" si="3"/>
        <v>3.7037037037037035E-2</v>
      </c>
      <c r="O41">
        <f t="shared" si="3"/>
        <v>0.1111111111111111</v>
      </c>
      <c r="P41">
        <f t="shared" si="3"/>
        <v>7.407407407407407E-2</v>
      </c>
      <c r="Q41">
        <f t="shared" si="3"/>
        <v>3.7037037037037035E-2</v>
      </c>
      <c r="AE41" s="11"/>
    </row>
    <row r="42" spans="6:31" x14ac:dyDescent="0.2">
      <c r="F42" s="17">
        <f>SUM(G42:AE42)</f>
        <v>0.99999999999999956</v>
      </c>
      <c r="G42">
        <f t="shared" si="3"/>
        <v>2.2727272727272728E-2</v>
      </c>
      <c r="H42">
        <f t="shared" si="3"/>
        <v>2.2727272727272728E-2</v>
      </c>
      <c r="I42">
        <f t="shared" si="3"/>
        <v>2.2727272727272728E-2</v>
      </c>
      <c r="J42">
        <f t="shared" si="3"/>
        <v>4.5454545454545456E-2</v>
      </c>
      <c r="K42">
        <f t="shared" si="3"/>
        <v>0.27272727272727271</v>
      </c>
      <c r="L42">
        <f t="shared" si="3"/>
        <v>2.2727272727272728E-2</v>
      </c>
      <c r="M42">
        <f t="shared" si="3"/>
        <v>2.2727272727272728E-2</v>
      </c>
      <c r="N42">
        <f t="shared" si="3"/>
        <v>4.5454545454545456E-2</v>
      </c>
      <c r="O42">
        <f t="shared" si="3"/>
        <v>2.2727272727272728E-2</v>
      </c>
      <c r="P42">
        <f t="shared" si="3"/>
        <v>4.5454545454545456E-2</v>
      </c>
      <c r="Q42">
        <f t="shared" si="3"/>
        <v>2.2727272727272728E-2</v>
      </c>
      <c r="R42">
        <f t="shared" si="3"/>
        <v>2.2727272727272728E-2</v>
      </c>
      <c r="S42">
        <f t="shared" ref="S42:Y42" si="21">S20/$C20</f>
        <v>2.2727272727272728E-2</v>
      </c>
      <c r="T42">
        <f t="shared" si="21"/>
        <v>2.2727272727272728E-2</v>
      </c>
      <c r="U42">
        <f t="shared" si="21"/>
        <v>2.2727272727272728E-2</v>
      </c>
      <c r="V42">
        <f t="shared" si="21"/>
        <v>2.2727272727272728E-2</v>
      </c>
      <c r="W42">
        <f t="shared" si="21"/>
        <v>2.2727272727272728E-2</v>
      </c>
      <c r="X42">
        <f t="shared" si="21"/>
        <v>6.8181818181818177E-2</v>
      </c>
      <c r="Y42">
        <f t="shared" si="21"/>
        <v>2.2727272727272728E-2</v>
      </c>
      <c r="Z42">
        <f t="shared" ref="Z42:AC42" si="22">Z20/$C20</f>
        <v>4.5454545454545456E-2</v>
      </c>
      <c r="AA42">
        <f t="shared" si="22"/>
        <v>4.5454545454545456E-2</v>
      </c>
      <c r="AB42">
        <f t="shared" si="22"/>
        <v>4.5454545454545456E-2</v>
      </c>
      <c r="AC42">
        <f t="shared" si="22"/>
        <v>2.2727272727272728E-2</v>
      </c>
      <c r="AD42">
        <f t="shared" ref="AD42:AE42" si="23">AD20/$C20</f>
        <v>2.2727272727272728E-2</v>
      </c>
      <c r="AE42" s="11">
        <f t="shared" si="23"/>
        <v>2.2727272727272728E-2</v>
      </c>
    </row>
    <row r="43" spans="6:31" x14ac:dyDescent="0.2">
      <c r="F43" s="20">
        <f t="array" ref="F43">SUM(G43:V43)</f>
        <v>1</v>
      </c>
      <c r="G43" s="7">
        <f t="shared" si="3"/>
        <v>2.9411764705882353E-2</v>
      </c>
      <c r="H43" s="7">
        <f t="shared" si="3"/>
        <v>2.9411764705882353E-2</v>
      </c>
      <c r="I43" s="7">
        <f t="shared" si="3"/>
        <v>2.9411764705882353E-2</v>
      </c>
      <c r="J43" s="7">
        <f t="shared" si="3"/>
        <v>2.9411764705882353E-2</v>
      </c>
      <c r="K43" s="7">
        <f t="shared" si="3"/>
        <v>0.38235294117647056</v>
      </c>
      <c r="L43" s="7">
        <f t="shared" si="3"/>
        <v>2.9411764705882353E-2</v>
      </c>
      <c r="M43" s="7">
        <f t="shared" si="3"/>
        <v>2.9411764705882353E-2</v>
      </c>
      <c r="N43" s="7">
        <f t="shared" si="3"/>
        <v>2.9411764705882353E-2</v>
      </c>
      <c r="O43" s="7">
        <f t="shared" si="3"/>
        <v>2.9411764705882353E-2</v>
      </c>
      <c r="P43" s="7">
        <f t="shared" si="3"/>
        <v>2.9411764705882353E-2</v>
      </c>
      <c r="Q43" s="7">
        <f t="shared" si="3"/>
        <v>8.8235294117647065E-2</v>
      </c>
      <c r="R43" s="7">
        <f t="shared" si="3"/>
        <v>8.8235294117647065E-2</v>
      </c>
      <c r="S43" s="7">
        <f t="shared" ref="S43:V43" si="24">S21/$C21</f>
        <v>2.9411764705882353E-2</v>
      </c>
      <c r="T43" s="7">
        <f t="shared" si="24"/>
        <v>2.9411764705882353E-2</v>
      </c>
      <c r="U43" s="7">
        <f t="shared" si="24"/>
        <v>8.8235294117647065E-2</v>
      </c>
      <c r="V43" s="7">
        <f t="shared" si="24"/>
        <v>2.9411764705882353E-2</v>
      </c>
      <c r="W43" s="7"/>
      <c r="X43" s="7"/>
      <c r="Y43" s="7"/>
      <c r="Z43" s="7"/>
      <c r="AA43" s="7"/>
      <c r="AB43" s="7"/>
      <c r="AC43" s="7"/>
      <c r="AD43" s="7"/>
      <c r="AE43" s="12"/>
    </row>
    <row r="45" spans="6:31" x14ac:dyDescent="0.2">
      <c r="F45" s="16" t="s">
        <v>113</v>
      </c>
      <c r="G45" s="29" t="s">
        <v>117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1"/>
    </row>
    <row r="46" spans="6:31" x14ac:dyDescent="0.2">
      <c r="F46" s="17">
        <f>SUM(G46:S46)</f>
        <v>0.11458333333333333</v>
      </c>
      <c r="G46">
        <f>G24^2</f>
        <v>1.5625E-2</v>
      </c>
      <c r="H46">
        <f t="shared" ref="H46:W61" si="25">H24^2</f>
        <v>1.736111111111111E-3</v>
      </c>
      <c r="I46">
        <f t="shared" si="25"/>
        <v>1.736111111111111E-3</v>
      </c>
      <c r="J46">
        <f t="shared" si="25"/>
        <v>1.736111111111111E-3</v>
      </c>
      <c r="K46">
        <f t="shared" si="25"/>
        <v>1.736111111111111E-3</v>
      </c>
      <c r="L46">
        <f t="shared" si="25"/>
        <v>4.3402777777777783E-2</v>
      </c>
      <c r="M46">
        <f t="shared" si="25"/>
        <v>6.9444444444444441E-3</v>
      </c>
      <c r="N46">
        <f t="shared" si="25"/>
        <v>1.736111111111111E-3</v>
      </c>
      <c r="O46">
        <f t="shared" si="25"/>
        <v>1.736111111111111E-3</v>
      </c>
      <c r="P46">
        <f t="shared" si="25"/>
        <v>1.736111111111111E-3</v>
      </c>
      <c r="Q46">
        <f t="shared" si="25"/>
        <v>6.9444444444444441E-3</v>
      </c>
      <c r="R46">
        <f t="shared" si="25"/>
        <v>1.736111111111111E-3</v>
      </c>
      <c r="S46">
        <f t="shared" si="25"/>
        <v>2.7777777777777776E-2</v>
      </c>
      <c r="AE46" s="11"/>
    </row>
    <row r="47" spans="6:31" x14ac:dyDescent="0.2">
      <c r="F47" s="17">
        <f>SUM(G47:T47)</f>
        <v>0.15111111111111114</v>
      </c>
      <c r="G47">
        <f t="shared" ref="G47:T65" si="26">G25^2</f>
        <v>4.4444444444444444E-3</v>
      </c>
      <c r="H47">
        <f t="shared" si="26"/>
        <v>1.1111111111111111E-3</v>
      </c>
      <c r="I47">
        <f t="shared" si="26"/>
        <v>4.4444444444444444E-3</v>
      </c>
      <c r="J47">
        <f t="shared" si="26"/>
        <v>1.1111111111111111E-3</v>
      </c>
      <c r="K47">
        <f t="shared" si="26"/>
        <v>1.1111111111111111E-3</v>
      </c>
      <c r="L47">
        <f t="shared" si="26"/>
        <v>0.1111111111111111</v>
      </c>
      <c r="M47">
        <f t="shared" si="26"/>
        <v>4.4444444444444444E-3</v>
      </c>
      <c r="N47">
        <f t="shared" si="26"/>
        <v>1.1111111111111111E-3</v>
      </c>
      <c r="O47">
        <f t="shared" si="26"/>
        <v>1.1111111111111111E-3</v>
      </c>
      <c r="P47">
        <f t="shared" si="26"/>
        <v>4.4444444444444444E-3</v>
      </c>
      <c r="Q47">
        <f t="shared" si="26"/>
        <v>1.1111111111111111E-3</v>
      </c>
      <c r="R47">
        <f t="shared" si="26"/>
        <v>1.1111111111111111E-3</v>
      </c>
      <c r="S47">
        <f t="shared" si="26"/>
        <v>4.4444444444444444E-3</v>
      </c>
      <c r="T47">
        <f t="shared" si="26"/>
        <v>1.0000000000000002E-2</v>
      </c>
      <c r="AE47" s="11"/>
    </row>
    <row r="48" spans="6:31" x14ac:dyDescent="0.2">
      <c r="F48" s="17">
        <f>SUM(G48:U48)</f>
        <v>0.10888888888888887</v>
      </c>
      <c r="G48">
        <f t="shared" si="26"/>
        <v>1.1111111111111111E-3</v>
      </c>
      <c r="H48">
        <f t="shared" si="25"/>
        <v>4.4444444444444444E-3</v>
      </c>
      <c r="I48">
        <f t="shared" si="25"/>
        <v>1.7777777777777778E-2</v>
      </c>
      <c r="J48">
        <f t="shared" si="25"/>
        <v>1.1111111111111111E-3</v>
      </c>
      <c r="K48">
        <f t="shared" si="25"/>
        <v>4.4444444444444444E-3</v>
      </c>
      <c r="L48">
        <f t="shared" si="25"/>
        <v>1.1111111111111111E-3</v>
      </c>
      <c r="M48">
        <f t="shared" si="25"/>
        <v>5.4444444444444448E-2</v>
      </c>
      <c r="N48">
        <f t="shared" si="25"/>
        <v>1.1111111111111111E-3</v>
      </c>
      <c r="O48">
        <f t="shared" si="25"/>
        <v>1.1111111111111111E-3</v>
      </c>
      <c r="P48">
        <f t="shared" si="25"/>
        <v>4.4444444444444444E-3</v>
      </c>
      <c r="Q48">
        <f t="shared" si="25"/>
        <v>1.1111111111111111E-3</v>
      </c>
      <c r="R48">
        <f t="shared" si="25"/>
        <v>1.1111111111111111E-3</v>
      </c>
      <c r="S48">
        <f t="shared" si="25"/>
        <v>1.1111111111111111E-3</v>
      </c>
      <c r="T48">
        <f t="shared" si="25"/>
        <v>4.4444444444444444E-3</v>
      </c>
      <c r="U48">
        <f t="shared" ref="U48" si="27">U26^2</f>
        <v>1.0000000000000002E-2</v>
      </c>
      <c r="AE48" s="11"/>
    </row>
    <row r="49" spans="6:31" x14ac:dyDescent="0.2">
      <c r="F49" s="17">
        <f>SUM(G49:V49)</f>
        <v>0.10546875</v>
      </c>
      <c r="G49">
        <f t="shared" si="26"/>
        <v>9.765625E-4</v>
      </c>
      <c r="H49">
        <f t="shared" si="25"/>
        <v>9.765625E-4</v>
      </c>
      <c r="I49">
        <f t="shared" si="25"/>
        <v>9.765625E-4</v>
      </c>
      <c r="J49">
        <f t="shared" si="25"/>
        <v>2.44140625E-2</v>
      </c>
      <c r="K49">
        <f t="shared" si="25"/>
        <v>3.515625E-2</v>
      </c>
      <c r="L49">
        <f t="shared" si="25"/>
        <v>1.5625E-2</v>
      </c>
      <c r="M49">
        <f t="shared" si="25"/>
        <v>9.765625E-4</v>
      </c>
      <c r="N49">
        <f t="shared" si="25"/>
        <v>9.765625E-4</v>
      </c>
      <c r="O49">
        <f t="shared" si="25"/>
        <v>9.765625E-4</v>
      </c>
      <c r="P49">
        <f t="shared" si="25"/>
        <v>9.765625E-4</v>
      </c>
      <c r="Q49">
        <f t="shared" si="25"/>
        <v>9.765625E-4</v>
      </c>
      <c r="R49">
        <f t="shared" si="25"/>
        <v>3.90625E-3</v>
      </c>
      <c r="S49">
        <f t="shared" si="25"/>
        <v>9.765625E-4</v>
      </c>
      <c r="T49">
        <f t="shared" si="25"/>
        <v>9.765625E-4</v>
      </c>
      <c r="U49">
        <f t="shared" si="25"/>
        <v>9.765625E-4</v>
      </c>
      <c r="V49">
        <f t="shared" si="25"/>
        <v>1.5625E-2</v>
      </c>
      <c r="AE49" s="11"/>
    </row>
    <row r="50" spans="6:31" x14ac:dyDescent="0.2">
      <c r="F50" s="17">
        <f t="array" ref="F50">SUM(G50:V50)</f>
        <v>0.15151515151515141</v>
      </c>
      <c r="G50">
        <f t="shared" si="26"/>
        <v>8.2644628099173556E-3</v>
      </c>
      <c r="H50">
        <f t="shared" si="25"/>
        <v>9.1827364554637292E-4</v>
      </c>
      <c r="I50">
        <f t="shared" si="25"/>
        <v>3.6730945821854917E-3</v>
      </c>
      <c r="J50">
        <f t="shared" si="25"/>
        <v>9.1827364554637292E-4</v>
      </c>
      <c r="K50">
        <f t="shared" si="25"/>
        <v>0.1111111111111111</v>
      </c>
      <c r="L50">
        <f t="shared" si="25"/>
        <v>9.1827364554637292E-4</v>
      </c>
      <c r="M50">
        <f t="shared" si="25"/>
        <v>9.1827364554637292E-4</v>
      </c>
      <c r="N50">
        <f t="shared" si="25"/>
        <v>1.4692378328741967E-2</v>
      </c>
      <c r="O50">
        <f t="shared" si="25"/>
        <v>9.1827364554637292E-4</v>
      </c>
      <c r="P50">
        <f t="shared" si="25"/>
        <v>9.1827364554637292E-4</v>
      </c>
      <c r="Q50">
        <f t="shared" si="25"/>
        <v>9.1827364554637292E-4</v>
      </c>
      <c r="R50">
        <f t="shared" si="25"/>
        <v>9.1827364554637292E-4</v>
      </c>
      <c r="S50">
        <f t="shared" si="25"/>
        <v>9.1827364554637292E-4</v>
      </c>
      <c r="T50">
        <f t="shared" si="25"/>
        <v>9.1827364554637292E-4</v>
      </c>
      <c r="U50">
        <f t="shared" si="25"/>
        <v>9.1827364554637292E-4</v>
      </c>
      <c r="V50">
        <f t="shared" si="25"/>
        <v>3.6730945821854917E-3</v>
      </c>
      <c r="AE50" s="11"/>
    </row>
    <row r="51" spans="6:31" x14ac:dyDescent="0.2">
      <c r="F51" s="17">
        <f>SUM(G51:S51)</f>
        <v>0.20000000000000009</v>
      </c>
      <c r="G51">
        <f t="shared" si="26"/>
        <v>1.1111111111111111E-3</v>
      </c>
      <c r="H51">
        <f t="shared" si="25"/>
        <v>1.0000000000000002E-2</v>
      </c>
      <c r="I51">
        <f t="shared" si="25"/>
        <v>1.0000000000000002E-2</v>
      </c>
      <c r="J51">
        <f t="shared" si="25"/>
        <v>1.1111111111111111E-3</v>
      </c>
      <c r="K51">
        <f t="shared" si="25"/>
        <v>0.16000000000000003</v>
      </c>
      <c r="L51">
        <f t="shared" si="25"/>
        <v>1.0000000000000002E-2</v>
      </c>
      <c r="M51">
        <f t="shared" si="25"/>
        <v>1.1111111111111111E-3</v>
      </c>
      <c r="N51">
        <f t="shared" si="25"/>
        <v>1.1111111111111111E-3</v>
      </c>
      <c r="O51">
        <f t="shared" si="25"/>
        <v>1.1111111111111111E-3</v>
      </c>
      <c r="P51">
        <f t="shared" si="25"/>
        <v>1.1111111111111111E-3</v>
      </c>
      <c r="Q51">
        <f t="shared" si="25"/>
        <v>1.1111111111111111E-3</v>
      </c>
      <c r="R51">
        <f t="shared" si="25"/>
        <v>1.1111111111111111E-3</v>
      </c>
      <c r="S51">
        <f t="shared" si="25"/>
        <v>1.1111111111111111E-3</v>
      </c>
      <c r="AE51" s="11"/>
    </row>
    <row r="52" spans="6:31" x14ac:dyDescent="0.2">
      <c r="F52" s="17">
        <f>SUM(G52:V52)</f>
        <v>0.17647058823529418</v>
      </c>
      <c r="G52">
        <f t="shared" si="26"/>
        <v>3.4602076124567475E-3</v>
      </c>
      <c r="H52">
        <f t="shared" si="25"/>
        <v>7.785467128027683E-3</v>
      </c>
      <c r="I52">
        <f t="shared" si="25"/>
        <v>8.6505190311418688E-4</v>
      </c>
      <c r="J52">
        <f t="shared" si="25"/>
        <v>8.6505190311418688E-4</v>
      </c>
      <c r="K52">
        <f t="shared" si="25"/>
        <v>8.6505190311418688E-4</v>
      </c>
      <c r="L52">
        <f t="shared" si="25"/>
        <v>0.14619377162629757</v>
      </c>
      <c r="M52">
        <f t="shared" si="25"/>
        <v>8.6505190311418688E-4</v>
      </c>
      <c r="N52">
        <f t="shared" si="25"/>
        <v>8.6505190311418688E-4</v>
      </c>
      <c r="O52">
        <f t="shared" si="25"/>
        <v>8.6505190311418688E-4</v>
      </c>
      <c r="P52">
        <f t="shared" si="25"/>
        <v>3.4602076124567475E-3</v>
      </c>
      <c r="Q52">
        <f t="shared" si="25"/>
        <v>8.6505190311418688E-4</v>
      </c>
      <c r="R52">
        <f t="shared" si="25"/>
        <v>8.6505190311418688E-4</v>
      </c>
      <c r="S52">
        <f t="shared" si="25"/>
        <v>8.6505190311418688E-4</v>
      </c>
      <c r="T52">
        <f t="shared" si="25"/>
        <v>8.6505190311418688E-4</v>
      </c>
      <c r="U52">
        <f t="shared" si="25"/>
        <v>3.4602076124567475E-3</v>
      </c>
      <c r="V52">
        <f t="shared" si="25"/>
        <v>3.4602076124567475E-3</v>
      </c>
      <c r="AE52" s="11"/>
    </row>
    <row r="53" spans="6:31" x14ac:dyDescent="0.2">
      <c r="F53" s="17">
        <f>SUM(G53:T53)</f>
        <v>0.2366863905325445</v>
      </c>
      <c r="G53">
        <f t="shared" si="26"/>
        <v>1.4792899408284025E-3</v>
      </c>
      <c r="H53">
        <f t="shared" si="25"/>
        <v>0.21301775147928997</v>
      </c>
      <c r="I53">
        <f t="shared" si="25"/>
        <v>1.4792899408284025E-3</v>
      </c>
      <c r="J53">
        <f t="shared" si="25"/>
        <v>1.4792899408284025E-3</v>
      </c>
      <c r="K53">
        <f t="shared" si="25"/>
        <v>5.9171597633136102E-3</v>
      </c>
      <c r="L53">
        <f t="shared" si="25"/>
        <v>1.4792899408284025E-3</v>
      </c>
      <c r="M53">
        <f t="shared" si="25"/>
        <v>1.4792899408284025E-3</v>
      </c>
      <c r="N53">
        <f t="shared" si="25"/>
        <v>1.4792899408284025E-3</v>
      </c>
      <c r="O53">
        <f t="shared" si="25"/>
        <v>1.4792899408284025E-3</v>
      </c>
      <c r="P53">
        <f t="shared" si="25"/>
        <v>1.4792899408284025E-3</v>
      </c>
      <c r="Q53">
        <f t="shared" si="25"/>
        <v>1.4792899408284025E-3</v>
      </c>
      <c r="R53">
        <f t="shared" si="25"/>
        <v>1.4792899408284025E-3</v>
      </c>
      <c r="S53">
        <f t="shared" si="25"/>
        <v>1.4792899408284025E-3</v>
      </c>
      <c r="T53">
        <f t="shared" si="25"/>
        <v>1.4792899408284025E-3</v>
      </c>
      <c r="AE53" s="11"/>
    </row>
    <row r="54" spans="6:31" x14ac:dyDescent="0.2">
      <c r="F54" s="17">
        <f>SUM(G54:W54)</f>
        <v>0.13111111111111107</v>
      </c>
      <c r="G54">
        <f t="shared" si="26"/>
        <v>1.1111111111111111E-3</v>
      </c>
      <c r="H54">
        <f t="shared" si="25"/>
        <v>1.1111111111111111E-3</v>
      </c>
      <c r="I54">
        <f t="shared" si="25"/>
        <v>1.1111111111111111E-3</v>
      </c>
      <c r="J54">
        <f t="shared" si="25"/>
        <v>1.1111111111111111E-3</v>
      </c>
      <c r="K54">
        <f t="shared" si="25"/>
        <v>0.09</v>
      </c>
      <c r="L54">
        <f t="shared" si="25"/>
        <v>1.1111111111111111E-3</v>
      </c>
      <c r="M54">
        <f t="shared" si="25"/>
        <v>1.1111111111111111E-3</v>
      </c>
      <c r="N54">
        <f t="shared" si="25"/>
        <v>1.1111111111111111E-3</v>
      </c>
      <c r="O54">
        <f t="shared" si="25"/>
        <v>1.7777777777777778E-2</v>
      </c>
      <c r="P54">
        <f t="shared" si="25"/>
        <v>1.1111111111111111E-3</v>
      </c>
      <c r="Q54">
        <f t="shared" si="25"/>
        <v>1.1111111111111111E-3</v>
      </c>
      <c r="R54">
        <f t="shared" si="25"/>
        <v>1.1111111111111111E-3</v>
      </c>
      <c r="S54">
        <f t="shared" si="25"/>
        <v>4.4444444444444444E-3</v>
      </c>
      <c r="T54">
        <f t="shared" si="25"/>
        <v>1.1111111111111111E-3</v>
      </c>
      <c r="U54">
        <f t="shared" si="25"/>
        <v>1.1111111111111111E-3</v>
      </c>
      <c r="V54">
        <f t="shared" si="25"/>
        <v>4.4444444444444444E-3</v>
      </c>
      <c r="W54">
        <f t="shared" si="25"/>
        <v>1.1111111111111111E-3</v>
      </c>
      <c r="AE54" s="11"/>
    </row>
    <row r="55" spans="6:31" x14ac:dyDescent="0.2">
      <c r="F55" s="17">
        <f>SUM(G55:T55)</f>
        <v>0.1644444444444445</v>
      </c>
      <c r="G55">
        <f t="shared" si="26"/>
        <v>4.4444444444444444E-3</v>
      </c>
      <c r="H55">
        <f t="shared" si="25"/>
        <v>1.1111111111111111E-3</v>
      </c>
      <c r="I55">
        <f t="shared" si="25"/>
        <v>1.1111111111111111E-3</v>
      </c>
      <c r="J55">
        <f t="shared" si="25"/>
        <v>1.1111111111111111E-3</v>
      </c>
      <c r="K55">
        <f t="shared" si="25"/>
        <v>5.4444444444444448E-2</v>
      </c>
      <c r="L55">
        <f t="shared" si="25"/>
        <v>0.09</v>
      </c>
      <c r="M55">
        <f t="shared" si="25"/>
        <v>1.1111111111111111E-3</v>
      </c>
      <c r="N55">
        <f t="shared" si="25"/>
        <v>1.1111111111111111E-3</v>
      </c>
      <c r="O55">
        <f t="shared" si="25"/>
        <v>1.1111111111111111E-3</v>
      </c>
      <c r="P55">
        <f t="shared" si="25"/>
        <v>4.4444444444444444E-3</v>
      </c>
      <c r="Q55">
        <f t="shared" si="25"/>
        <v>1.1111111111111111E-3</v>
      </c>
      <c r="R55">
        <f t="shared" si="25"/>
        <v>1.1111111111111111E-3</v>
      </c>
      <c r="S55">
        <f t="shared" si="25"/>
        <v>1.1111111111111111E-3</v>
      </c>
      <c r="T55">
        <f t="shared" si="25"/>
        <v>1.1111111111111111E-3</v>
      </c>
      <c r="AE55" s="11"/>
    </row>
    <row r="56" spans="6:31" x14ac:dyDescent="0.2">
      <c r="F56" s="17">
        <f t="array" ref="F56">SUM(G56:V56)</f>
        <v>0.19390581717451519</v>
      </c>
      <c r="G56">
        <f t="shared" si="26"/>
        <v>6.9252077562326859E-4</v>
      </c>
      <c r="H56">
        <f t="shared" si="25"/>
        <v>6.9252077562326859E-4</v>
      </c>
      <c r="I56">
        <f t="shared" si="25"/>
        <v>6.9252077562326859E-4</v>
      </c>
      <c r="J56">
        <f t="shared" si="25"/>
        <v>6.9252077562326859E-4</v>
      </c>
      <c r="K56">
        <f t="shared" si="25"/>
        <v>6.9252077562326859E-4</v>
      </c>
      <c r="L56">
        <f t="shared" si="25"/>
        <v>0.15581717451523547</v>
      </c>
      <c r="M56">
        <f t="shared" si="25"/>
        <v>6.9252077562326859E-4</v>
      </c>
      <c r="N56">
        <f t="shared" si="25"/>
        <v>6.2326869806094178E-3</v>
      </c>
      <c r="O56">
        <f t="shared" si="25"/>
        <v>6.9252077562326859E-4</v>
      </c>
      <c r="P56">
        <f t="shared" si="25"/>
        <v>6.9252077562326859E-4</v>
      </c>
      <c r="Q56">
        <f t="shared" si="25"/>
        <v>6.9252077562326859E-4</v>
      </c>
      <c r="R56">
        <f t="shared" si="25"/>
        <v>6.9252077562326859E-4</v>
      </c>
      <c r="S56">
        <f t="shared" si="25"/>
        <v>6.2326869806094178E-3</v>
      </c>
      <c r="T56">
        <f t="shared" si="25"/>
        <v>6.9252077562326859E-4</v>
      </c>
      <c r="U56">
        <f t="shared" si="25"/>
        <v>1.7313019390581715E-2</v>
      </c>
      <c r="V56">
        <f t="shared" si="25"/>
        <v>6.9252077562326859E-4</v>
      </c>
      <c r="AE56" s="11"/>
    </row>
    <row r="57" spans="6:31" x14ac:dyDescent="0.2">
      <c r="F57" s="17">
        <f>SUM(G57:T57)</f>
        <v>0.13306122448979596</v>
      </c>
      <c r="G57">
        <f t="shared" si="26"/>
        <v>8.1632653061224482E-4</v>
      </c>
      <c r="H57">
        <f t="shared" si="25"/>
        <v>8.1632653061224482E-4</v>
      </c>
      <c r="I57">
        <f t="shared" si="25"/>
        <v>2.9387755102040818E-2</v>
      </c>
      <c r="J57">
        <f t="shared" si="25"/>
        <v>8.1632653061224482E-4</v>
      </c>
      <c r="K57">
        <f t="shared" si="25"/>
        <v>8.1632653061224482E-4</v>
      </c>
      <c r="L57">
        <f t="shared" si="25"/>
        <v>8.1632653061224482E-4</v>
      </c>
      <c r="M57">
        <f t="shared" si="25"/>
        <v>8.1632653061224482E-4</v>
      </c>
      <c r="N57">
        <f t="shared" si="25"/>
        <v>1.3061224489795917E-2</v>
      </c>
      <c r="O57">
        <f t="shared" si="25"/>
        <v>8.1632653061224482E-4</v>
      </c>
      <c r="P57">
        <f t="shared" si="25"/>
        <v>3.2653061224489793E-3</v>
      </c>
      <c r="Q57">
        <f t="shared" si="25"/>
        <v>8.1632653061224482E-4</v>
      </c>
      <c r="R57">
        <f t="shared" si="25"/>
        <v>8.1632653061224482E-4</v>
      </c>
      <c r="S57">
        <f t="shared" si="25"/>
        <v>4.0000000000000008E-2</v>
      </c>
      <c r="T57">
        <f t="shared" si="25"/>
        <v>4.0000000000000008E-2</v>
      </c>
      <c r="AE57" s="11"/>
    </row>
    <row r="58" spans="6:31" x14ac:dyDescent="0.2">
      <c r="F58" s="17">
        <f t="array" ref="F58">SUM(G58:W58)</f>
        <v>0.1987513007284078</v>
      </c>
      <c r="G58">
        <f t="shared" si="26"/>
        <v>1.0405827263267429E-3</v>
      </c>
      <c r="H58">
        <f t="shared" si="25"/>
        <v>1.0405827263267429E-3</v>
      </c>
      <c r="I58">
        <f t="shared" si="25"/>
        <v>1.0405827263267429E-3</v>
      </c>
      <c r="J58">
        <f t="shared" si="25"/>
        <v>0.17585848074921959</v>
      </c>
      <c r="K58">
        <f t="shared" si="25"/>
        <v>1.0405827263267429E-3</v>
      </c>
      <c r="L58">
        <f t="shared" si="25"/>
        <v>1.0405827263267429E-3</v>
      </c>
      <c r="M58">
        <f t="shared" si="25"/>
        <v>1.0405827263267429E-3</v>
      </c>
      <c r="N58">
        <f t="shared" si="25"/>
        <v>4.1623309053069714E-3</v>
      </c>
      <c r="O58">
        <f t="shared" si="25"/>
        <v>1.0405827263267429E-3</v>
      </c>
      <c r="P58">
        <f t="shared" si="25"/>
        <v>1.0405827263267429E-3</v>
      </c>
      <c r="Q58">
        <f t="shared" si="25"/>
        <v>1.0405827263267429E-3</v>
      </c>
      <c r="R58">
        <f t="shared" si="25"/>
        <v>1.0405827263267429E-3</v>
      </c>
      <c r="S58">
        <f t="shared" si="25"/>
        <v>1.0405827263267429E-3</v>
      </c>
      <c r="T58">
        <f t="shared" si="25"/>
        <v>1.0405827263267429E-3</v>
      </c>
      <c r="U58">
        <f t="shared" si="25"/>
        <v>1.0405827263267429E-3</v>
      </c>
      <c r="V58">
        <f t="shared" si="25"/>
        <v>4.1623309053069714E-3</v>
      </c>
      <c r="W58">
        <f t="shared" si="25"/>
        <v>1.0405827263267429E-3</v>
      </c>
      <c r="AE58" s="11"/>
    </row>
    <row r="59" spans="6:31" x14ac:dyDescent="0.2">
      <c r="F59" s="17">
        <f t="array" ref="F59">SUM(G59:W59)</f>
        <v>9.3425605536332154E-2</v>
      </c>
      <c r="G59">
        <f t="shared" si="26"/>
        <v>7.785467128027683E-3</v>
      </c>
      <c r="H59">
        <f t="shared" si="25"/>
        <v>8.6505190311418688E-4</v>
      </c>
      <c r="I59">
        <f t="shared" si="25"/>
        <v>8.6505190311418688E-4</v>
      </c>
      <c r="J59">
        <f t="shared" si="25"/>
        <v>8.6505190311418688E-4</v>
      </c>
      <c r="K59">
        <f t="shared" si="25"/>
        <v>4.2387543252595153E-2</v>
      </c>
      <c r="L59">
        <f t="shared" si="25"/>
        <v>8.6505190311418688E-4</v>
      </c>
      <c r="M59">
        <f t="shared" si="25"/>
        <v>8.6505190311418688E-4</v>
      </c>
      <c r="N59">
        <f t="shared" si="25"/>
        <v>3.4602076124567475E-3</v>
      </c>
      <c r="O59">
        <f t="shared" si="25"/>
        <v>1.384083044982699E-2</v>
      </c>
      <c r="P59">
        <f t="shared" si="25"/>
        <v>3.4602076124567475E-3</v>
      </c>
      <c r="Q59">
        <f t="shared" si="25"/>
        <v>8.6505190311418688E-4</v>
      </c>
      <c r="R59">
        <f t="shared" si="25"/>
        <v>7.785467128027683E-3</v>
      </c>
      <c r="S59">
        <f t="shared" si="25"/>
        <v>3.4602076124567475E-3</v>
      </c>
      <c r="T59">
        <f t="shared" si="25"/>
        <v>8.6505190311418688E-4</v>
      </c>
      <c r="U59">
        <f t="shared" si="25"/>
        <v>8.6505190311418688E-4</v>
      </c>
      <c r="V59">
        <f t="shared" si="25"/>
        <v>8.6505190311418688E-4</v>
      </c>
      <c r="W59">
        <f t="shared" si="25"/>
        <v>3.4602076124567475E-3</v>
      </c>
      <c r="AE59" s="11"/>
    </row>
    <row r="60" spans="6:31" x14ac:dyDescent="0.2">
      <c r="F60" s="17">
        <f>SUM(G60:V60)</f>
        <v>0.19619500594530331</v>
      </c>
      <c r="G60">
        <f t="shared" si="26"/>
        <v>1.1890606420927466E-3</v>
      </c>
      <c r="H60">
        <f t="shared" si="25"/>
        <v>1.1890606420927466E-3</v>
      </c>
      <c r="I60">
        <f t="shared" si="25"/>
        <v>1.1890606420927466E-3</v>
      </c>
      <c r="J60">
        <f t="shared" si="25"/>
        <v>1.1890606420927466E-3</v>
      </c>
      <c r="K60">
        <f t="shared" si="25"/>
        <v>1.1890606420927466E-3</v>
      </c>
      <c r="L60">
        <f t="shared" si="25"/>
        <v>4.7562425683709865E-3</v>
      </c>
      <c r="M60">
        <f t="shared" si="25"/>
        <v>0.17122473246135553</v>
      </c>
      <c r="N60">
        <f t="shared" si="25"/>
        <v>4.7562425683709865E-3</v>
      </c>
      <c r="O60">
        <f t="shared" si="25"/>
        <v>1.1890606420927466E-3</v>
      </c>
      <c r="P60">
        <f t="shared" si="25"/>
        <v>1.1890606420927466E-3</v>
      </c>
      <c r="Q60">
        <f t="shared" si="25"/>
        <v>1.1890606420927466E-3</v>
      </c>
      <c r="R60">
        <f t="shared" si="25"/>
        <v>1.1890606420927466E-3</v>
      </c>
      <c r="S60">
        <f t="shared" si="25"/>
        <v>1.1890606420927466E-3</v>
      </c>
      <c r="T60">
        <f t="shared" si="25"/>
        <v>1.1890606420927466E-3</v>
      </c>
      <c r="U60">
        <f t="shared" si="25"/>
        <v>1.1890606420927466E-3</v>
      </c>
      <c r="V60">
        <f t="shared" si="25"/>
        <v>1.1890606420927466E-3</v>
      </c>
      <c r="AE60" s="11"/>
    </row>
    <row r="61" spans="6:31" x14ac:dyDescent="0.2">
      <c r="F61" s="17">
        <f t="array" ref="F61">SUM(G61:U61)</f>
        <v>0.12757201646090532</v>
      </c>
      <c r="G61">
        <f t="shared" si="26"/>
        <v>1.3717421124828531E-3</v>
      </c>
      <c r="H61">
        <f t="shared" si="25"/>
        <v>1.3717421124828531E-3</v>
      </c>
      <c r="I61">
        <f t="shared" si="25"/>
        <v>5.4869684499314125E-3</v>
      </c>
      <c r="J61">
        <f t="shared" si="25"/>
        <v>6.7215363511659798E-2</v>
      </c>
      <c r="K61">
        <f t="shared" si="25"/>
        <v>1.3717421124828531E-3</v>
      </c>
      <c r="L61">
        <f t="shared" si="25"/>
        <v>1.3717421124828531E-3</v>
      </c>
      <c r="M61">
        <f t="shared" si="25"/>
        <v>3.4293552812071325E-2</v>
      </c>
      <c r="N61">
        <f t="shared" si="25"/>
        <v>1.3717421124828531E-3</v>
      </c>
      <c r="O61">
        <f t="shared" si="25"/>
        <v>1.3717421124828531E-3</v>
      </c>
      <c r="P61">
        <f t="shared" si="25"/>
        <v>5.4869684499314125E-3</v>
      </c>
      <c r="Q61">
        <f t="shared" si="25"/>
        <v>1.3717421124828531E-3</v>
      </c>
      <c r="R61">
        <f t="shared" si="25"/>
        <v>1.3717421124828531E-3</v>
      </c>
      <c r="S61">
        <f t="shared" si="25"/>
        <v>1.3717421124828531E-3</v>
      </c>
      <c r="T61">
        <f t="shared" si="25"/>
        <v>1.3717421124828531E-3</v>
      </c>
      <c r="U61">
        <f t="shared" si="25"/>
        <v>1.3717421124828531E-3</v>
      </c>
      <c r="AE61" s="11"/>
    </row>
    <row r="62" spans="6:31" x14ac:dyDescent="0.2">
      <c r="F62" s="17">
        <f>SUM(G62:Z62)</f>
        <v>8.59375E-2</v>
      </c>
      <c r="G62">
        <f t="shared" si="26"/>
        <v>9.765625E-4</v>
      </c>
      <c r="H62">
        <f t="shared" ref="H62:X65" si="28">H40^2</f>
        <v>9.765625E-4</v>
      </c>
      <c r="I62">
        <f t="shared" si="28"/>
        <v>9.765625E-4</v>
      </c>
      <c r="J62">
        <f t="shared" si="28"/>
        <v>9.765625E-4</v>
      </c>
      <c r="K62">
        <f t="shared" si="28"/>
        <v>9.765625E-4</v>
      </c>
      <c r="L62">
        <f t="shared" si="28"/>
        <v>9.765625E-4</v>
      </c>
      <c r="M62">
        <f t="shared" si="28"/>
        <v>9.765625E-4</v>
      </c>
      <c r="N62">
        <f t="shared" si="28"/>
        <v>4.78515625E-2</v>
      </c>
      <c r="O62">
        <f t="shared" si="28"/>
        <v>3.90625E-3</v>
      </c>
      <c r="P62">
        <f t="shared" si="28"/>
        <v>9.765625E-4</v>
      </c>
      <c r="Q62">
        <f t="shared" si="28"/>
        <v>3.90625E-3</v>
      </c>
      <c r="R62">
        <f t="shared" si="28"/>
        <v>9.765625E-4</v>
      </c>
      <c r="S62">
        <f t="shared" si="28"/>
        <v>9.765625E-4</v>
      </c>
      <c r="T62">
        <f t="shared" si="28"/>
        <v>9.765625E-4</v>
      </c>
      <c r="U62">
        <f t="shared" si="28"/>
        <v>9.765625E-4</v>
      </c>
      <c r="V62">
        <f t="shared" si="28"/>
        <v>8.7890625E-3</v>
      </c>
      <c r="W62">
        <f t="shared" si="28"/>
        <v>3.90625E-3</v>
      </c>
      <c r="X62">
        <f t="shared" si="28"/>
        <v>3.90625E-3</v>
      </c>
      <c r="Y62">
        <f t="shared" ref="Y62:Z62" si="29">Y40^2</f>
        <v>9.765625E-4</v>
      </c>
      <c r="Z62">
        <f t="shared" si="29"/>
        <v>9.765625E-4</v>
      </c>
      <c r="AE62" s="11"/>
    </row>
    <row r="63" spans="6:31" x14ac:dyDescent="0.2">
      <c r="F63" s="17">
        <f>SUM(G63:Q63)</f>
        <v>0.18244170096021947</v>
      </c>
      <c r="G63">
        <f t="shared" si="26"/>
        <v>5.4869684499314125E-3</v>
      </c>
      <c r="H63">
        <f t="shared" si="28"/>
        <v>1.3717421124828531E-3</v>
      </c>
      <c r="I63">
        <f t="shared" si="28"/>
        <v>0.1371742112482853</v>
      </c>
      <c r="J63">
        <f t="shared" si="28"/>
        <v>5.4869684499314125E-3</v>
      </c>
      <c r="K63">
        <f t="shared" si="28"/>
        <v>5.4869684499314125E-3</v>
      </c>
      <c r="L63">
        <f t="shared" si="28"/>
        <v>5.4869684499314125E-3</v>
      </c>
      <c r="M63">
        <f t="shared" si="28"/>
        <v>1.3717421124828531E-3</v>
      </c>
      <c r="N63">
        <f t="shared" si="28"/>
        <v>1.3717421124828531E-3</v>
      </c>
      <c r="O63">
        <f t="shared" si="28"/>
        <v>1.2345679012345678E-2</v>
      </c>
      <c r="P63">
        <f t="shared" si="28"/>
        <v>5.4869684499314125E-3</v>
      </c>
      <c r="Q63">
        <f t="shared" si="28"/>
        <v>1.3717421124828531E-3</v>
      </c>
      <c r="AE63" s="11"/>
    </row>
    <row r="64" spans="6:31" x14ac:dyDescent="0.2">
      <c r="F64" s="17">
        <f>SUM(G64:AE64)</f>
        <v>0.10020661157024789</v>
      </c>
      <c r="G64">
        <f t="shared" si="26"/>
        <v>5.1652892561983473E-4</v>
      </c>
      <c r="H64">
        <f t="shared" si="28"/>
        <v>5.1652892561983473E-4</v>
      </c>
      <c r="I64">
        <f t="shared" si="28"/>
        <v>5.1652892561983473E-4</v>
      </c>
      <c r="J64">
        <f t="shared" si="28"/>
        <v>2.0661157024793389E-3</v>
      </c>
      <c r="K64">
        <f t="shared" si="28"/>
        <v>7.4380165289256187E-2</v>
      </c>
      <c r="L64">
        <f t="shared" si="28"/>
        <v>5.1652892561983473E-4</v>
      </c>
      <c r="M64">
        <f t="shared" si="28"/>
        <v>5.1652892561983473E-4</v>
      </c>
      <c r="N64">
        <f t="shared" si="28"/>
        <v>2.0661157024793389E-3</v>
      </c>
      <c r="O64">
        <f t="shared" si="28"/>
        <v>5.1652892561983473E-4</v>
      </c>
      <c r="P64">
        <f t="shared" si="28"/>
        <v>2.0661157024793389E-3</v>
      </c>
      <c r="Q64">
        <f t="shared" si="28"/>
        <v>5.1652892561983473E-4</v>
      </c>
      <c r="R64">
        <f t="shared" si="28"/>
        <v>5.1652892561983473E-4</v>
      </c>
      <c r="S64">
        <f t="shared" si="28"/>
        <v>5.1652892561983473E-4</v>
      </c>
      <c r="T64">
        <f t="shared" si="28"/>
        <v>5.1652892561983473E-4</v>
      </c>
      <c r="U64">
        <f t="shared" si="28"/>
        <v>5.1652892561983473E-4</v>
      </c>
      <c r="V64">
        <f t="shared" si="28"/>
        <v>5.1652892561983473E-4</v>
      </c>
      <c r="W64">
        <f t="shared" si="28"/>
        <v>5.1652892561983473E-4</v>
      </c>
      <c r="X64">
        <f t="shared" si="28"/>
        <v>4.6487603305785117E-3</v>
      </c>
      <c r="Y64">
        <f t="shared" ref="Y64:AE64" si="30">Y42^2</f>
        <v>5.1652892561983473E-4</v>
      </c>
      <c r="Z64">
        <f t="shared" si="30"/>
        <v>2.0661157024793389E-3</v>
      </c>
      <c r="AA64">
        <f t="shared" si="30"/>
        <v>2.0661157024793389E-3</v>
      </c>
      <c r="AB64">
        <f t="shared" si="30"/>
        <v>2.0661157024793389E-3</v>
      </c>
      <c r="AC64">
        <f t="shared" si="30"/>
        <v>5.1652892561983473E-4</v>
      </c>
      <c r="AD64">
        <f t="shared" si="30"/>
        <v>5.1652892561983473E-4</v>
      </c>
      <c r="AE64" s="11">
        <f t="shared" si="30"/>
        <v>5.1652892561983473E-4</v>
      </c>
    </row>
    <row r="65" spans="6:31" x14ac:dyDescent="0.2">
      <c r="F65" s="20">
        <f t="array" ref="F65">SUM(G65:V65)</f>
        <v>0.17993079584775099</v>
      </c>
      <c r="G65" s="7">
        <f t="shared" si="26"/>
        <v>8.6505190311418688E-4</v>
      </c>
      <c r="H65" s="7">
        <f t="shared" si="28"/>
        <v>8.6505190311418688E-4</v>
      </c>
      <c r="I65" s="7">
        <f t="shared" si="28"/>
        <v>8.6505190311418688E-4</v>
      </c>
      <c r="J65" s="7">
        <f t="shared" si="28"/>
        <v>8.6505190311418688E-4</v>
      </c>
      <c r="K65" s="7">
        <f t="shared" si="28"/>
        <v>0.14619377162629757</v>
      </c>
      <c r="L65" s="7">
        <f t="shared" si="28"/>
        <v>8.6505190311418688E-4</v>
      </c>
      <c r="M65" s="7">
        <f t="shared" si="28"/>
        <v>8.6505190311418688E-4</v>
      </c>
      <c r="N65" s="7">
        <f t="shared" si="28"/>
        <v>8.6505190311418688E-4</v>
      </c>
      <c r="O65" s="7">
        <f t="shared" si="28"/>
        <v>8.6505190311418688E-4</v>
      </c>
      <c r="P65" s="7">
        <f t="shared" si="28"/>
        <v>8.6505190311418688E-4</v>
      </c>
      <c r="Q65" s="7">
        <f t="shared" si="28"/>
        <v>7.785467128027683E-3</v>
      </c>
      <c r="R65" s="7">
        <f t="shared" si="28"/>
        <v>7.785467128027683E-3</v>
      </c>
      <c r="S65" s="7">
        <f t="shared" si="28"/>
        <v>8.6505190311418688E-4</v>
      </c>
      <c r="T65" s="7">
        <f t="shared" si="28"/>
        <v>8.6505190311418688E-4</v>
      </c>
      <c r="U65" s="7">
        <f t="shared" si="28"/>
        <v>7.785467128027683E-3</v>
      </c>
      <c r="V65" s="7">
        <f t="shared" si="28"/>
        <v>8.6505190311418688E-4</v>
      </c>
      <c r="W65" s="7"/>
      <c r="X65" s="7"/>
      <c r="Y65" s="7"/>
      <c r="Z65" s="7"/>
      <c r="AA65" s="7"/>
      <c r="AB65" s="7"/>
      <c r="AC65" s="7"/>
      <c r="AD65" s="7"/>
      <c r="AE65" s="12"/>
    </row>
  </sheetData>
  <mergeCells count="3">
    <mergeCell ref="G1:AE1"/>
    <mergeCell ref="G45:AE45"/>
    <mergeCell ref="G23:AE23"/>
  </mergeCells>
  <pageMargins left="0.7" right="0.7" top="0.75" bottom="0.75" header="0.3" footer="0.3"/>
  <ignoredErrors>
    <ignoredError sqref="C7 C10 C12 F51 F54 F56 F29 F32 F34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DBB1-00CC-3845-B2C9-2E808CB5DAD3}">
  <dimension ref="A1:AA65"/>
  <sheetViews>
    <sheetView workbookViewId="0">
      <selection activeCell="A22" sqref="A22"/>
    </sheetView>
  </sheetViews>
  <sheetFormatPr baseColWidth="10" defaultRowHeight="16" x14ac:dyDescent="0.2"/>
  <cols>
    <col min="1" max="1" width="19.33203125" bestFit="1" customWidth="1"/>
    <col min="2" max="2" width="14" bestFit="1" customWidth="1"/>
    <col min="3" max="3" width="22.1640625" bestFit="1" customWidth="1"/>
    <col min="4" max="5" width="22.1640625" customWidth="1"/>
    <col min="6" max="6" width="19.33203125" bestFit="1" customWidth="1"/>
    <col min="7" max="12" width="12.1640625" bestFit="1" customWidth="1"/>
    <col min="14" max="14" width="12.1640625" bestFit="1" customWidth="1"/>
    <col min="26" max="26" width="37.5" bestFit="1" customWidth="1"/>
    <col min="27" max="27" width="44" bestFit="1" customWidth="1"/>
  </cols>
  <sheetData>
    <row r="1" spans="1:27" x14ac:dyDescent="0.2">
      <c r="A1" s="21" t="s">
        <v>0</v>
      </c>
      <c r="B1" s="14" t="s">
        <v>118</v>
      </c>
      <c r="C1" s="14" t="s">
        <v>115</v>
      </c>
      <c r="D1" s="15" t="s">
        <v>116</v>
      </c>
      <c r="F1" s="21" t="s">
        <v>0</v>
      </c>
      <c r="G1" s="29" t="s">
        <v>111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1"/>
      <c r="Z1" s="16" t="s">
        <v>122</v>
      </c>
      <c r="AA1" s="16" t="s">
        <v>123</v>
      </c>
    </row>
    <row r="2" spans="1:27" x14ac:dyDescent="0.2">
      <c r="A2" s="8" t="s">
        <v>24</v>
      </c>
      <c r="B2">
        <v>38</v>
      </c>
      <c r="C2">
        <f>SUM(G2:U2)</f>
        <v>32</v>
      </c>
      <c r="D2" s="11">
        <v>0.1171875</v>
      </c>
      <c r="F2" s="8" t="s">
        <v>24</v>
      </c>
      <c r="G2" s="8">
        <v>1</v>
      </c>
      <c r="H2">
        <v>1</v>
      </c>
      <c r="I2">
        <v>1</v>
      </c>
      <c r="J2">
        <v>1</v>
      </c>
      <c r="K2">
        <v>2</v>
      </c>
      <c r="L2">
        <v>1</v>
      </c>
      <c r="M2">
        <v>1</v>
      </c>
      <c r="N2">
        <v>1</v>
      </c>
      <c r="O2">
        <v>2</v>
      </c>
      <c r="P2">
        <v>1</v>
      </c>
      <c r="Q2">
        <v>4</v>
      </c>
      <c r="R2">
        <v>2</v>
      </c>
      <c r="S2">
        <v>4</v>
      </c>
      <c r="T2">
        <v>2</v>
      </c>
      <c r="U2">
        <v>8</v>
      </c>
      <c r="X2" s="13"/>
      <c r="Z2" s="16">
        <f>U2</f>
        <v>8</v>
      </c>
      <c r="AA2" s="16">
        <f>Z2/C2</f>
        <v>0.25</v>
      </c>
    </row>
    <row r="3" spans="1:27" x14ac:dyDescent="0.2">
      <c r="A3" s="8" t="s">
        <v>30</v>
      </c>
      <c r="B3">
        <v>34</v>
      </c>
      <c r="C3">
        <f>SUM(G3:Q3)</f>
        <v>26</v>
      </c>
      <c r="D3" s="11">
        <v>0.11834319526627221</v>
      </c>
      <c r="F3" s="8" t="s">
        <v>30</v>
      </c>
      <c r="G3" s="8">
        <v>1</v>
      </c>
      <c r="H3">
        <v>1</v>
      </c>
      <c r="I3">
        <v>1</v>
      </c>
      <c r="J3">
        <v>1</v>
      </c>
      <c r="K3">
        <v>2</v>
      </c>
      <c r="L3">
        <v>2</v>
      </c>
      <c r="M3">
        <v>2</v>
      </c>
      <c r="N3">
        <v>4</v>
      </c>
      <c r="O3">
        <v>4</v>
      </c>
      <c r="P3">
        <v>4</v>
      </c>
      <c r="Q3">
        <v>4</v>
      </c>
      <c r="X3" s="11"/>
      <c r="Z3" s="16">
        <f>Q3</f>
        <v>4</v>
      </c>
      <c r="AA3" s="16">
        <f t="shared" ref="AA3:AA21" si="0">Z3/C3</f>
        <v>0.15384615384615385</v>
      </c>
    </row>
    <row r="4" spans="1:27" x14ac:dyDescent="0.2">
      <c r="A4" s="8" t="s">
        <v>31</v>
      </c>
      <c r="B4">
        <v>42</v>
      </c>
      <c r="C4">
        <f>SUM(G4:S4)</f>
        <v>32</v>
      </c>
      <c r="D4" s="11">
        <v>0.16015625</v>
      </c>
      <c r="F4" s="8" t="s">
        <v>31</v>
      </c>
      <c r="G4" s="8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3</v>
      </c>
      <c r="N4">
        <v>1</v>
      </c>
      <c r="O4">
        <v>1</v>
      </c>
      <c r="P4">
        <v>1</v>
      </c>
      <c r="Q4">
        <v>4</v>
      </c>
      <c r="R4">
        <v>7</v>
      </c>
      <c r="S4">
        <v>9</v>
      </c>
      <c r="X4" s="11"/>
      <c r="Z4" s="16">
        <f>S4</f>
        <v>9</v>
      </c>
      <c r="AA4" s="16">
        <f t="shared" si="0"/>
        <v>0.28125</v>
      </c>
    </row>
    <row r="5" spans="1:27" x14ac:dyDescent="0.2">
      <c r="A5" s="8" t="s">
        <v>25</v>
      </c>
      <c r="B5">
        <v>43</v>
      </c>
      <c r="C5">
        <f>SUM(G5:U5)</f>
        <v>39</v>
      </c>
      <c r="D5" s="11">
        <v>0.18343195266272189</v>
      </c>
      <c r="F5" s="8" t="s">
        <v>25</v>
      </c>
      <c r="G5" s="8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2</v>
      </c>
      <c r="N5">
        <v>2</v>
      </c>
      <c r="O5">
        <v>3</v>
      </c>
      <c r="P5">
        <v>3</v>
      </c>
      <c r="Q5">
        <v>1</v>
      </c>
      <c r="R5">
        <v>2</v>
      </c>
      <c r="S5">
        <v>4</v>
      </c>
      <c r="T5">
        <v>1</v>
      </c>
      <c r="U5">
        <v>15</v>
      </c>
      <c r="X5" s="11"/>
      <c r="Z5" s="16">
        <f>U5</f>
        <v>15</v>
      </c>
      <c r="AA5" s="16">
        <f t="shared" si="0"/>
        <v>0.38461538461538464</v>
      </c>
    </row>
    <row r="6" spans="1:27" x14ac:dyDescent="0.2">
      <c r="A6" s="8" t="s">
        <v>4</v>
      </c>
      <c r="B6">
        <v>42</v>
      </c>
      <c r="C6">
        <f>SUM(G6:T6)</f>
        <v>33</v>
      </c>
      <c r="D6" s="11">
        <v>0.17355371900826447</v>
      </c>
      <c r="F6" s="8" t="s">
        <v>4</v>
      </c>
      <c r="G6" s="8">
        <v>1</v>
      </c>
      <c r="H6">
        <v>1</v>
      </c>
      <c r="I6">
        <v>1</v>
      </c>
      <c r="J6">
        <v>1</v>
      </c>
      <c r="K6">
        <v>2</v>
      </c>
      <c r="L6">
        <v>1</v>
      </c>
      <c r="M6">
        <v>1</v>
      </c>
      <c r="N6">
        <v>1</v>
      </c>
      <c r="O6">
        <v>3</v>
      </c>
      <c r="P6">
        <v>2</v>
      </c>
      <c r="Q6">
        <v>1</v>
      </c>
      <c r="R6">
        <v>2</v>
      </c>
      <c r="S6">
        <v>4</v>
      </c>
      <c r="T6">
        <v>12</v>
      </c>
      <c r="X6" s="11"/>
      <c r="Z6" s="16">
        <f>T6</f>
        <v>12</v>
      </c>
      <c r="AA6" s="16">
        <f t="shared" si="0"/>
        <v>0.36363636363636365</v>
      </c>
    </row>
    <row r="7" spans="1:27" x14ac:dyDescent="0.2">
      <c r="A7" s="8" t="s">
        <v>3</v>
      </c>
      <c r="B7">
        <v>35</v>
      </c>
      <c r="C7">
        <f>SUM(G7:S7)</f>
        <v>31</v>
      </c>
      <c r="D7" s="11">
        <v>0.19250780437044743</v>
      </c>
      <c r="F7" s="8" t="s">
        <v>3</v>
      </c>
      <c r="G7" s="8">
        <v>1</v>
      </c>
      <c r="H7">
        <v>1</v>
      </c>
      <c r="I7">
        <v>1</v>
      </c>
      <c r="J7">
        <v>2</v>
      </c>
      <c r="K7">
        <v>1</v>
      </c>
      <c r="L7">
        <v>1</v>
      </c>
      <c r="M7">
        <v>1</v>
      </c>
      <c r="N7">
        <v>2</v>
      </c>
      <c r="O7">
        <v>1</v>
      </c>
      <c r="P7">
        <v>3</v>
      </c>
      <c r="Q7">
        <v>4</v>
      </c>
      <c r="R7">
        <v>1</v>
      </c>
      <c r="S7">
        <v>12</v>
      </c>
      <c r="X7" s="11"/>
      <c r="Z7" s="16">
        <f>S7</f>
        <v>12</v>
      </c>
      <c r="AA7" s="16">
        <f t="shared" si="0"/>
        <v>0.38709677419354838</v>
      </c>
    </row>
    <row r="8" spans="1:27" x14ac:dyDescent="0.2">
      <c r="A8" s="8" t="s">
        <v>7</v>
      </c>
      <c r="B8">
        <v>37</v>
      </c>
      <c r="C8">
        <f>SUM(G8:X8)</f>
        <v>35</v>
      </c>
      <c r="D8" s="11">
        <v>0.22775510204081631</v>
      </c>
      <c r="F8" s="8" t="s">
        <v>7</v>
      </c>
      <c r="G8" s="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2</v>
      </c>
      <c r="P8">
        <v>1</v>
      </c>
      <c r="Q8">
        <v>1</v>
      </c>
      <c r="R8">
        <v>2</v>
      </c>
      <c r="S8">
        <v>1</v>
      </c>
      <c r="T8">
        <v>1</v>
      </c>
      <c r="U8">
        <v>1</v>
      </c>
      <c r="V8">
        <v>1</v>
      </c>
      <c r="W8">
        <v>1</v>
      </c>
      <c r="X8" s="11">
        <v>16</v>
      </c>
      <c r="Z8" s="16">
        <f>X8</f>
        <v>16</v>
      </c>
      <c r="AA8" s="16">
        <f t="shared" si="0"/>
        <v>0.45714285714285713</v>
      </c>
    </row>
    <row r="9" spans="1:27" x14ac:dyDescent="0.2">
      <c r="A9" s="8" t="s">
        <v>8</v>
      </c>
      <c r="B9">
        <v>36</v>
      </c>
      <c r="C9">
        <f>SUM(G9:X9)</f>
        <v>32</v>
      </c>
      <c r="D9" s="11">
        <v>0.1328125</v>
      </c>
      <c r="F9" s="8" t="s">
        <v>8</v>
      </c>
      <c r="G9" s="8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2</v>
      </c>
      <c r="S9">
        <v>1</v>
      </c>
      <c r="T9">
        <v>1</v>
      </c>
      <c r="U9">
        <v>6</v>
      </c>
      <c r="V9">
        <v>1</v>
      </c>
      <c r="W9">
        <v>1</v>
      </c>
      <c r="X9" s="11">
        <v>9</v>
      </c>
      <c r="Z9" s="16">
        <f>X9</f>
        <v>9</v>
      </c>
      <c r="AA9" s="16">
        <f t="shared" si="0"/>
        <v>0.28125</v>
      </c>
    </row>
    <row r="10" spans="1:27" x14ac:dyDescent="0.2">
      <c r="A10" s="8" t="s">
        <v>13</v>
      </c>
      <c r="B10">
        <v>30</v>
      </c>
      <c r="C10">
        <f>SUM(G10:V10)</f>
        <v>28</v>
      </c>
      <c r="D10" s="11">
        <v>9.9489795918367346E-2</v>
      </c>
      <c r="F10" s="8" t="s">
        <v>13</v>
      </c>
      <c r="G10" s="8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2</v>
      </c>
      <c r="O10">
        <v>2</v>
      </c>
      <c r="P10">
        <v>1</v>
      </c>
      <c r="Q10">
        <v>1</v>
      </c>
      <c r="R10">
        <v>2</v>
      </c>
      <c r="S10">
        <v>2</v>
      </c>
      <c r="T10">
        <v>4</v>
      </c>
      <c r="U10">
        <v>1</v>
      </c>
      <c r="V10">
        <v>6</v>
      </c>
      <c r="X10" s="11"/>
      <c r="Z10" s="16">
        <f>V10</f>
        <v>6</v>
      </c>
      <c r="AA10" s="16">
        <f t="shared" si="0"/>
        <v>0.21428571428571427</v>
      </c>
    </row>
    <row r="11" spans="1:27" x14ac:dyDescent="0.2">
      <c r="A11" s="8" t="s">
        <v>28</v>
      </c>
      <c r="B11">
        <v>42</v>
      </c>
      <c r="C11">
        <f>SUM(G11:V11)</f>
        <v>34</v>
      </c>
      <c r="D11" s="11">
        <v>0.19896193771626297</v>
      </c>
      <c r="F11" s="8" t="s">
        <v>28</v>
      </c>
      <c r="G11" s="8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R11">
        <v>1</v>
      </c>
      <c r="S11">
        <v>3</v>
      </c>
      <c r="T11">
        <v>3</v>
      </c>
      <c r="U11">
        <v>1</v>
      </c>
      <c r="V11">
        <v>14</v>
      </c>
      <c r="X11" s="11"/>
      <c r="Z11" s="16">
        <f>V11</f>
        <v>14</v>
      </c>
      <c r="AA11" s="16">
        <f t="shared" si="0"/>
        <v>0.41176470588235292</v>
      </c>
    </row>
    <row r="12" spans="1:27" x14ac:dyDescent="0.2">
      <c r="A12" s="8" t="s">
        <v>5</v>
      </c>
      <c r="B12">
        <v>40</v>
      </c>
      <c r="C12">
        <f>SUM(G12:V12)</f>
        <v>31</v>
      </c>
      <c r="D12" s="11">
        <v>0.18418314255983351</v>
      </c>
      <c r="F12" s="8" t="s">
        <v>5</v>
      </c>
      <c r="G12" s="8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2</v>
      </c>
      <c r="R12">
        <v>1</v>
      </c>
      <c r="S12">
        <v>1</v>
      </c>
      <c r="T12">
        <v>4</v>
      </c>
      <c r="U12">
        <v>1</v>
      </c>
      <c r="V12">
        <v>12</v>
      </c>
      <c r="X12" s="11"/>
      <c r="Z12" s="16">
        <f>V12</f>
        <v>12</v>
      </c>
      <c r="AA12" s="16">
        <f t="shared" si="0"/>
        <v>0.38709677419354838</v>
      </c>
    </row>
    <row r="13" spans="1:27" x14ac:dyDescent="0.2">
      <c r="A13" s="8" t="s">
        <v>11</v>
      </c>
      <c r="B13">
        <v>36</v>
      </c>
      <c r="C13">
        <f>SUM(G13:W13)</f>
        <v>32</v>
      </c>
      <c r="D13" s="11">
        <v>0.19140625</v>
      </c>
      <c r="F13" s="8" t="s">
        <v>11</v>
      </c>
      <c r="G13" s="8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3</v>
      </c>
      <c r="P13">
        <v>1</v>
      </c>
      <c r="Q13">
        <v>1</v>
      </c>
      <c r="R13">
        <v>1</v>
      </c>
      <c r="S13">
        <v>1</v>
      </c>
      <c r="T13">
        <v>1</v>
      </c>
      <c r="U13">
        <v>2</v>
      </c>
      <c r="V13">
        <v>1</v>
      </c>
      <c r="W13">
        <v>13</v>
      </c>
      <c r="X13" s="11"/>
      <c r="Z13" s="16">
        <f>W13</f>
        <v>13</v>
      </c>
      <c r="AA13" s="16">
        <f t="shared" si="0"/>
        <v>0.40625</v>
      </c>
    </row>
    <row r="14" spans="1:27" x14ac:dyDescent="0.2">
      <c r="A14" s="8" t="s">
        <v>14</v>
      </c>
      <c r="B14">
        <v>34</v>
      </c>
      <c r="C14">
        <f>SUM(G14:V14)</f>
        <v>32</v>
      </c>
      <c r="D14" s="11">
        <v>0.13671875</v>
      </c>
      <c r="F14" s="8" t="s">
        <v>14</v>
      </c>
      <c r="G14" s="8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3</v>
      </c>
      <c r="R14">
        <v>1</v>
      </c>
      <c r="S14">
        <v>3</v>
      </c>
      <c r="T14">
        <v>2</v>
      </c>
      <c r="U14">
        <v>2</v>
      </c>
      <c r="V14">
        <v>10</v>
      </c>
      <c r="X14" s="11"/>
      <c r="Z14" s="16">
        <f>V14</f>
        <v>10</v>
      </c>
      <c r="AA14" s="16">
        <f t="shared" si="0"/>
        <v>0.3125</v>
      </c>
    </row>
    <row r="15" spans="1:27" x14ac:dyDescent="0.2">
      <c r="A15" s="8" t="s">
        <v>32</v>
      </c>
      <c r="B15">
        <v>37</v>
      </c>
      <c r="C15">
        <f>SUM(G15:T15)</f>
        <v>30</v>
      </c>
      <c r="D15" s="11">
        <v>0.24222222222222223</v>
      </c>
      <c r="F15" s="8" t="s">
        <v>32</v>
      </c>
      <c r="G15" s="8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1</v>
      </c>
      <c r="N15">
        <v>1</v>
      </c>
      <c r="O15">
        <v>1</v>
      </c>
      <c r="P15">
        <v>1</v>
      </c>
      <c r="Q15">
        <v>2</v>
      </c>
      <c r="R15">
        <v>2</v>
      </c>
      <c r="S15">
        <v>1</v>
      </c>
      <c r="T15">
        <v>14</v>
      </c>
      <c r="X15" s="11"/>
      <c r="Z15" s="16">
        <f>T15</f>
        <v>14</v>
      </c>
      <c r="AA15" s="16">
        <f t="shared" si="0"/>
        <v>0.46666666666666667</v>
      </c>
    </row>
    <row r="16" spans="1:27" x14ac:dyDescent="0.2">
      <c r="A16" s="8" t="s">
        <v>6</v>
      </c>
      <c r="B16">
        <v>42</v>
      </c>
      <c r="C16">
        <f>SUM(G16:X16)</f>
        <v>34</v>
      </c>
      <c r="D16" s="11">
        <v>0.12802768166089967</v>
      </c>
      <c r="F16" s="8" t="s">
        <v>6</v>
      </c>
      <c r="G16" s="8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3</v>
      </c>
      <c r="S16">
        <v>3</v>
      </c>
      <c r="T16">
        <v>1</v>
      </c>
      <c r="U16">
        <v>1</v>
      </c>
      <c r="V16">
        <v>1</v>
      </c>
      <c r="W16">
        <v>4</v>
      </c>
      <c r="X16" s="11">
        <v>10</v>
      </c>
      <c r="Z16" s="16">
        <f>X16</f>
        <v>10</v>
      </c>
      <c r="AA16" s="16">
        <f t="shared" si="0"/>
        <v>0.29411764705882354</v>
      </c>
    </row>
    <row r="17" spans="1:27" x14ac:dyDescent="0.2">
      <c r="A17" s="8" t="s">
        <v>9</v>
      </c>
      <c r="B17">
        <v>34</v>
      </c>
      <c r="C17">
        <f>SUM(G17:U17)</f>
        <v>32</v>
      </c>
      <c r="D17" s="11">
        <v>0.216796875</v>
      </c>
      <c r="F17" s="8" t="s">
        <v>9</v>
      </c>
      <c r="G17" s="8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2</v>
      </c>
      <c r="N17">
        <v>1</v>
      </c>
      <c r="O17">
        <v>1</v>
      </c>
      <c r="P17">
        <v>2</v>
      </c>
      <c r="Q17">
        <v>2</v>
      </c>
      <c r="R17">
        <v>1</v>
      </c>
      <c r="S17">
        <v>1</v>
      </c>
      <c r="T17">
        <v>2</v>
      </c>
      <c r="U17">
        <v>14</v>
      </c>
      <c r="X17" s="11"/>
      <c r="Z17" s="16">
        <f>U17</f>
        <v>14</v>
      </c>
      <c r="AA17" s="16">
        <f t="shared" si="0"/>
        <v>0.4375</v>
      </c>
    </row>
    <row r="18" spans="1:27" x14ac:dyDescent="0.2">
      <c r="A18" s="8" t="s">
        <v>12</v>
      </c>
      <c r="B18">
        <v>38</v>
      </c>
      <c r="C18">
        <f>SUM(G18:U18)</f>
        <v>33</v>
      </c>
      <c r="D18" s="11">
        <v>0.25803489439853078</v>
      </c>
      <c r="F18" s="8" t="s">
        <v>12</v>
      </c>
      <c r="G18" s="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3</v>
      </c>
      <c r="T18">
        <v>2</v>
      </c>
      <c r="U18">
        <v>16</v>
      </c>
      <c r="X18" s="11"/>
      <c r="Z18" s="16">
        <f>U18</f>
        <v>16</v>
      </c>
      <c r="AA18" s="16">
        <f t="shared" si="0"/>
        <v>0.48484848484848486</v>
      </c>
    </row>
    <row r="19" spans="1:27" x14ac:dyDescent="0.2">
      <c r="A19" s="8" t="s">
        <v>26</v>
      </c>
      <c r="B19">
        <v>35</v>
      </c>
      <c r="C19">
        <f>SUM(G19:U19)</f>
        <v>30</v>
      </c>
      <c r="D19" s="11">
        <v>0.12666666666666668</v>
      </c>
      <c r="F19" s="8" t="s">
        <v>26</v>
      </c>
      <c r="G19" s="8">
        <v>1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2</v>
      </c>
      <c r="O19">
        <v>1</v>
      </c>
      <c r="P19">
        <v>1</v>
      </c>
      <c r="Q19">
        <v>4</v>
      </c>
      <c r="R19">
        <v>1</v>
      </c>
      <c r="S19">
        <v>4</v>
      </c>
      <c r="T19">
        <v>1</v>
      </c>
      <c r="U19">
        <v>8</v>
      </c>
      <c r="X19" s="11"/>
      <c r="Z19" s="16">
        <f>U19</f>
        <v>8</v>
      </c>
      <c r="AA19" s="16">
        <f t="shared" si="0"/>
        <v>0.26666666666666666</v>
      </c>
    </row>
    <row r="20" spans="1:27" x14ac:dyDescent="0.2">
      <c r="A20" s="8" t="s">
        <v>29</v>
      </c>
      <c r="B20">
        <v>30</v>
      </c>
      <c r="C20">
        <f>SUM(G20:M20)</f>
        <v>27</v>
      </c>
      <c r="D20" s="11">
        <v>0.34979423868312759</v>
      </c>
      <c r="F20" s="8" t="s">
        <v>29</v>
      </c>
      <c r="G20" s="8">
        <v>1</v>
      </c>
      <c r="H20">
        <v>1</v>
      </c>
      <c r="I20">
        <v>3</v>
      </c>
      <c r="J20">
        <v>3</v>
      </c>
      <c r="K20">
        <v>1</v>
      </c>
      <c r="L20">
        <v>3</v>
      </c>
      <c r="M20">
        <v>15</v>
      </c>
      <c r="X20" s="11"/>
      <c r="Z20" s="16">
        <f>M20</f>
        <v>15</v>
      </c>
      <c r="AA20" s="16">
        <f t="shared" si="0"/>
        <v>0.55555555555555558</v>
      </c>
    </row>
    <row r="21" spans="1:27" x14ac:dyDescent="0.2">
      <c r="A21" s="9" t="s">
        <v>27</v>
      </c>
      <c r="B21" s="7">
        <v>41</v>
      </c>
      <c r="C21" s="7">
        <f>SUM(G21:V21)</f>
        <v>35</v>
      </c>
      <c r="D21" s="12">
        <v>0.2097959183673469</v>
      </c>
      <c r="F21" s="9" t="s">
        <v>27</v>
      </c>
      <c r="G21" s="9">
        <v>1</v>
      </c>
      <c r="H21" s="7">
        <v>1</v>
      </c>
      <c r="I21" s="7">
        <v>2</v>
      </c>
      <c r="J21" s="7">
        <v>2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2</v>
      </c>
      <c r="S21" s="7">
        <v>1</v>
      </c>
      <c r="T21" s="7">
        <v>3</v>
      </c>
      <c r="U21" s="7">
        <v>1</v>
      </c>
      <c r="V21" s="7">
        <v>15</v>
      </c>
      <c r="W21" s="7"/>
      <c r="X21" s="12"/>
      <c r="Z21" s="16">
        <f>V21</f>
        <v>15</v>
      </c>
      <c r="AA21" s="16">
        <f t="shared" si="0"/>
        <v>0.42857142857142855</v>
      </c>
    </row>
    <row r="23" spans="1:27" x14ac:dyDescent="0.2">
      <c r="F23" s="16" t="s">
        <v>55</v>
      </c>
      <c r="G23" s="29" t="s">
        <v>112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1"/>
    </row>
    <row r="24" spans="1:27" x14ac:dyDescent="0.2">
      <c r="F24" s="17">
        <f>SUM(G24:U24)</f>
        <v>1</v>
      </c>
      <c r="G24">
        <f>G2/$C2</f>
        <v>3.125E-2</v>
      </c>
      <c r="H24">
        <f>H2/$C2</f>
        <v>3.125E-2</v>
      </c>
      <c r="I24">
        <f t="shared" ref="I24:X39" si="1">I2/$C2</f>
        <v>3.125E-2</v>
      </c>
      <c r="J24">
        <f t="shared" si="1"/>
        <v>3.125E-2</v>
      </c>
      <c r="K24">
        <f t="shared" si="1"/>
        <v>6.25E-2</v>
      </c>
      <c r="L24">
        <f t="shared" si="1"/>
        <v>3.125E-2</v>
      </c>
      <c r="M24">
        <f t="shared" si="1"/>
        <v>3.125E-2</v>
      </c>
      <c r="N24">
        <f t="shared" si="1"/>
        <v>3.125E-2</v>
      </c>
      <c r="O24">
        <f t="shared" si="1"/>
        <v>6.25E-2</v>
      </c>
      <c r="P24">
        <f t="shared" si="1"/>
        <v>3.125E-2</v>
      </c>
      <c r="Q24">
        <f t="shared" si="1"/>
        <v>0.125</v>
      </c>
      <c r="R24">
        <f t="shared" si="1"/>
        <v>6.25E-2</v>
      </c>
      <c r="S24">
        <f t="shared" si="1"/>
        <v>0.125</v>
      </c>
      <c r="T24">
        <f t="shared" si="1"/>
        <v>6.25E-2</v>
      </c>
      <c r="U24">
        <f t="shared" si="1"/>
        <v>0.25</v>
      </c>
      <c r="X24" s="13"/>
    </row>
    <row r="25" spans="1:27" x14ac:dyDescent="0.2">
      <c r="F25" s="17">
        <f>SUM(G25:Q25)</f>
        <v>1</v>
      </c>
      <c r="G25">
        <f t="shared" ref="G25:G43" si="2">G3/$C3</f>
        <v>3.8461538461538464E-2</v>
      </c>
      <c r="H25">
        <f t="shared" ref="H25:U40" si="3">H3/$C3</f>
        <v>3.8461538461538464E-2</v>
      </c>
      <c r="I25">
        <f t="shared" si="3"/>
        <v>3.8461538461538464E-2</v>
      </c>
      <c r="J25">
        <f t="shared" si="3"/>
        <v>3.8461538461538464E-2</v>
      </c>
      <c r="K25">
        <f t="shared" si="3"/>
        <v>7.6923076923076927E-2</v>
      </c>
      <c r="L25">
        <f t="shared" si="3"/>
        <v>7.6923076923076927E-2</v>
      </c>
      <c r="M25">
        <f t="shared" si="3"/>
        <v>7.6923076923076927E-2</v>
      </c>
      <c r="N25">
        <f t="shared" si="3"/>
        <v>0.15384615384615385</v>
      </c>
      <c r="O25">
        <f t="shared" si="3"/>
        <v>0.15384615384615385</v>
      </c>
      <c r="P25">
        <f t="shared" si="3"/>
        <v>0.15384615384615385</v>
      </c>
      <c r="Q25">
        <f t="shared" si="3"/>
        <v>0.15384615384615385</v>
      </c>
      <c r="X25" s="11"/>
    </row>
    <row r="26" spans="1:27" x14ac:dyDescent="0.2">
      <c r="F26" s="17">
        <f>SUM(G26:S26)</f>
        <v>1</v>
      </c>
      <c r="G26">
        <f t="shared" si="2"/>
        <v>3.125E-2</v>
      </c>
      <c r="H26">
        <f t="shared" si="3"/>
        <v>3.125E-2</v>
      </c>
      <c r="I26">
        <f t="shared" si="3"/>
        <v>3.125E-2</v>
      </c>
      <c r="J26">
        <f t="shared" si="3"/>
        <v>3.125E-2</v>
      </c>
      <c r="K26">
        <f t="shared" si="3"/>
        <v>3.125E-2</v>
      </c>
      <c r="L26">
        <f t="shared" si="3"/>
        <v>3.125E-2</v>
      </c>
      <c r="M26">
        <f t="shared" si="3"/>
        <v>9.375E-2</v>
      </c>
      <c r="N26">
        <f t="shared" si="3"/>
        <v>3.125E-2</v>
      </c>
      <c r="O26">
        <f t="shared" si="3"/>
        <v>3.125E-2</v>
      </c>
      <c r="P26">
        <f t="shared" si="3"/>
        <v>3.125E-2</v>
      </c>
      <c r="Q26">
        <f t="shared" si="3"/>
        <v>0.125</v>
      </c>
      <c r="R26">
        <f t="shared" si="3"/>
        <v>0.21875</v>
      </c>
      <c r="S26">
        <f t="shared" si="3"/>
        <v>0.28125</v>
      </c>
      <c r="X26" s="11"/>
    </row>
    <row r="27" spans="1:27" x14ac:dyDescent="0.2">
      <c r="F27" s="17">
        <f>SUM(G27:U27)</f>
        <v>1</v>
      </c>
      <c r="G27">
        <f t="shared" si="2"/>
        <v>2.564102564102564E-2</v>
      </c>
      <c r="H27">
        <f t="shared" si="3"/>
        <v>2.564102564102564E-2</v>
      </c>
      <c r="I27">
        <f t="shared" si="3"/>
        <v>2.564102564102564E-2</v>
      </c>
      <c r="J27">
        <f t="shared" si="3"/>
        <v>2.564102564102564E-2</v>
      </c>
      <c r="K27">
        <f t="shared" si="3"/>
        <v>2.564102564102564E-2</v>
      </c>
      <c r="L27">
        <f t="shared" si="3"/>
        <v>2.564102564102564E-2</v>
      </c>
      <c r="M27">
        <f t="shared" si="3"/>
        <v>5.128205128205128E-2</v>
      </c>
      <c r="N27">
        <f t="shared" si="3"/>
        <v>5.128205128205128E-2</v>
      </c>
      <c r="O27">
        <f t="shared" si="3"/>
        <v>7.6923076923076927E-2</v>
      </c>
      <c r="P27">
        <f t="shared" si="3"/>
        <v>7.6923076923076927E-2</v>
      </c>
      <c r="Q27">
        <f t="shared" si="3"/>
        <v>2.564102564102564E-2</v>
      </c>
      <c r="R27">
        <f t="shared" si="3"/>
        <v>5.128205128205128E-2</v>
      </c>
      <c r="S27">
        <f t="shared" si="3"/>
        <v>0.10256410256410256</v>
      </c>
      <c r="T27">
        <f t="shared" si="1"/>
        <v>2.564102564102564E-2</v>
      </c>
      <c r="U27">
        <f t="shared" si="1"/>
        <v>0.38461538461538464</v>
      </c>
      <c r="X27" s="11"/>
    </row>
    <row r="28" spans="1:27" x14ac:dyDescent="0.2">
      <c r="F28" s="17">
        <f>SUM(G28:T28)</f>
        <v>1</v>
      </c>
      <c r="G28">
        <f t="shared" si="2"/>
        <v>3.0303030303030304E-2</v>
      </c>
      <c r="H28">
        <f t="shared" si="3"/>
        <v>3.0303030303030304E-2</v>
      </c>
      <c r="I28">
        <f t="shared" si="3"/>
        <v>3.0303030303030304E-2</v>
      </c>
      <c r="J28">
        <f t="shared" si="3"/>
        <v>3.0303030303030304E-2</v>
      </c>
      <c r="K28">
        <f t="shared" si="3"/>
        <v>6.0606060606060608E-2</v>
      </c>
      <c r="L28">
        <f t="shared" si="3"/>
        <v>3.0303030303030304E-2</v>
      </c>
      <c r="M28">
        <f t="shared" si="3"/>
        <v>3.0303030303030304E-2</v>
      </c>
      <c r="N28">
        <f t="shared" si="3"/>
        <v>3.0303030303030304E-2</v>
      </c>
      <c r="O28">
        <f t="shared" si="3"/>
        <v>9.0909090909090912E-2</v>
      </c>
      <c r="P28">
        <f t="shared" si="3"/>
        <v>6.0606060606060608E-2</v>
      </c>
      <c r="Q28">
        <f t="shared" si="3"/>
        <v>3.0303030303030304E-2</v>
      </c>
      <c r="R28">
        <f t="shared" si="3"/>
        <v>6.0606060606060608E-2</v>
      </c>
      <c r="S28">
        <f t="shared" si="3"/>
        <v>0.12121212121212122</v>
      </c>
      <c r="T28">
        <f t="shared" si="1"/>
        <v>0.36363636363636365</v>
      </c>
      <c r="X28" s="11"/>
    </row>
    <row r="29" spans="1:27" x14ac:dyDescent="0.2">
      <c r="F29" s="17">
        <f>SUM(G29:S29)</f>
        <v>1</v>
      </c>
      <c r="G29">
        <f t="shared" si="2"/>
        <v>3.2258064516129031E-2</v>
      </c>
      <c r="H29">
        <f t="shared" si="3"/>
        <v>3.2258064516129031E-2</v>
      </c>
      <c r="I29">
        <f t="shared" si="3"/>
        <v>3.2258064516129031E-2</v>
      </c>
      <c r="J29">
        <f t="shared" si="3"/>
        <v>6.4516129032258063E-2</v>
      </c>
      <c r="K29">
        <f t="shared" si="3"/>
        <v>3.2258064516129031E-2</v>
      </c>
      <c r="L29">
        <f t="shared" si="3"/>
        <v>3.2258064516129031E-2</v>
      </c>
      <c r="M29">
        <f t="shared" si="3"/>
        <v>3.2258064516129031E-2</v>
      </c>
      <c r="N29">
        <f t="shared" si="3"/>
        <v>6.4516129032258063E-2</v>
      </c>
      <c r="O29">
        <f t="shared" si="3"/>
        <v>3.2258064516129031E-2</v>
      </c>
      <c r="P29">
        <f t="shared" si="3"/>
        <v>9.6774193548387094E-2</v>
      </c>
      <c r="Q29">
        <f t="shared" si="3"/>
        <v>0.12903225806451613</v>
      </c>
      <c r="R29">
        <f t="shared" si="3"/>
        <v>3.2258064516129031E-2</v>
      </c>
      <c r="S29">
        <f t="shared" si="3"/>
        <v>0.38709677419354838</v>
      </c>
      <c r="X29" s="11"/>
    </row>
    <row r="30" spans="1:27" x14ac:dyDescent="0.2">
      <c r="F30" s="17">
        <f>SUM(G30:X30)</f>
        <v>1</v>
      </c>
      <c r="G30">
        <f t="shared" si="2"/>
        <v>2.8571428571428571E-2</v>
      </c>
      <c r="H30">
        <f t="shared" si="3"/>
        <v>2.8571428571428571E-2</v>
      </c>
      <c r="I30">
        <f t="shared" si="3"/>
        <v>2.8571428571428571E-2</v>
      </c>
      <c r="J30">
        <f t="shared" si="3"/>
        <v>2.8571428571428571E-2</v>
      </c>
      <c r="K30">
        <f t="shared" si="3"/>
        <v>2.8571428571428571E-2</v>
      </c>
      <c r="L30">
        <f t="shared" si="3"/>
        <v>2.8571428571428571E-2</v>
      </c>
      <c r="M30">
        <f t="shared" si="3"/>
        <v>2.8571428571428571E-2</v>
      </c>
      <c r="N30">
        <f t="shared" si="3"/>
        <v>2.8571428571428571E-2</v>
      </c>
      <c r="O30">
        <f t="shared" si="3"/>
        <v>5.7142857142857141E-2</v>
      </c>
      <c r="P30">
        <f t="shared" si="3"/>
        <v>2.8571428571428571E-2</v>
      </c>
      <c r="Q30">
        <f t="shared" si="3"/>
        <v>2.8571428571428571E-2</v>
      </c>
      <c r="R30">
        <f t="shared" si="3"/>
        <v>5.7142857142857141E-2</v>
      </c>
      <c r="S30">
        <f t="shared" si="3"/>
        <v>2.8571428571428571E-2</v>
      </c>
      <c r="T30">
        <f t="shared" si="1"/>
        <v>2.8571428571428571E-2</v>
      </c>
      <c r="U30">
        <f t="shared" si="1"/>
        <v>2.8571428571428571E-2</v>
      </c>
      <c r="V30">
        <f t="shared" si="1"/>
        <v>2.8571428571428571E-2</v>
      </c>
      <c r="W30">
        <f t="shared" si="1"/>
        <v>2.8571428571428571E-2</v>
      </c>
      <c r="X30" s="11">
        <f t="shared" si="1"/>
        <v>0.45714285714285713</v>
      </c>
    </row>
    <row r="31" spans="1:27" x14ac:dyDescent="0.2">
      <c r="F31" s="17">
        <f>SUM(G31:X31)</f>
        <v>1</v>
      </c>
      <c r="G31">
        <f t="shared" si="2"/>
        <v>3.125E-2</v>
      </c>
      <c r="H31">
        <f t="shared" si="3"/>
        <v>3.125E-2</v>
      </c>
      <c r="I31">
        <f t="shared" si="3"/>
        <v>3.125E-2</v>
      </c>
      <c r="J31">
        <f t="shared" si="3"/>
        <v>3.125E-2</v>
      </c>
      <c r="K31">
        <f t="shared" si="3"/>
        <v>3.125E-2</v>
      </c>
      <c r="L31">
        <f t="shared" si="3"/>
        <v>3.125E-2</v>
      </c>
      <c r="M31">
        <f t="shared" si="3"/>
        <v>3.125E-2</v>
      </c>
      <c r="N31">
        <f t="shared" si="3"/>
        <v>3.125E-2</v>
      </c>
      <c r="O31">
        <f t="shared" si="3"/>
        <v>3.125E-2</v>
      </c>
      <c r="P31">
        <f t="shared" si="3"/>
        <v>3.125E-2</v>
      </c>
      <c r="Q31">
        <f t="shared" si="3"/>
        <v>3.125E-2</v>
      </c>
      <c r="R31">
        <f t="shared" si="3"/>
        <v>6.25E-2</v>
      </c>
      <c r="S31">
        <f t="shared" si="3"/>
        <v>3.125E-2</v>
      </c>
      <c r="T31">
        <f t="shared" si="1"/>
        <v>3.125E-2</v>
      </c>
      <c r="U31">
        <f t="shared" si="1"/>
        <v>0.1875</v>
      </c>
      <c r="V31">
        <f t="shared" si="1"/>
        <v>3.125E-2</v>
      </c>
      <c r="W31">
        <f t="shared" si="1"/>
        <v>3.125E-2</v>
      </c>
      <c r="X31" s="11">
        <f t="shared" si="1"/>
        <v>0.28125</v>
      </c>
    </row>
    <row r="32" spans="1:27" x14ac:dyDescent="0.2">
      <c r="F32" s="17">
        <f>SUM(G32:V32)</f>
        <v>0.99999999999999978</v>
      </c>
      <c r="G32">
        <f t="shared" si="2"/>
        <v>3.5714285714285712E-2</v>
      </c>
      <c r="H32">
        <f t="shared" si="3"/>
        <v>3.5714285714285712E-2</v>
      </c>
      <c r="I32">
        <f t="shared" si="3"/>
        <v>3.5714285714285712E-2</v>
      </c>
      <c r="J32">
        <f t="shared" si="3"/>
        <v>3.5714285714285712E-2</v>
      </c>
      <c r="K32">
        <f t="shared" si="3"/>
        <v>3.5714285714285712E-2</v>
      </c>
      <c r="L32">
        <f t="shared" si="3"/>
        <v>3.5714285714285712E-2</v>
      </c>
      <c r="M32">
        <f t="shared" si="3"/>
        <v>3.5714285714285712E-2</v>
      </c>
      <c r="N32">
        <f t="shared" si="3"/>
        <v>7.1428571428571425E-2</v>
      </c>
      <c r="O32">
        <f t="shared" si="3"/>
        <v>7.1428571428571425E-2</v>
      </c>
      <c r="P32">
        <f t="shared" si="3"/>
        <v>3.5714285714285712E-2</v>
      </c>
      <c r="Q32">
        <f t="shared" si="3"/>
        <v>3.5714285714285712E-2</v>
      </c>
      <c r="R32">
        <f t="shared" si="3"/>
        <v>7.1428571428571425E-2</v>
      </c>
      <c r="S32">
        <f t="shared" si="3"/>
        <v>7.1428571428571425E-2</v>
      </c>
      <c r="T32">
        <f t="shared" si="1"/>
        <v>0.14285714285714285</v>
      </c>
      <c r="U32">
        <f t="shared" si="1"/>
        <v>3.5714285714285712E-2</v>
      </c>
      <c r="V32">
        <f t="shared" si="1"/>
        <v>0.21428571428571427</v>
      </c>
      <c r="X32" s="11"/>
    </row>
    <row r="33" spans="6:24" x14ac:dyDescent="0.2">
      <c r="F33" s="17">
        <f>SUM(G33:V33)</f>
        <v>1</v>
      </c>
      <c r="G33">
        <f t="shared" si="2"/>
        <v>2.9411764705882353E-2</v>
      </c>
      <c r="H33">
        <f t="shared" si="3"/>
        <v>2.9411764705882353E-2</v>
      </c>
      <c r="I33">
        <f t="shared" si="3"/>
        <v>2.9411764705882353E-2</v>
      </c>
      <c r="J33">
        <f t="shared" si="3"/>
        <v>2.9411764705882353E-2</v>
      </c>
      <c r="K33">
        <f t="shared" si="3"/>
        <v>2.9411764705882353E-2</v>
      </c>
      <c r="L33">
        <f t="shared" si="3"/>
        <v>2.9411764705882353E-2</v>
      </c>
      <c r="M33">
        <f t="shared" si="3"/>
        <v>2.9411764705882353E-2</v>
      </c>
      <c r="N33">
        <f t="shared" si="3"/>
        <v>2.9411764705882353E-2</v>
      </c>
      <c r="O33">
        <f t="shared" si="3"/>
        <v>2.9411764705882353E-2</v>
      </c>
      <c r="P33">
        <f t="shared" si="3"/>
        <v>2.9411764705882353E-2</v>
      </c>
      <c r="Q33">
        <f t="shared" si="3"/>
        <v>5.8823529411764705E-2</v>
      </c>
      <c r="R33">
        <f t="shared" si="3"/>
        <v>2.9411764705882353E-2</v>
      </c>
      <c r="S33">
        <f t="shared" si="3"/>
        <v>8.8235294117647065E-2</v>
      </c>
      <c r="T33">
        <f t="shared" si="1"/>
        <v>8.8235294117647065E-2</v>
      </c>
      <c r="U33">
        <f t="shared" si="1"/>
        <v>2.9411764705882353E-2</v>
      </c>
      <c r="V33">
        <f t="shared" si="1"/>
        <v>0.41176470588235292</v>
      </c>
      <c r="X33" s="11"/>
    </row>
    <row r="34" spans="6:24" x14ac:dyDescent="0.2">
      <c r="F34" s="17">
        <f>SUM(G34:V34)</f>
        <v>0.99999999999999989</v>
      </c>
      <c r="G34">
        <f t="shared" si="2"/>
        <v>3.2258064516129031E-2</v>
      </c>
      <c r="H34">
        <f t="shared" si="3"/>
        <v>3.2258064516129031E-2</v>
      </c>
      <c r="I34">
        <f t="shared" si="3"/>
        <v>3.2258064516129031E-2</v>
      </c>
      <c r="J34">
        <f t="shared" si="3"/>
        <v>3.2258064516129031E-2</v>
      </c>
      <c r="K34">
        <f t="shared" si="3"/>
        <v>3.2258064516129031E-2</v>
      </c>
      <c r="L34">
        <f t="shared" si="3"/>
        <v>3.2258064516129031E-2</v>
      </c>
      <c r="M34">
        <f t="shared" si="3"/>
        <v>3.2258064516129031E-2</v>
      </c>
      <c r="N34">
        <f t="shared" si="3"/>
        <v>3.2258064516129031E-2</v>
      </c>
      <c r="O34">
        <f t="shared" si="3"/>
        <v>3.2258064516129031E-2</v>
      </c>
      <c r="P34">
        <f t="shared" si="3"/>
        <v>3.2258064516129031E-2</v>
      </c>
      <c r="Q34">
        <f t="shared" si="3"/>
        <v>6.4516129032258063E-2</v>
      </c>
      <c r="R34">
        <f t="shared" si="3"/>
        <v>3.2258064516129031E-2</v>
      </c>
      <c r="S34">
        <f t="shared" si="3"/>
        <v>3.2258064516129031E-2</v>
      </c>
      <c r="T34">
        <f t="shared" si="1"/>
        <v>0.12903225806451613</v>
      </c>
      <c r="U34">
        <f t="shared" si="1"/>
        <v>3.2258064516129031E-2</v>
      </c>
      <c r="V34">
        <f t="shared" si="1"/>
        <v>0.38709677419354838</v>
      </c>
      <c r="X34" s="11"/>
    </row>
    <row r="35" spans="6:24" x14ac:dyDescent="0.2">
      <c r="F35" s="17">
        <f>SUM(G35:W35)</f>
        <v>1</v>
      </c>
      <c r="G35">
        <f t="shared" si="2"/>
        <v>3.125E-2</v>
      </c>
      <c r="H35">
        <f t="shared" si="3"/>
        <v>3.125E-2</v>
      </c>
      <c r="I35">
        <f t="shared" si="3"/>
        <v>3.125E-2</v>
      </c>
      <c r="J35">
        <f t="shared" si="3"/>
        <v>3.125E-2</v>
      </c>
      <c r="K35">
        <f t="shared" si="3"/>
        <v>3.125E-2</v>
      </c>
      <c r="L35">
        <f t="shared" si="3"/>
        <v>3.125E-2</v>
      </c>
      <c r="M35">
        <f t="shared" si="3"/>
        <v>3.125E-2</v>
      </c>
      <c r="N35">
        <f t="shared" si="3"/>
        <v>3.125E-2</v>
      </c>
      <c r="O35">
        <f>O13/$C13</f>
        <v>9.375E-2</v>
      </c>
      <c r="P35">
        <f>P13/$C13</f>
        <v>3.125E-2</v>
      </c>
      <c r="Q35">
        <f t="shared" si="3"/>
        <v>3.125E-2</v>
      </c>
      <c r="R35">
        <f t="shared" si="3"/>
        <v>3.125E-2</v>
      </c>
      <c r="S35">
        <f t="shared" si="3"/>
        <v>3.125E-2</v>
      </c>
      <c r="T35">
        <f t="shared" si="1"/>
        <v>3.125E-2</v>
      </c>
      <c r="U35">
        <f t="shared" si="1"/>
        <v>6.25E-2</v>
      </c>
      <c r="V35">
        <f>V13/$C13</f>
        <v>3.125E-2</v>
      </c>
      <c r="W35">
        <f t="shared" si="1"/>
        <v>0.40625</v>
      </c>
      <c r="X35" s="11"/>
    </row>
    <row r="36" spans="6:24" x14ac:dyDescent="0.2">
      <c r="F36" s="17">
        <f>SUM(G36:V36)</f>
        <v>1</v>
      </c>
      <c r="G36">
        <f t="shared" si="2"/>
        <v>3.125E-2</v>
      </c>
      <c r="H36">
        <f t="shared" si="3"/>
        <v>3.125E-2</v>
      </c>
      <c r="I36">
        <f t="shared" si="3"/>
        <v>3.125E-2</v>
      </c>
      <c r="J36">
        <f t="shared" si="3"/>
        <v>3.125E-2</v>
      </c>
      <c r="K36">
        <f t="shared" si="3"/>
        <v>3.125E-2</v>
      </c>
      <c r="L36">
        <f t="shared" si="3"/>
        <v>3.125E-2</v>
      </c>
      <c r="M36">
        <f t="shared" si="3"/>
        <v>3.125E-2</v>
      </c>
      <c r="N36">
        <f t="shared" si="3"/>
        <v>3.125E-2</v>
      </c>
      <c r="O36">
        <f t="shared" si="3"/>
        <v>3.125E-2</v>
      </c>
      <c r="P36">
        <f t="shared" si="3"/>
        <v>6.25E-2</v>
      </c>
      <c r="Q36">
        <f t="shared" si="3"/>
        <v>9.375E-2</v>
      </c>
      <c r="R36">
        <f t="shared" si="3"/>
        <v>3.125E-2</v>
      </c>
      <c r="S36">
        <f t="shared" si="3"/>
        <v>9.375E-2</v>
      </c>
      <c r="T36">
        <f t="shared" si="1"/>
        <v>6.25E-2</v>
      </c>
      <c r="U36">
        <f t="shared" si="1"/>
        <v>6.25E-2</v>
      </c>
      <c r="V36">
        <f t="shared" si="1"/>
        <v>0.3125</v>
      </c>
      <c r="X36" s="11"/>
    </row>
    <row r="37" spans="6:24" x14ac:dyDescent="0.2">
      <c r="F37" s="17">
        <f>SUM(G37:T37)</f>
        <v>1</v>
      </c>
      <c r="G37">
        <f t="shared" si="2"/>
        <v>3.3333333333333333E-2</v>
      </c>
      <c r="H37">
        <f t="shared" si="3"/>
        <v>3.3333333333333333E-2</v>
      </c>
      <c r="I37">
        <f t="shared" si="3"/>
        <v>3.3333333333333333E-2</v>
      </c>
      <c r="J37">
        <f t="shared" si="3"/>
        <v>3.3333333333333333E-2</v>
      </c>
      <c r="K37">
        <f t="shared" si="3"/>
        <v>3.3333333333333333E-2</v>
      </c>
      <c r="L37">
        <f t="shared" si="3"/>
        <v>6.6666666666666666E-2</v>
      </c>
      <c r="M37">
        <f t="shared" si="3"/>
        <v>3.3333333333333333E-2</v>
      </c>
      <c r="N37">
        <f t="shared" si="3"/>
        <v>3.3333333333333333E-2</v>
      </c>
      <c r="O37">
        <f t="shared" si="3"/>
        <v>3.3333333333333333E-2</v>
      </c>
      <c r="P37">
        <f t="shared" si="3"/>
        <v>3.3333333333333333E-2</v>
      </c>
      <c r="Q37">
        <f t="shared" si="3"/>
        <v>6.6666666666666666E-2</v>
      </c>
      <c r="R37">
        <f t="shared" si="3"/>
        <v>6.6666666666666666E-2</v>
      </c>
      <c r="S37">
        <f t="shared" si="3"/>
        <v>3.3333333333333333E-2</v>
      </c>
      <c r="T37">
        <f t="shared" si="1"/>
        <v>0.46666666666666667</v>
      </c>
      <c r="X37" s="11"/>
    </row>
    <row r="38" spans="6:24" x14ac:dyDescent="0.2">
      <c r="F38" s="17">
        <f>SUM(G38:X38)</f>
        <v>1</v>
      </c>
      <c r="G38">
        <f t="shared" si="2"/>
        <v>2.9411764705882353E-2</v>
      </c>
      <c r="H38">
        <f t="shared" si="3"/>
        <v>2.9411764705882353E-2</v>
      </c>
      <c r="I38">
        <f t="shared" si="3"/>
        <v>2.9411764705882353E-2</v>
      </c>
      <c r="J38">
        <f t="shared" si="3"/>
        <v>2.9411764705882353E-2</v>
      </c>
      <c r="K38">
        <f t="shared" si="3"/>
        <v>2.9411764705882353E-2</v>
      </c>
      <c r="L38">
        <f t="shared" si="3"/>
        <v>2.9411764705882353E-2</v>
      </c>
      <c r="M38">
        <f t="shared" si="3"/>
        <v>2.9411764705882353E-2</v>
      </c>
      <c r="N38">
        <f t="shared" si="3"/>
        <v>2.9411764705882353E-2</v>
      </c>
      <c r="O38">
        <f t="shared" si="3"/>
        <v>2.9411764705882353E-2</v>
      </c>
      <c r="P38">
        <f t="shared" si="3"/>
        <v>2.9411764705882353E-2</v>
      </c>
      <c r="Q38">
        <f t="shared" si="3"/>
        <v>2.9411764705882353E-2</v>
      </c>
      <c r="R38">
        <f t="shared" si="3"/>
        <v>8.8235294117647065E-2</v>
      </c>
      <c r="S38">
        <f t="shared" si="3"/>
        <v>8.8235294117647065E-2</v>
      </c>
      <c r="T38">
        <f t="shared" si="1"/>
        <v>2.9411764705882353E-2</v>
      </c>
      <c r="U38">
        <f t="shared" si="1"/>
        <v>2.9411764705882353E-2</v>
      </c>
      <c r="V38">
        <f t="shared" si="1"/>
        <v>2.9411764705882353E-2</v>
      </c>
      <c r="W38">
        <f t="shared" si="1"/>
        <v>0.11764705882352941</v>
      </c>
      <c r="X38" s="11">
        <f t="shared" si="1"/>
        <v>0.29411764705882354</v>
      </c>
    </row>
    <row r="39" spans="6:24" x14ac:dyDescent="0.2">
      <c r="F39" s="17">
        <f t="array" ref="F39">SUM(G39:U39)</f>
        <v>1</v>
      </c>
      <c r="G39">
        <f t="shared" si="2"/>
        <v>3.125E-2</v>
      </c>
      <c r="H39">
        <f t="shared" si="3"/>
        <v>3.125E-2</v>
      </c>
      <c r="I39">
        <f t="shared" si="3"/>
        <v>3.125E-2</v>
      </c>
      <c r="J39">
        <f t="shared" si="3"/>
        <v>3.125E-2</v>
      </c>
      <c r="K39">
        <f t="shared" si="3"/>
        <v>3.125E-2</v>
      </c>
      <c r="L39">
        <f t="shared" si="3"/>
        <v>3.125E-2</v>
      </c>
      <c r="M39">
        <f t="shared" si="3"/>
        <v>6.25E-2</v>
      </c>
      <c r="N39">
        <f t="shared" si="3"/>
        <v>3.125E-2</v>
      </c>
      <c r="O39">
        <f t="shared" si="3"/>
        <v>3.125E-2</v>
      </c>
      <c r="P39">
        <f t="shared" si="3"/>
        <v>6.25E-2</v>
      </c>
      <c r="Q39">
        <f t="shared" si="3"/>
        <v>6.25E-2</v>
      </c>
      <c r="R39">
        <f t="shared" si="3"/>
        <v>3.125E-2</v>
      </c>
      <c r="S39">
        <f t="shared" si="3"/>
        <v>3.125E-2</v>
      </c>
      <c r="T39">
        <f t="shared" si="1"/>
        <v>6.25E-2</v>
      </c>
      <c r="U39">
        <f t="shared" si="1"/>
        <v>0.4375</v>
      </c>
      <c r="X39" s="11"/>
    </row>
    <row r="40" spans="6:24" x14ac:dyDescent="0.2">
      <c r="F40" s="17">
        <f>SUM(G40:U40)</f>
        <v>1</v>
      </c>
      <c r="G40">
        <f t="shared" si="2"/>
        <v>3.0303030303030304E-2</v>
      </c>
      <c r="H40">
        <f t="shared" si="3"/>
        <v>3.0303030303030304E-2</v>
      </c>
      <c r="I40">
        <f t="shared" si="3"/>
        <v>3.0303030303030304E-2</v>
      </c>
      <c r="J40">
        <f t="shared" si="3"/>
        <v>3.0303030303030304E-2</v>
      </c>
      <c r="K40">
        <f t="shared" si="3"/>
        <v>3.0303030303030304E-2</v>
      </c>
      <c r="L40">
        <f t="shared" si="3"/>
        <v>3.0303030303030304E-2</v>
      </c>
      <c r="M40">
        <f t="shared" si="3"/>
        <v>3.0303030303030304E-2</v>
      </c>
      <c r="N40">
        <f t="shared" si="3"/>
        <v>3.0303030303030304E-2</v>
      </c>
      <c r="O40">
        <f t="shared" si="3"/>
        <v>3.0303030303030304E-2</v>
      </c>
      <c r="P40">
        <f t="shared" si="3"/>
        <v>3.0303030303030304E-2</v>
      </c>
      <c r="Q40">
        <f t="shared" si="3"/>
        <v>3.0303030303030304E-2</v>
      </c>
      <c r="R40">
        <f t="shared" si="3"/>
        <v>3.0303030303030304E-2</v>
      </c>
      <c r="S40">
        <f t="shared" si="3"/>
        <v>9.0909090909090912E-2</v>
      </c>
      <c r="T40">
        <f t="shared" si="3"/>
        <v>6.0606060606060608E-2</v>
      </c>
      <c r="U40">
        <f t="shared" si="3"/>
        <v>0.48484848484848486</v>
      </c>
      <c r="X40" s="11"/>
    </row>
    <row r="41" spans="6:24" x14ac:dyDescent="0.2">
      <c r="F41" s="17">
        <f>SUM(G41:U41)</f>
        <v>1</v>
      </c>
      <c r="G41">
        <f t="shared" si="2"/>
        <v>3.3333333333333333E-2</v>
      </c>
      <c r="H41">
        <f t="shared" ref="H41:V43" si="4">H19/$C19</f>
        <v>3.3333333333333333E-2</v>
      </c>
      <c r="I41">
        <f t="shared" si="4"/>
        <v>3.3333333333333333E-2</v>
      </c>
      <c r="J41">
        <f t="shared" si="4"/>
        <v>3.3333333333333333E-2</v>
      </c>
      <c r="K41">
        <f t="shared" si="4"/>
        <v>6.6666666666666666E-2</v>
      </c>
      <c r="L41">
        <f t="shared" si="4"/>
        <v>3.3333333333333333E-2</v>
      </c>
      <c r="M41">
        <f t="shared" si="4"/>
        <v>3.3333333333333333E-2</v>
      </c>
      <c r="N41">
        <f t="shared" si="4"/>
        <v>6.6666666666666666E-2</v>
      </c>
      <c r="O41">
        <f t="shared" si="4"/>
        <v>3.3333333333333333E-2</v>
      </c>
      <c r="P41">
        <f t="shared" si="4"/>
        <v>3.3333333333333333E-2</v>
      </c>
      <c r="Q41">
        <f t="shared" si="4"/>
        <v>0.13333333333333333</v>
      </c>
      <c r="R41">
        <f t="shared" si="4"/>
        <v>3.3333333333333333E-2</v>
      </c>
      <c r="S41">
        <f t="shared" si="4"/>
        <v>0.13333333333333333</v>
      </c>
      <c r="T41">
        <f t="shared" si="4"/>
        <v>3.3333333333333333E-2</v>
      </c>
      <c r="U41">
        <f t="shared" si="4"/>
        <v>0.26666666666666666</v>
      </c>
      <c r="X41" s="11"/>
    </row>
    <row r="42" spans="6:24" x14ac:dyDescent="0.2">
      <c r="F42" s="17">
        <f>SUM(G42:M42)</f>
        <v>1</v>
      </c>
      <c r="G42">
        <f t="shared" si="2"/>
        <v>3.7037037037037035E-2</v>
      </c>
      <c r="H42">
        <f t="shared" si="4"/>
        <v>3.7037037037037035E-2</v>
      </c>
      <c r="I42">
        <f t="shared" si="4"/>
        <v>0.1111111111111111</v>
      </c>
      <c r="J42">
        <f t="shared" si="4"/>
        <v>0.1111111111111111</v>
      </c>
      <c r="K42">
        <f t="shared" si="4"/>
        <v>3.7037037037037035E-2</v>
      </c>
      <c r="L42">
        <f t="shared" si="4"/>
        <v>0.1111111111111111</v>
      </c>
      <c r="M42">
        <f t="shared" si="4"/>
        <v>0.55555555555555558</v>
      </c>
      <c r="X42" s="11"/>
    </row>
    <row r="43" spans="6:24" x14ac:dyDescent="0.2">
      <c r="F43" s="20">
        <f>SUM(G43:V43)</f>
        <v>1</v>
      </c>
      <c r="G43" s="9">
        <f t="shared" si="2"/>
        <v>2.8571428571428571E-2</v>
      </c>
      <c r="H43" s="7">
        <f t="shared" si="4"/>
        <v>2.8571428571428571E-2</v>
      </c>
      <c r="I43" s="7">
        <f t="shared" si="4"/>
        <v>5.7142857142857141E-2</v>
      </c>
      <c r="J43" s="7">
        <f t="shared" si="4"/>
        <v>5.7142857142857141E-2</v>
      </c>
      <c r="K43" s="7">
        <f t="shared" si="4"/>
        <v>2.8571428571428571E-2</v>
      </c>
      <c r="L43" s="7">
        <f t="shared" si="4"/>
        <v>2.8571428571428571E-2</v>
      </c>
      <c r="M43" s="7">
        <f t="shared" si="4"/>
        <v>2.8571428571428571E-2</v>
      </c>
      <c r="N43" s="7">
        <f t="shared" si="4"/>
        <v>2.8571428571428571E-2</v>
      </c>
      <c r="O43" s="7">
        <f t="shared" si="4"/>
        <v>2.8571428571428571E-2</v>
      </c>
      <c r="P43" s="7">
        <f t="shared" si="4"/>
        <v>2.8571428571428571E-2</v>
      </c>
      <c r="Q43" s="7">
        <f t="shared" si="4"/>
        <v>2.8571428571428571E-2</v>
      </c>
      <c r="R43" s="7">
        <f t="shared" si="4"/>
        <v>5.7142857142857141E-2</v>
      </c>
      <c r="S43" s="7">
        <f t="shared" si="4"/>
        <v>2.8571428571428571E-2</v>
      </c>
      <c r="T43" s="7">
        <f t="shared" si="4"/>
        <v>8.5714285714285715E-2</v>
      </c>
      <c r="U43" s="7">
        <f t="shared" si="4"/>
        <v>2.8571428571428571E-2</v>
      </c>
      <c r="V43" s="7">
        <f t="shared" si="4"/>
        <v>0.42857142857142855</v>
      </c>
      <c r="W43" s="7"/>
      <c r="X43" s="12"/>
    </row>
    <row r="44" spans="6:24" x14ac:dyDescent="0.2">
      <c r="F44" s="20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6:24" x14ac:dyDescent="0.2">
      <c r="F45" s="16" t="s">
        <v>113</v>
      </c>
      <c r="G45" s="32" t="s">
        <v>117</v>
      </c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6:24" x14ac:dyDescent="0.2">
      <c r="F46" s="17">
        <f>SUM(G46:U46)</f>
        <v>0.1171875</v>
      </c>
      <c r="G46">
        <f>G24^2</f>
        <v>9.765625E-4</v>
      </c>
      <c r="H46">
        <f t="shared" ref="H46:X60" si="5">H24^2</f>
        <v>9.765625E-4</v>
      </c>
      <c r="I46">
        <f t="shared" si="5"/>
        <v>9.765625E-4</v>
      </c>
      <c r="J46">
        <f t="shared" si="5"/>
        <v>9.765625E-4</v>
      </c>
      <c r="K46">
        <f t="shared" si="5"/>
        <v>3.90625E-3</v>
      </c>
      <c r="L46">
        <f t="shared" si="5"/>
        <v>9.765625E-4</v>
      </c>
      <c r="M46">
        <f t="shared" si="5"/>
        <v>9.765625E-4</v>
      </c>
      <c r="N46">
        <f t="shared" si="5"/>
        <v>9.765625E-4</v>
      </c>
      <c r="O46">
        <f t="shared" si="5"/>
        <v>3.90625E-3</v>
      </c>
      <c r="P46">
        <f t="shared" si="5"/>
        <v>9.765625E-4</v>
      </c>
      <c r="Q46">
        <f t="shared" si="5"/>
        <v>1.5625E-2</v>
      </c>
      <c r="R46">
        <f t="shared" si="5"/>
        <v>3.90625E-3</v>
      </c>
      <c r="S46">
        <f t="shared" si="5"/>
        <v>1.5625E-2</v>
      </c>
      <c r="T46">
        <f t="shared" si="5"/>
        <v>3.90625E-3</v>
      </c>
      <c r="U46">
        <f t="shared" si="5"/>
        <v>6.25E-2</v>
      </c>
      <c r="X46" s="13"/>
    </row>
    <row r="47" spans="6:24" x14ac:dyDescent="0.2">
      <c r="F47" s="17">
        <f>SUM(G47:Q47)</f>
        <v>0.11834319526627221</v>
      </c>
      <c r="G47">
        <f t="shared" ref="G47:Q65" si="6">G25^2</f>
        <v>1.4792899408284025E-3</v>
      </c>
      <c r="H47">
        <f t="shared" si="6"/>
        <v>1.4792899408284025E-3</v>
      </c>
      <c r="I47">
        <f t="shared" si="6"/>
        <v>1.4792899408284025E-3</v>
      </c>
      <c r="J47">
        <f t="shared" si="6"/>
        <v>1.4792899408284025E-3</v>
      </c>
      <c r="K47">
        <f t="shared" si="6"/>
        <v>5.9171597633136102E-3</v>
      </c>
      <c r="L47">
        <f t="shared" si="6"/>
        <v>5.9171597633136102E-3</v>
      </c>
      <c r="M47">
        <f t="shared" si="6"/>
        <v>5.9171597633136102E-3</v>
      </c>
      <c r="N47">
        <f t="shared" si="6"/>
        <v>2.3668639053254441E-2</v>
      </c>
      <c r="O47">
        <f t="shared" si="6"/>
        <v>2.3668639053254441E-2</v>
      </c>
      <c r="P47">
        <f t="shared" si="6"/>
        <v>2.3668639053254441E-2</v>
      </c>
      <c r="Q47">
        <f t="shared" si="6"/>
        <v>2.3668639053254441E-2</v>
      </c>
      <c r="X47" s="11"/>
    </row>
    <row r="48" spans="6:24" x14ac:dyDescent="0.2">
      <c r="F48" s="17">
        <f>SUM(G48:S48)</f>
        <v>0.16015625</v>
      </c>
      <c r="G48">
        <f t="shared" si="6"/>
        <v>9.765625E-4</v>
      </c>
      <c r="H48">
        <f t="shared" si="5"/>
        <v>9.765625E-4</v>
      </c>
      <c r="I48">
        <f t="shared" si="5"/>
        <v>9.765625E-4</v>
      </c>
      <c r="J48">
        <f t="shared" si="5"/>
        <v>9.765625E-4</v>
      </c>
      <c r="K48">
        <f t="shared" si="5"/>
        <v>9.765625E-4</v>
      </c>
      <c r="L48">
        <f t="shared" si="5"/>
        <v>9.765625E-4</v>
      </c>
      <c r="M48">
        <f t="shared" si="5"/>
        <v>8.7890625E-3</v>
      </c>
      <c r="N48">
        <f t="shared" si="5"/>
        <v>9.765625E-4</v>
      </c>
      <c r="O48">
        <f t="shared" si="5"/>
        <v>9.765625E-4</v>
      </c>
      <c r="P48">
        <f t="shared" si="5"/>
        <v>9.765625E-4</v>
      </c>
      <c r="Q48">
        <f t="shared" si="5"/>
        <v>1.5625E-2</v>
      </c>
      <c r="R48">
        <f t="shared" si="5"/>
        <v>4.78515625E-2</v>
      </c>
      <c r="S48">
        <f t="shared" si="5"/>
        <v>7.91015625E-2</v>
      </c>
      <c r="X48" s="11"/>
    </row>
    <row r="49" spans="6:24" x14ac:dyDescent="0.2">
      <c r="F49" s="17">
        <f>SUM(G49:U49)</f>
        <v>0.18343195266272189</v>
      </c>
      <c r="G49">
        <f t="shared" si="6"/>
        <v>6.5746219592373431E-4</v>
      </c>
      <c r="H49">
        <f t="shared" si="5"/>
        <v>6.5746219592373431E-4</v>
      </c>
      <c r="I49">
        <f t="shared" si="5"/>
        <v>6.5746219592373431E-4</v>
      </c>
      <c r="J49">
        <f t="shared" si="5"/>
        <v>6.5746219592373431E-4</v>
      </c>
      <c r="K49">
        <f t="shared" si="5"/>
        <v>6.5746219592373431E-4</v>
      </c>
      <c r="L49">
        <f t="shared" si="5"/>
        <v>6.5746219592373431E-4</v>
      </c>
      <c r="M49">
        <f t="shared" si="5"/>
        <v>2.6298487836949372E-3</v>
      </c>
      <c r="N49">
        <f t="shared" si="5"/>
        <v>2.6298487836949372E-3</v>
      </c>
      <c r="O49">
        <f t="shared" si="5"/>
        <v>5.9171597633136102E-3</v>
      </c>
      <c r="P49">
        <f t="shared" si="5"/>
        <v>5.9171597633136102E-3</v>
      </c>
      <c r="Q49">
        <f t="shared" si="5"/>
        <v>6.5746219592373431E-4</v>
      </c>
      <c r="R49">
        <f t="shared" si="5"/>
        <v>2.6298487836949372E-3</v>
      </c>
      <c r="S49">
        <f t="shared" si="5"/>
        <v>1.0519395134779749E-2</v>
      </c>
      <c r="T49">
        <f t="shared" si="5"/>
        <v>6.5746219592373431E-4</v>
      </c>
      <c r="U49">
        <f t="shared" si="5"/>
        <v>0.14792899408284024</v>
      </c>
      <c r="X49" s="11"/>
    </row>
    <row r="50" spans="6:24" x14ac:dyDescent="0.2">
      <c r="F50" s="17">
        <f>SUM(G50:T50)</f>
        <v>0.17355371900826447</v>
      </c>
      <c r="G50">
        <f t="shared" si="6"/>
        <v>9.1827364554637292E-4</v>
      </c>
      <c r="H50">
        <f t="shared" si="5"/>
        <v>9.1827364554637292E-4</v>
      </c>
      <c r="I50">
        <f t="shared" si="5"/>
        <v>9.1827364554637292E-4</v>
      </c>
      <c r="J50">
        <f t="shared" si="5"/>
        <v>9.1827364554637292E-4</v>
      </c>
      <c r="K50">
        <f t="shared" si="5"/>
        <v>3.6730945821854917E-3</v>
      </c>
      <c r="L50">
        <f t="shared" si="5"/>
        <v>9.1827364554637292E-4</v>
      </c>
      <c r="M50">
        <f t="shared" si="5"/>
        <v>9.1827364554637292E-4</v>
      </c>
      <c r="N50">
        <f t="shared" si="5"/>
        <v>9.1827364554637292E-4</v>
      </c>
      <c r="O50">
        <f t="shared" si="5"/>
        <v>8.2644628099173556E-3</v>
      </c>
      <c r="P50">
        <f t="shared" si="5"/>
        <v>3.6730945821854917E-3</v>
      </c>
      <c r="Q50">
        <f t="shared" si="5"/>
        <v>9.1827364554637292E-4</v>
      </c>
      <c r="R50">
        <f t="shared" si="5"/>
        <v>3.6730945821854917E-3</v>
      </c>
      <c r="S50">
        <f t="shared" si="5"/>
        <v>1.4692378328741967E-2</v>
      </c>
      <c r="T50">
        <f t="shared" si="5"/>
        <v>0.13223140495867769</v>
      </c>
      <c r="X50" s="11"/>
    </row>
    <row r="51" spans="6:24" x14ac:dyDescent="0.2">
      <c r="F51" s="17">
        <f>SUM(G51:S51)</f>
        <v>0.19250780437044743</v>
      </c>
      <c r="G51">
        <f t="shared" si="6"/>
        <v>1.0405827263267429E-3</v>
      </c>
      <c r="H51">
        <f t="shared" si="5"/>
        <v>1.0405827263267429E-3</v>
      </c>
      <c r="I51">
        <f t="shared" si="5"/>
        <v>1.0405827263267429E-3</v>
      </c>
      <c r="J51">
        <f t="shared" si="5"/>
        <v>4.1623309053069714E-3</v>
      </c>
      <c r="K51">
        <f t="shared" si="5"/>
        <v>1.0405827263267429E-3</v>
      </c>
      <c r="L51">
        <f t="shared" si="5"/>
        <v>1.0405827263267429E-3</v>
      </c>
      <c r="M51">
        <f t="shared" si="5"/>
        <v>1.0405827263267429E-3</v>
      </c>
      <c r="N51">
        <f t="shared" si="5"/>
        <v>4.1623309053069714E-3</v>
      </c>
      <c r="O51">
        <f t="shared" si="5"/>
        <v>1.0405827263267429E-3</v>
      </c>
      <c r="P51">
        <f t="shared" si="5"/>
        <v>9.3652445369406864E-3</v>
      </c>
      <c r="Q51">
        <f t="shared" si="5"/>
        <v>1.6649323621227886E-2</v>
      </c>
      <c r="R51">
        <f t="shared" si="5"/>
        <v>1.0405827263267429E-3</v>
      </c>
      <c r="S51">
        <f t="shared" si="5"/>
        <v>0.14984391259105098</v>
      </c>
      <c r="X51" s="11"/>
    </row>
    <row r="52" spans="6:24" x14ac:dyDescent="0.2">
      <c r="F52" s="17">
        <f>SUM(G52:X52)</f>
        <v>0.22775510204081631</v>
      </c>
      <c r="G52">
        <f t="shared" si="6"/>
        <v>8.1632653061224482E-4</v>
      </c>
      <c r="H52">
        <f t="shared" si="5"/>
        <v>8.1632653061224482E-4</v>
      </c>
      <c r="I52">
        <f t="shared" si="5"/>
        <v>8.1632653061224482E-4</v>
      </c>
      <c r="J52">
        <f t="shared" si="5"/>
        <v>8.1632653061224482E-4</v>
      </c>
      <c r="K52">
        <f t="shared" si="5"/>
        <v>8.1632653061224482E-4</v>
      </c>
      <c r="L52">
        <f t="shared" si="5"/>
        <v>8.1632653061224482E-4</v>
      </c>
      <c r="M52">
        <f t="shared" si="5"/>
        <v>8.1632653061224482E-4</v>
      </c>
      <c r="N52">
        <f t="shared" si="5"/>
        <v>8.1632653061224482E-4</v>
      </c>
      <c r="O52">
        <f t="shared" si="5"/>
        <v>3.2653061224489793E-3</v>
      </c>
      <c r="P52">
        <f t="shared" si="5"/>
        <v>8.1632653061224482E-4</v>
      </c>
      <c r="Q52">
        <f t="shared" si="5"/>
        <v>8.1632653061224482E-4</v>
      </c>
      <c r="R52">
        <f t="shared" si="5"/>
        <v>3.2653061224489793E-3</v>
      </c>
      <c r="S52">
        <f t="shared" si="5"/>
        <v>8.1632653061224482E-4</v>
      </c>
      <c r="T52">
        <f t="shared" si="5"/>
        <v>8.1632653061224482E-4</v>
      </c>
      <c r="U52">
        <f t="shared" si="5"/>
        <v>8.1632653061224482E-4</v>
      </c>
      <c r="V52">
        <f t="shared" si="5"/>
        <v>8.1632653061224482E-4</v>
      </c>
      <c r="W52">
        <f t="shared" si="5"/>
        <v>8.1632653061224482E-4</v>
      </c>
      <c r="X52" s="11">
        <f t="shared" si="5"/>
        <v>0.20897959183673467</v>
      </c>
    </row>
    <row r="53" spans="6:24" x14ac:dyDescent="0.2">
      <c r="F53" s="17">
        <f>SUM(G53:X53)</f>
        <v>0.1328125</v>
      </c>
      <c r="G53">
        <f t="shared" si="6"/>
        <v>9.765625E-4</v>
      </c>
      <c r="H53">
        <f t="shared" si="5"/>
        <v>9.765625E-4</v>
      </c>
      <c r="I53">
        <f t="shared" si="5"/>
        <v>9.765625E-4</v>
      </c>
      <c r="J53">
        <f t="shared" si="5"/>
        <v>9.765625E-4</v>
      </c>
      <c r="K53">
        <f t="shared" si="5"/>
        <v>9.765625E-4</v>
      </c>
      <c r="L53">
        <f t="shared" si="5"/>
        <v>9.765625E-4</v>
      </c>
      <c r="M53">
        <f t="shared" si="5"/>
        <v>9.765625E-4</v>
      </c>
      <c r="N53">
        <f t="shared" si="5"/>
        <v>9.765625E-4</v>
      </c>
      <c r="O53">
        <f t="shared" si="5"/>
        <v>9.765625E-4</v>
      </c>
      <c r="P53">
        <f t="shared" si="5"/>
        <v>9.765625E-4</v>
      </c>
      <c r="Q53">
        <f t="shared" si="5"/>
        <v>9.765625E-4</v>
      </c>
      <c r="R53">
        <f t="shared" si="5"/>
        <v>3.90625E-3</v>
      </c>
      <c r="S53">
        <f t="shared" si="5"/>
        <v>9.765625E-4</v>
      </c>
      <c r="T53">
        <f t="shared" si="5"/>
        <v>9.765625E-4</v>
      </c>
      <c r="U53">
        <f t="shared" si="5"/>
        <v>3.515625E-2</v>
      </c>
      <c r="V53">
        <f t="shared" si="5"/>
        <v>9.765625E-4</v>
      </c>
      <c r="W53">
        <f t="shared" si="5"/>
        <v>9.765625E-4</v>
      </c>
      <c r="X53" s="11">
        <f t="shared" si="5"/>
        <v>7.91015625E-2</v>
      </c>
    </row>
    <row r="54" spans="6:24" x14ac:dyDescent="0.2">
      <c r="F54" s="17">
        <f>SUM(G54:V54)</f>
        <v>9.9489795918367346E-2</v>
      </c>
      <c r="G54">
        <f t="shared" si="6"/>
        <v>1.2755102040816326E-3</v>
      </c>
      <c r="H54">
        <f t="shared" si="5"/>
        <v>1.2755102040816326E-3</v>
      </c>
      <c r="I54">
        <f t="shared" si="5"/>
        <v>1.2755102040816326E-3</v>
      </c>
      <c r="J54">
        <f t="shared" si="5"/>
        <v>1.2755102040816326E-3</v>
      </c>
      <c r="K54">
        <f t="shared" si="5"/>
        <v>1.2755102040816326E-3</v>
      </c>
      <c r="L54">
        <f t="shared" si="5"/>
        <v>1.2755102040816326E-3</v>
      </c>
      <c r="M54">
        <f t="shared" si="5"/>
        <v>1.2755102040816326E-3</v>
      </c>
      <c r="N54">
        <f t="shared" si="5"/>
        <v>5.1020408163265302E-3</v>
      </c>
      <c r="O54">
        <f t="shared" si="5"/>
        <v>5.1020408163265302E-3</v>
      </c>
      <c r="P54">
        <f t="shared" si="5"/>
        <v>1.2755102040816326E-3</v>
      </c>
      <c r="Q54">
        <f t="shared" si="5"/>
        <v>1.2755102040816326E-3</v>
      </c>
      <c r="R54">
        <f t="shared" si="5"/>
        <v>5.1020408163265302E-3</v>
      </c>
      <c r="S54">
        <f t="shared" si="5"/>
        <v>5.1020408163265302E-3</v>
      </c>
      <c r="T54">
        <f t="shared" si="5"/>
        <v>2.0408163265306121E-2</v>
      </c>
      <c r="U54">
        <f t="shared" si="5"/>
        <v>1.2755102040816326E-3</v>
      </c>
      <c r="V54">
        <f t="shared" si="5"/>
        <v>4.5918367346938771E-2</v>
      </c>
      <c r="X54" s="11"/>
    </row>
    <row r="55" spans="6:24" x14ac:dyDescent="0.2">
      <c r="F55" s="17">
        <f>SUM(G55:V55)</f>
        <v>0.19896193771626297</v>
      </c>
      <c r="G55">
        <f t="shared" si="6"/>
        <v>8.6505190311418688E-4</v>
      </c>
      <c r="H55">
        <f t="shared" si="5"/>
        <v>8.6505190311418688E-4</v>
      </c>
      <c r="I55">
        <f t="shared" si="5"/>
        <v>8.6505190311418688E-4</v>
      </c>
      <c r="J55">
        <f t="shared" si="5"/>
        <v>8.6505190311418688E-4</v>
      </c>
      <c r="K55">
        <f t="shared" si="5"/>
        <v>8.6505190311418688E-4</v>
      </c>
      <c r="L55">
        <f t="shared" si="5"/>
        <v>8.6505190311418688E-4</v>
      </c>
      <c r="M55">
        <f t="shared" si="5"/>
        <v>8.6505190311418688E-4</v>
      </c>
      <c r="N55">
        <f t="shared" si="5"/>
        <v>8.6505190311418688E-4</v>
      </c>
      <c r="O55">
        <f t="shared" si="5"/>
        <v>8.6505190311418688E-4</v>
      </c>
      <c r="P55">
        <f t="shared" si="5"/>
        <v>8.6505190311418688E-4</v>
      </c>
      <c r="Q55">
        <f t="shared" si="5"/>
        <v>3.4602076124567475E-3</v>
      </c>
      <c r="R55">
        <f t="shared" si="5"/>
        <v>8.6505190311418688E-4</v>
      </c>
      <c r="S55">
        <f t="shared" si="5"/>
        <v>7.785467128027683E-3</v>
      </c>
      <c r="T55">
        <f t="shared" si="5"/>
        <v>7.785467128027683E-3</v>
      </c>
      <c r="U55">
        <f t="shared" si="5"/>
        <v>8.6505190311418688E-4</v>
      </c>
      <c r="V55">
        <f t="shared" si="5"/>
        <v>0.16955017301038061</v>
      </c>
      <c r="X55" s="11"/>
    </row>
    <row r="56" spans="6:24" x14ac:dyDescent="0.2">
      <c r="F56" s="17">
        <f>SUM(G56:V56)</f>
        <v>0.18418314255983351</v>
      </c>
      <c r="G56">
        <f t="shared" si="6"/>
        <v>1.0405827263267429E-3</v>
      </c>
      <c r="H56">
        <f t="shared" si="5"/>
        <v>1.0405827263267429E-3</v>
      </c>
      <c r="I56">
        <f t="shared" si="5"/>
        <v>1.0405827263267429E-3</v>
      </c>
      <c r="J56">
        <f t="shared" si="5"/>
        <v>1.0405827263267429E-3</v>
      </c>
      <c r="K56">
        <f t="shared" si="5"/>
        <v>1.0405827263267429E-3</v>
      </c>
      <c r="L56">
        <f t="shared" si="5"/>
        <v>1.0405827263267429E-3</v>
      </c>
      <c r="M56">
        <f t="shared" si="5"/>
        <v>1.0405827263267429E-3</v>
      </c>
      <c r="N56">
        <f t="shared" si="5"/>
        <v>1.0405827263267429E-3</v>
      </c>
      <c r="O56">
        <f t="shared" si="5"/>
        <v>1.0405827263267429E-3</v>
      </c>
      <c r="P56">
        <f t="shared" si="5"/>
        <v>1.0405827263267429E-3</v>
      </c>
      <c r="Q56">
        <f t="shared" si="5"/>
        <v>4.1623309053069714E-3</v>
      </c>
      <c r="R56">
        <f t="shared" si="5"/>
        <v>1.0405827263267429E-3</v>
      </c>
      <c r="S56">
        <f t="shared" si="5"/>
        <v>1.0405827263267429E-3</v>
      </c>
      <c r="T56">
        <f t="shared" si="5"/>
        <v>1.6649323621227886E-2</v>
      </c>
      <c r="U56">
        <f t="shared" si="5"/>
        <v>1.0405827263267429E-3</v>
      </c>
      <c r="V56">
        <f t="shared" si="5"/>
        <v>0.14984391259105098</v>
      </c>
      <c r="X56" s="11"/>
    </row>
    <row r="57" spans="6:24" x14ac:dyDescent="0.2">
      <c r="F57" s="17">
        <f>SUM(G57:W57)</f>
        <v>0.19140625</v>
      </c>
      <c r="G57">
        <f t="shared" si="6"/>
        <v>9.765625E-4</v>
      </c>
      <c r="H57">
        <f t="shared" si="5"/>
        <v>9.765625E-4</v>
      </c>
      <c r="I57">
        <f t="shared" si="5"/>
        <v>9.765625E-4</v>
      </c>
      <c r="J57">
        <f t="shared" si="5"/>
        <v>9.765625E-4</v>
      </c>
      <c r="K57">
        <f t="shared" si="5"/>
        <v>9.765625E-4</v>
      </c>
      <c r="L57">
        <f t="shared" si="5"/>
        <v>9.765625E-4</v>
      </c>
      <c r="M57">
        <f t="shared" si="5"/>
        <v>9.765625E-4</v>
      </c>
      <c r="N57">
        <f t="shared" si="5"/>
        <v>9.765625E-4</v>
      </c>
      <c r="O57">
        <f t="shared" si="5"/>
        <v>8.7890625E-3</v>
      </c>
      <c r="P57">
        <f t="shared" si="5"/>
        <v>9.765625E-4</v>
      </c>
      <c r="Q57">
        <f t="shared" si="5"/>
        <v>9.765625E-4</v>
      </c>
      <c r="R57">
        <f t="shared" si="5"/>
        <v>9.765625E-4</v>
      </c>
      <c r="S57">
        <f t="shared" si="5"/>
        <v>9.765625E-4</v>
      </c>
      <c r="T57">
        <f t="shared" si="5"/>
        <v>9.765625E-4</v>
      </c>
      <c r="U57">
        <f t="shared" si="5"/>
        <v>3.90625E-3</v>
      </c>
      <c r="V57">
        <f t="shared" si="5"/>
        <v>9.765625E-4</v>
      </c>
      <c r="W57">
        <f t="shared" si="5"/>
        <v>0.1650390625</v>
      </c>
      <c r="X57" s="11"/>
    </row>
    <row r="58" spans="6:24" x14ac:dyDescent="0.2">
      <c r="F58" s="17">
        <f>SUM(G58:V58)</f>
        <v>0.13671875</v>
      </c>
      <c r="G58">
        <f t="shared" si="6"/>
        <v>9.765625E-4</v>
      </c>
      <c r="H58">
        <f t="shared" si="5"/>
        <v>9.765625E-4</v>
      </c>
      <c r="I58">
        <f t="shared" si="5"/>
        <v>9.765625E-4</v>
      </c>
      <c r="J58">
        <f t="shared" si="5"/>
        <v>9.765625E-4</v>
      </c>
      <c r="K58">
        <f t="shared" si="5"/>
        <v>9.765625E-4</v>
      </c>
      <c r="L58">
        <f t="shared" si="5"/>
        <v>9.765625E-4</v>
      </c>
      <c r="M58">
        <f t="shared" si="5"/>
        <v>9.765625E-4</v>
      </c>
      <c r="N58">
        <f t="shared" si="5"/>
        <v>9.765625E-4</v>
      </c>
      <c r="O58">
        <f t="shared" si="5"/>
        <v>9.765625E-4</v>
      </c>
      <c r="P58">
        <f t="shared" si="5"/>
        <v>3.90625E-3</v>
      </c>
      <c r="Q58">
        <f t="shared" si="5"/>
        <v>8.7890625E-3</v>
      </c>
      <c r="R58">
        <f t="shared" si="5"/>
        <v>9.765625E-4</v>
      </c>
      <c r="S58">
        <f t="shared" si="5"/>
        <v>8.7890625E-3</v>
      </c>
      <c r="T58">
        <f t="shared" si="5"/>
        <v>3.90625E-3</v>
      </c>
      <c r="U58">
        <f t="shared" si="5"/>
        <v>3.90625E-3</v>
      </c>
      <c r="V58">
        <f t="shared" si="5"/>
        <v>9.765625E-2</v>
      </c>
      <c r="X58" s="11"/>
    </row>
    <row r="59" spans="6:24" x14ac:dyDescent="0.2">
      <c r="F59" s="17">
        <f>SUM(G59:T59)</f>
        <v>0.24222222222222223</v>
      </c>
      <c r="G59">
        <f t="shared" si="6"/>
        <v>1.1111111111111111E-3</v>
      </c>
      <c r="H59">
        <f t="shared" si="5"/>
        <v>1.1111111111111111E-3</v>
      </c>
      <c r="I59">
        <f t="shared" si="5"/>
        <v>1.1111111111111111E-3</v>
      </c>
      <c r="J59">
        <f t="shared" si="5"/>
        <v>1.1111111111111111E-3</v>
      </c>
      <c r="K59">
        <f t="shared" si="5"/>
        <v>1.1111111111111111E-3</v>
      </c>
      <c r="L59">
        <f t="shared" si="5"/>
        <v>4.4444444444444444E-3</v>
      </c>
      <c r="M59">
        <f t="shared" si="5"/>
        <v>1.1111111111111111E-3</v>
      </c>
      <c r="N59">
        <f t="shared" si="5"/>
        <v>1.1111111111111111E-3</v>
      </c>
      <c r="O59">
        <f t="shared" si="5"/>
        <v>1.1111111111111111E-3</v>
      </c>
      <c r="P59">
        <f t="shared" si="5"/>
        <v>1.1111111111111111E-3</v>
      </c>
      <c r="Q59">
        <f t="shared" si="5"/>
        <v>4.4444444444444444E-3</v>
      </c>
      <c r="R59">
        <f t="shared" si="5"/>
        <v>4.4444444444444444E-3</v>
      </c>
      <c r="S59">
        <f t="shared" si="5"/>
        <v>1.1111111111111111E-3</v>
      </c>
      <c r="T59">
        <f t="shared" si="5"/>
        <v>0.21777777777777779</v>
      </c>
      <c r="X59" s="11"/>
    </row>
    <row r="60" spans="6:24" x14ac:dyDescent="0.2">
      <c r="F60" s="17">
        <f>SUM(G60:X60)</f>
        <v>0.12802768166089967</v>
      </c>
      <c r="G60">
        <f t="shared" si="6"/>
        <v>8.6505190311418688E-4</v>
      </c>
      <c r="H60">
        <f t="shared" si="5"/>
        <v>8.6505190311418688E-4</v>
      </c>
      <c r="I60">
        <f t="shared" si="5"/>
        <v>8.6505190311418688E-4</v>
      </c>
      <c r="J60">
        <f t="shared" si="5"/>
        <v>8.6505190311418688E-4</v>
      </c>
      <c r="K60">
        <f t="shared" si="5"/>
        <v>8.6505190311418688E-4</v>
      </c>
      <c r="L60">
        <f t="shared" si="5"/>
        <v>8.6505190311418688E-4</v>
      </c>
      <c r="M60">
        <f t="shared" si="5"/>
        <v>8.6505190311418688E-4</v>
      </c>
      <c r="N60">
        <f t="shared" si="5"/>
        <v>8.6505190311418688E-4</v>
      </c>
      <c r="O60">
        <f t="shared" si="5"/>
        <v>8.6505190311418688E-4</v>
      </c>
      <c r="P60">
        <f t="shared" si="5"/>
        <v>8.6505190311418688E-4</v>
      </c>
      <c r="Q60">
        <f t="shared" si="5"/>
        <v>8.6505190311418688E-4</v>
      </c>
      <c r="R60">
        <f t="shared" si="5"/>
        <v>7.785467128027683E-3</v>
      </c>
      <c r="S60">
        <f t="shared" si="5"/>
        <v>7.785467128027683E-3</v>
      </c>
      <c r="T60">
        <f t="shared" si="5"/>
        <v>8.6505190311418688E-4</v>
      </c>
      <c r="U60">
        <f t="shared" si="5"/>
        <v>8.6505190311418688E-4</v>
      </c>
      <c r="V60">
        <f t="shared" si="5"/>
        <v>8.6505190311418688E-4</v>
      </c>
      <c r="W60">
        <f t="shared" si="5"/>
        <v>1.384083044982699E-2</v>
      </c>
      <c r="X60" s="11">
        <f t="shared" si="5"/>
        <v>8.6505190311418692E-2</v>
      </c>
    </row>
    <row r="61" spans="6:24" x14ac:dyDescent="0.2">
      <c r="F61" s="17">
        <f t="array" ref="F61">SUM(G61:U61)</f>
        <v>0.216796875</v>
      </c>
      <c r="G61">
        <f>G39^2</f>
        <v>9.765625E-4</v>
      </c>
      <c r="H61">
        <f t="shared" ref="H61:V65" si="7">H39^2</f>
        <v>9.765625E-4</v>
      </c>
      <c r="I61">
        <f t="shared" si="7"/>
        <v>9.765625E-4</v>
      </c>
      <c r="J61">
        <f t="shared" si="7"/>
        <v>9.765625E-4</v>
      </c>
      <c r="K61">
        <f t="shared" si="7"/>
        <v>9.765625E-4</v>
      </c>
      <c r="L61">
        <f t="shared" si="7"/>
        <v>9.765625E-4</v>
      </c>
      <c r="M61">
        <f t="shared" si="7"/>
        <v>3.90625E-3</v>
      </c>
      <c r="N61">
        <f t="shared" si="7"/>
        <v>9.765625E-4</v>
      </c>
      <c r="O61">
        <f t="shared" si="7"/>
        <v>9.765625E-4</v>
      </c>
      <c r="P61">
        <f t="shared" si="7"/>
        <v>3.90625E-3</v>
      </c>
      <c r="Q61">
        <f t="shared" si="7"/>
        <v>3.90625E-3</v>
      </c>
      <c r="R61">
        <f t="shared" si="7"/>
        <v>9.765625E-4</v>
      </c>
      <c r="S61">
        <f t="shared" si="7"/>
        <v>9.765625E-4</v>
      </c>
      <c r="T61">
        <f t="shared" si="7"/>
        <v>3.90625E-3</v>
      </c>
      <c r="U61">
        <f t="shared" si="7"/>
        <v>0.19140625</v>
      </c>
      <c r="X61" s="11"/>
    </row>
    <row r="62" spans="6:24" x14ac:dyDescent="0.2">
      <c r="F62" s="17">
        <f>SUM(G62:U62)</f>
        <v>0.25803489439853078</v>
      </c>
      <c r="G62">
        <f t="shared" si="6"/>
        <v>9.1827364554637292E-4</v>
      </c>
      <c r="H62">
        <f t="shared" si="7"/>
        <v>9.1827364554637292E-4</v>
      </c>
      <c r="I62">
        <f t="shared" si="7"/>
        <v>9.1827364554637292E-4</v>
      </c>
      <c r="J62">
        <f t="shared" si="7"/>
        <v>9.1827364554637292E-4</v>
      </c>
      <c r="K62">
        <f t="shared" si="7"/>
        <v>9.1827364554637292E-4</v>
      </c>
      <c r="L62">
        <f t="shared" si="7"/>
        <v>9.1827364554637292E-4</v>
      </c>
      <c r="M62">
        <f t="shared" si="7"/>
        <v>9.1827364554637292E-4</v>
      </c>
      <c r="N62">
        <f t="shared" si="7"/>
        <v>9.1827364554637292E-4</v>
      </c>
      <c r="O62">
        <f t="shared" si="7"/>
        <v>9.1827364554637292E-4</v>
      </c>
      <c r="P62">
        <f t="shared" si="7"/>
        <v>9.1827364554637292E-4</v>
      </c>
      <c r="Q62">
        <f t="shared" si="7"/>
        <v>9.1827364554637292E-4</v>
      </c>
      <c r="R62">
        <f t="shared" si="7"/>
        <v>9.1827364554637292E-4</v>
      </c>
      <c r="S62">
        <f t="shared" si="7"/>
        <v>8.2644628099173556E-3</v>
      </c>
      <c r="T62">
        <f t="shared" si="7"/>
        <v>3.6730945821854917E-3</v>
      </c>
      <c r="U62">
        <f t="shared" si="7"/>
        <v>0.23507805325987147</v>
      </c>
      <c r="X62" s="11"/>
    </row>
    <row r="63" spans="6:24" x14ac:dyDescent="0.2">
      <c r="F63" s="17">
        <f>SUM(G63:U63)</f>
        <v>0.12666666666666668</v>
      </c>
      <c r="G63">
        <f t="shared" si="6"/>
        <v>1.1111111111111111E-3</v>
      </c>
      <c r="H63">
        <f t="shared" si="7"/>
        <v>1.1111111111111111E-3</v>
      </c>
      <c r="I63">
        <f t="shared" si="7"/>
        <v>1.1111111111111111E-3</v>
      </c>
      <c r="J63">
        <f t="shared" si="7"/>
        <v>1.1111111111111111E-3</v>
      </c>
      <c r="K63">
        <f t="shared" si="7"/>
        <v>4.4444444444444444E-3</v>
      </c>
      <c r="L63">
        <f t="shared" si="7"/>
        <v>1.1111111111111111E-3</v>
      </c>
      <c r="M63">
        <f t="shared" si="7"/>
        <v>1.1111111111111111E-3</v>
      </c>
      <c r="N63">
        <f t="shared" si="7"/>
        <v>4.4444444444444444E-3</v>
      </c>
      <c r="O63">
        <f t="shared" si="7"/>
        <v>1.1111111111111111E-3</v>
      </c>
      <c r="P63">
        <f t="shared" si="7"/>
        <v>1.1111111111111111E-3</v>
      </c>
      <c r="Q63">
        <f t="shared" si="7"/>
        <v>1.7777777777777778E-2</v>
      </c>
      <c r="R63">
        <f t="shared" si="7"/>
        <v>1.1111111111111111E-3</v>
      </c>
      <c r="S63">
        <f t="shared" si="7"/>
        <v>1.7777777777777778E-2</v>
      </c>
      <c r="T63">
        <f t="shared" si="7"/>
        <v>1.1111111111111111E-3</v>
      </c>
      <c r="U63">
        <f t="shared" si="7"/>
        <v>7.1111111111111111E-2</v>
      </c>
      <c r="X63" s="11"/>
    </row>
    <row r="64" spans="6:24" x14ac:dyDescent="0.2">
      <c r="F64" s="17">
        <f>SUM(G64:M64)</f>
        <v>0.34979423868312759</v>
      </c>
      <c r="G64">
        <f t="shared" si="6"/>
        <v>1.3717421124828531E-3</v>
      </c>
      <c r="H64">
        <f t="shared" si="7"/>
        <v>1.3717421124828531E-3</v>
      </c>
      <c r="I64">
        <f t="shared" si="7"/>
        <v>1.2345679012345678E-2</v>
      </c>
      <c r="J64">
        <f t="shared" si="7"/>
        <v>1.2345679012345678E-2</v>
      </c>
      <c r="K64">
        <f t="shared" si="7"/>
        <v>1.3717421124828531E-3</v>
      </c>
      <c r="L64">
        <f t="shared" si="7"/>
        <v>1.2345679012345678E-2</v>
      </c>
      <c r="M64">
        <f t="shared" si="7"/>
        <v>0.30864197530864201</v>
      </c>
      <c r="X64" s="11"/>
    </row>
    <row r="65" spans="6:24" x14ac:dyDescent="0.2">
      <c r="F65" s="20">
        <f>SUM(G65:V65)</f>
        <v>0.2097959183673469</v>
      </c>
      <c r="G65" s="7">
        <f t="shared" si="6"/>
        <v>8.1632653061224482E-4</v>
      </c>
      <c r="H65" s="7">
        <f t="shared" si="7"/>
        <v>8.1632653061224482E-4</v>
      </c>
      <c r="I65" s="7">
        <f t="shared" si="7"/>
        <v>3.2653061224489793E-3</v>
      </c>
      <c r="J65" s="7">
        <f t="shared" si="7"/>
        <v>3.2653061224489793E-3</v>
      </c>
      <c r="K65" s="7">
        <f t="shared" si="7"/>
        <v>8.1632653061224482E-4</v>
      </c>
      <c r="L65" s="7">
        <f t="shared" si="7"/>
        <v>8.1632653061224482E-4</v>
      </c>
      <c r="M65" s="7">
        <f t="shared" si="7"/>
        <v>8.1632653061224482E-4</v>
      </c>
      <c r="N65" s="7">
        <f t="shared" si="7"/>
        <v>8.1632653061224482E-4</v>
      </c>
      <c r="O65" s="7">
        <f t="shared" si="7"/>
        <v>8.1632653061224482E-4</v>
      </c>
      <c r="P65" s="7">
        <f t="shared" si="7"/>
        <v>8.1632653061224482E-4</v>
      </c>
      <c r="Q65" s="7">
        <f t="shared" si="7"/>
        <v>8.1632653061224482E-4</v>
      </c>
      <c r="R65" s="7">
        <f t="shared" si="7"/>
        <v>3.2653061224489793E-3</v>
      </c>
      <c r="S65" s="7">
        <f t="shared" si="7"/>
        <v>8.1632653061224482E-4</v>
      </c>
      <c r="T65" s="7">
        <f t="shared" si="7"/>
        <v>7.3469387755102046E-3</v>
      </c>
      <c r="U65" s="7">
        <f t="shared" si="7"/>
        <v>8.1632653061224482E-4</v>
      </c>
      <c r="V65" s="7">
        <f t="shared" si="7"/>
        <v>0.18367346938775508</v>
      </c>
      <c r="W65" s="7"/>
      <c r="X65" s="12"/>
    </row>
  </sheetData>
  <mergeCells count="3">
    <mergeCell ref="G23:X23"/>
    <mergeCell ref="G1:X1"/>
    <mergeCell ref="G45:X45"/>
  </mergeCells>
  <pageMargins left="0.7" right="0.7" top="0.75" bottom="0.75" header="0.3" footer="0.3"/>
  <ignoredErrors>
    <ignoredError sqref="C13 F35 F57 Z1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E07E-3915-814B-B6A7-06F03408891A}">
  <dimension ref="A1:AJ65"/>
  <sheetViews>
    <sheetView workbookViewId="0">
      <selection activeCell="A22" sqref="A22"/>
    </sheetView>
  </sheetViews>
  <sheetFormatPr baseColWidth="10" defaultRowHeight="16" x14ac:dyDescent="0.2"/>
  <cols>
    <col min="1" max="1" width="19.33203125" bestFit="1" customWidth="1"/>
    <col min="2" max="2" width="13.6640625" bestFit="1" customWidth="1"/>
    <col min="3" max="3" width="22.1640625" bestFit="1" customWidth="1"/>
    <col min="4" max="4" width="13.6640625" bestFit="1" customWidth="1"/>
    <col min="6" max="6" width="19.33203125" bestFit="1" customWidth="1"/>
    <col min="7" max="28" width="12.1640625" bestFit="1" customWidth="1"/>
    <col min="29" max="29" width="11.1640625" bestFit="1" customWidth="1"/>
    <col min="30" max="30" width="12.1640625" bestFit="1" customWidth="1"/>
    <col min="32" max="32" width="37.5" bestFit="1" customWidth="1"/>
    <col min="33" max="33" width="44" bestFit="1" customWidth="1"/>
  </cols>
  <sheetData>
    <row r="1" spans="1:33" x14ac:dyDescent="0.2">
      <c r="A1" s="16" t="s">
        <v>0</v>
      </c>
      <c r="B1" s="16" t="s">
        <v>114</v>
      </c>
      <c r="C1" s="16" t="s">
        <v>115</v>
      </c>
      <c r="D1" s="16" t="s">
        <v>116</v>
      </c>
      <c r="F1" s="16" t="s">
        <v>0</v>
      </c>
      <c r="G1" s="32" t="s">
        <v>111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F1" s="16" t="s">
        <v>122</v>
      </c>
      <c r="AG1" s="16" t="s">
        <v>123</v>
      </c>
    </row>
    <row r="2" spans="1:33" x14ac:dyDescent="0.2">
      <c r="A2" s="16" t="s">
        <v>33</v>
      </c>
      <c r="B2" s="16">
        <v>35</v>
      </c>
      <c r="C2" s="16">
        <f>SUM(G2:W2)</f>
        <v>27</v>
      </c>
      <c r="D2" s="16">
        <v>0.14128943758573387</v>
      </c>
      <c r="F2" s="16" t="s">
        <v>33</v>
      </c>
      <c r="G2" s="16">
        <v>1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2</v>
      </c>
      <c r="N2" s="16">
        <v>1</v>
      </c>
      <c r="O2" s="16">
        <v>1</v>
      </c>
      <c r="P2" s="16">
        <v>1</v>
      </c>
      <c r="Q2" s="16">
        <v>2</v>
      </c>
      <c r="R2" s="16">
        <v>1</v>
      </c>
      <c r="S2" s="16">
        <v>1</v>
      </c>
      <c r="T2" s="16">
        <v>1</v>
      </c>
      <c r="U2" s="16">
        <v>1</v>
      </c>
      <c r="V2" s="16">
        <v>1</v>
      </c>
      <c r="W2" s="16">
        <v>9</v>
      </c>
      <c r="X2" s="16"/>
      <c r="Y2" s="16"/>
      <c r="Z2" s="16"/>
      <c r="AA2" s="16"/>
      <c r="AB2" s="16"/>
      <c r="AC2" s="16"/>
      <c r="AD2" s="16"/>
      <c r="AF2" s="16">
        <f>W2</f>
        <v>9</v>
      </c>
      <c r="AG2" s="16">
        <f>AF2/C2</f>
        <v>0.33333333333333331</v>
      </c>
    </row>
    <row r="3" spans="1:33" x14ac:dyDescent="0.2">
      <c r="A3" s="16" t="s">
        <v>31</v>
      </c>
      <c r="B3" s="16">
        <v>41</v>
      </c>
      <c r="C3" s="16">
        <f>SUM(G3:R3)</f>
        <v>27</v>
      </c>
      <c r="D3" s="16">
        <v>0.15500685871056241</v>
      </c>
      <c r="F3" s="16" t="s">
        <v>31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2</v>
      </c>
      <c r="M3" s="16">
        <v>1</v>
      </c>
      <c r="N3" s="16">
        <v>1</v>
      </c>
      <c r="O3" s="16">
        <v>1</v>
      </c>
      <c r="P3" s="16">
        <v>4</v>
      </c>
      <c r="Q3" s="16">
        <v>6</v>
      </c>
      <c r="R3" s="16">
        <v>7</v>
      </c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F3" s="16">
        <f>R3</f>
        <v>7</v>
      </c>
      <c r="AG3" s="16">
        <f t="shared" ref="AG3:AG21" si="0">AF3/C3</f>
        <v>0.25925925925925924</v>
      </c>
    </row>
    <row r="4" spans="1:33" x14ac:dyDescent="0.2">
      <c r="A4" s="16" t="s">
        <v>4</v>
      </c>
      <c r="B4" s="16">
        <v>31</v>
      </c>
      <c r="C4" s="16">
        <f>SUM(G4:Q4)</f>
        <v>27</v>
      </c>
      <c r="D4" s="16">
        <v>0.27023319615912206</v>
      </c>
      <c r="F4" s="16" t="s">
        <v>4</v>
      </c>
      <c r="G4" s="16">
        <v>1</v>
      </c>
      <c r="H4" s="16">
        <v>1</v>
      </c>
      <c r="I4" s="16">
        <v>1</v>
      </c>
      <c r="J4" s="16">
        <v>1</v>
      </c>
      <c r="K4" s="16">
        <v>1</v>
      </c>
      <c r="L4" s="16">
        <v>2</v>
      </c>
      <c r="M4" s="16">
        <v>1</v>
      </c>
      <c r="N4" s="16">
        <v>4</v>
      </c>
      <c r="O4" s="16">
        <v>1</v>
      </c>
      <c r="P4" s="16">
        <v>1</v>
      </c>
      <c r="Q4" s="16">
        <v>13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F4" s="16">
        <f>Q4</f>
        <v>13</v>
      </c>
      <c r="AG4" s="16">
        <f t="shared" si="0"/>
        <v>0.48148148148148145</v>
      </c>
    </row>
    <row r="5" spans="1:33" x14ac:dyDescent="0.2">
      <c r="A5" s="16" t="s">
        <v>1</v>
      </c>
      <c r="B5" s="16">
        <v>38</v>
      </c>
      <c r="C5" s="16">
        <f>SUM(G5:Q5)</f>
        <v>35</v>
      </c>
      <c r="D5" s="16">
        <v>0.14612244897959181</v>
      </c>
      <c r="F5" s="16" t="s">
        <v>1</v>
      </c>
      <c r="G5" s="16">
        <v>1</v>
      </c>
      <c r="H5" s="16">
        <v>1</v>
      </c>
      <c r="I5" s="16">
        <v>2</v>
      </c>
      <c r="J5" s="16">
        <v>1</v>
      </c>
      <c r="K5" s="16">
        <v>2</v>
      </c>
      <c r="L5" s="16">
        <v>1</v>
      </c>
      <c r="M5" s="16">
        <v>6</v>
      </c>
      <c r="N5" s="16">
        <v>3</v>
      </c>
      <c r="O5" s="16">
        <v>5</v>
      </c>
      <c r="P5" s="16">
        <v>4</v>
      </c>
      <c r="Q5" s="16">
        <v>9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F5" s="16">
        <f>Q5</f>
        <v>9</v>
      </c>
      <c r="AG5" s="16">
        <f t="shared" si="0"/>
        <v>0.25714285714285712</v>
      </c>
    </row>
    <row r="6" spans="1:33" x14ac:dyDescent="0.2">
      <c r="A6" s="16" t="s">
        <v>25</v>
      </c>
      <c r="B6" s="16">
        <v>44</v>
      </c>
      <c r="C6" s="16">
        <f>SUM(G6:V6)</f>
        <v>38</v>
      </c>
      <c r="D6" s="16">
        <v>0.18559556786703602</v>
      </c>
      <c r="F6" s="16" t="s">
        <v>25</v>
      </c>
      <c r="G6" s="16">
        <v>1</v>
      </c>
      <c r="H6" s="16">
        <v>1</v>
      </c>
      <c r="I6" s="16">
        <v>1</v>
      </c>
      <c r="J6" s="16">
        <v>1</v>
      </c>
      <c r="K6" s="16">
        <v>2</v>
      </c>
      <c r="L6" s="16">
        <v>1</v>
      </c>
      <c r="M6" s="16">
        <v>1</v>
      </c>
      <c r="N6" s="16">
        <v>1</v>
      </c>
      <c r="O6" s="16">
        <v>2</v>
      </c>
      <c r="P6" s="16">
        <v>1</v>
      </c>
      <c r="Q6" s="16">
        <v>2</v>
      </c>
      <c r="R6" s="16">
        <v>3</v>
      </c>
      <c r="S6" s="16">
        <v>1</v>
      </c>
      <c r="T6" s="16">
        <v>3</v>
      </c>
      <c r="U6" s="16">
        <v>2</v>
      </c>
      <c r="V6" s="16">
        <v>15</v>
      </c>
      <c r="W6" s="16"/>
      <c r="X6" s="16"/>
      <c r="Y6" s="16"/>
      <c r="Z6" s="16"/>
      <c r="AA6" s="16"/>
      <c r="AB6" s="16"/>
      <c r="AC6" s="16"/>
      <c r="AD6" s="16"/>
      <c r="AF6" s="16">
        <f>V6</f>
        <v>15</v>
      </c>
      <c r="AG6" s="16">
        <f t="shared" si="0"/>
        <v>0.39473684210526316</v>
      </c>
    </row>
    <row r="7" spans="1:33" x14ac:dyDescent="0.2">
      <c r="A7" s="16" t="s">
        <v>7</v>
      </c>
      <c r="B7" s="16">
        <v>35</v>
      </c>
      <c r="C7" s="16">
        <f>SUM(G7:U7)</f>
        <v>28</v>
      </c>
      <c r="D7" s="16">
        <v>0.16326530612244899</v>
      </c>
      <c r="F7" s="16" t="s">
        <v>7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2</v>
      </c>
      <c r="N7" s="16">
        <v>1</v>
      </c>
      <c r="O7" s="16">
        <v>1</v>
      </c>
      <c r="P7" s="16">
        <v>1</v>
      </c>
      <c r="Q7" s="16">
        <v>1</v>
      </c>
      <c r="R7" s="16">
        <v>3</v>
      </c>
      <c r="S7" s="16">
        <v>1</v>
      </c>
      <c r="T7" s="16">
        <v>2</v>
      </c>
      <c r="U7" s="16">
        <v>10</v>
      </c>
      <c r="V7" s="16"/>
      <c r="W7" s="16"/>
      <c r="X7" s="16"/>
      <c r="Y7" s="16"/>
      <c r="Z7" s="16"/>
      <c r="AA7" s="16"/>
      <c r="AB7" s="16"/>
      <c r="AC7" s="16"/>
      <c r="AD7" s="16"/>
      <c r="AF7" s="16">
        <f>U7</f>
        <v>10</v>
      </c>
      <c r="AG7" s="16">
        <f t="shared" si="0"/>
        <v>0.35714285714285715</v>
      </c>
    </row>
    <row r="8" spans="1:33" x14ac:dyDescent="0.2">
      <c r="A8" s="16" t="s">
        <v>11</v>
      </c>
      <c r="B8" s="16">
        <v>50</v>
      </c>
      <c r="C8" s="16">
        <f>SUM(G8:AB8)</f>
        <v>39</v>
      </c>
      <c r="D8" s="16">
        <v>0.13609467455621299</v>
      </c>
      <c r="F8" s="16" t="s">
        <v>11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2</v>
      </c>
      <c r="T8" s="16">
        <v>1</v>
      </c>
      <c r="U8" s="16">
        <v>2</v>
      </c>
      <c r="V8" s="16">
        <v>2</v>
      </c>
      <c r="W8" s="16">
        <v>1</v>
      </c>
      <c r="X8" s="16">
        <v>1</v>
      </c>
      <c r="Y8" s="16">
        <v>3</v>
      </c>
      <c r="Z8" s="16">
        <v>1</v>
      </c>
      <c r="AA8" s="16">
        <v>1</v>
      </c>
      <c r="AB8" s="16">
        <v>13</v>
      </c>
      <c r="AC8" s="16"/>
      <c r="AD8" s="16"/>
      <c r="AF8" s="16">
        <f>AB8</f>
        <v>13</v>
      </c>
      <c r="AG8" s="16">
        <f t="shared" si="0"/>
        <v>0.33333333333333331</v>
      </c>
    </row>
    <row r="9" spans="1:33" x14ac:dyDescent="0.2">
      <c r="A9" s="16" t="s">
        <v>3</v>
      </c>
      <c r="B9" s="16">
        <v>44</v>
      </c>
      <c r="C9" s="16">
        <f>SUM(G9:U9)</f>
        <v>36</v>
      </c>
      <c r="D9" s="16">
        <v>0.18518518518518517</v>
      </c>
      <c r="F9" s="16" t="s">
        <v>3</v>
      </c>
      <c r="G9" s="16">
        <v>1</v>
      </c>
      <c r="H9" s="16">
        <v>1</v>
      </c>
      <c r="I9" s="16">
        <v>1</v>
      </c>
      <c r="J9" s="16">
        <v>1</v>
      </c>
      <c r="K9" s="16">
        <v>2</v>
      </c>
      <c r="L9" s="16">
        <v>1</v>
      </c>
      <c r="M9" s="16">
        <v>1</v>
      </c>
      <c r="N9" s="16">
        <v>1</v>
      </c>
      <c r="O9" s="16">
        <v>3</v>
      </c>
      <c r="P9" s="16">
        <v>1</v>
      </c>
      <c r="Q9" s="16">
        <v>2</v>
      </c>
      <c r="R9" s="16">
        <v>3</v>
      </c>
      <c r="S9" s="16">
        <v>3</v>
      </c>
      <c r="T9" s="16">
        <v>1</v>
      </c>
      <c r="U9" s="16">
        <v>14</v>
      </c>
      <c r="V9" s="16"/>
      <c r="W9" s="16"/>
      <c r="X9" s="16"/>
      <c r="Y9" s="16"/>
      <c r="Z9" s="16"/>
      <c r="AA9" s="16"/>
      <c r="AB9" s="16"/>
      <c r="AC9" s="16"/>
      <c r="AD9" s="16"/>
      <c r="AF9" s="16">
        <f>U9</f>
        <v>14</v>
      </c>
      <c r="AG9" s="16">
        <f t="shared" si="0"/>
        <v>0.3888888888888889</v>
      </c>
    </row>
    <row r="10" spans="1:33" x14ac:dyDescent="0.2">
      <c r="A10" s="16" t="s">
        <v>13</v>
      </c>
      <c r="B10" s="16">
        <v>31</v>
      </c>
      <c r="C10" s="16">
        <f>SUM(G10:U10)</f>
        <v>30</v>
      </c>
      <c r="D10" s="16">
        <v>0.10666666666666669</v>
      </c>
      <c r="F10" s="16" t="s">
        <v>13</v>
      </c>
      <c r="G10" s="16">
        <v>1</v>
      </c>
      <c r="H10" s="16">
        <v>1</v>
      </c>
      <c r="I10" s="16">
        <v>1</v>
      </c>
      <c r="J10" s="16">
        <v>2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2</v>
      </c>
      <c r="R10" s="16">
        <v>3</v>
      </c>
      <c r="S10" s="16">
        <v>5</v>
      </c>
      <c r="T10" s="16">
        <v>3</v>
      </c>
      <c r="U10" s="16">
        <v>6</v>
      </c>
      <c r="V10" s="16"/>
      <c r="W10" s="16"/>
      <c r="X10" s="16"/>
      <c r="Y10" s="16"/>
      <c r="Z10" s="16"/>
      <c r="AA10" s="16"/>
      <c r="AB10" s="16"/>
      <c r="AC10" s="16"/>
      <c r="AD10" s="16"/>
      <c r="AF10" s="16">
        <f>U10</f>
        <v>6</v>
      </c>
      <c r="AG10" s="16">
        <f t="shared" si="0"/>
        <v>0.2</v>
      </c>
    </row>
    <row r="11" spans="1:33" x14ac:dyDescent="0.2">
      <c r="A11" s="16" t="s">
        <v>18</v>
      </c>
      <c r="B11" s="16">
        <v>40</v>
      </c>
      <c r="C11" s="16">
        <f>SUM(G11:U11)</f>
        <v>35</v>
      </c>
      <c r="D11" s="16">
        <v>0.11183673469387753</v>
      </c>
      <c r="F11" s="16" t="s">
        <v>18</v>
      </c>
      <c r="G11" s="16">
        <v>1</v>
      </c>
      <c r="H11" s="16">
        <v>1</v>
      </c>
      <c r="I11" s="16">
        <v>2</v>
      </c>
      <c r="J11" s="16">
        <v>2</v>
      </c>
      <c r="K11" s="16">
        <v>1</v>
      </c>
      <c r="L11" s="16">
        <v>1</v>
      </c>
      <c r="M11" s="16">
        <v>1</v>
      </c>
      <c r="N11" s="16">
        <v>3</v>
      </c>
      <c r="O11" s="16">
        <v>1</v>
      </c>
      <c r="P11" s="16">
        <v>1</v>
      </c>
      <c r="Q11" s="16">
        <v>5</v>
      </c>
      <c r="R11" s="16">
        <v>2</v>
      </c>
      <c r="S11" s="16">
        <v>4</v>
      </c>
      <c r="T11" s="16">
        <v>2</v>
      </c>
      <c r="U11" s="16">
        <v>8</v>
      </c>
      <c r="V11" s="16"/>
      <c r="W11" s="16"/>
      <c r="X11" s="16"/>
      <c r="Y11" s="16"/>
      <c r="Z11" s="16"/>
      <c r="AA11" s="16"/>
      <c r="AB11" s="16"/>
      <c r="AC11" s="16"/>
      <c r="AD11" s="16"/>
      <c r="AF11" s="16">
        <f>U11</f>
        <v>8</v>
      </c>
      <c r="AG11" s="16">
        <f t="shared" si="0"/>
        <v>0.22857142857142856</v>
      </c>
    </row>
    <row r="12" spans="1:33" x14ac:dyDescent="0.2">
      <c r="A12" s="16" t="s">
        <v>5</v>
      </c>
      <c r="B12" s="16">
        <v>39</v>
      </c>
      <c r="C12" s="16">
        <f>SUM(G12:V12)</f>
        <v>35</v>
      </c>
      <c r="D12" s="16">
        <v>0.21306122448979589</v>
      </c>
      <c r="F12" s="16" t="s">
        <v>5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  <c r="R12" s="16">
        <v>1</v>
      </c>
      <c r="S12" s="16">
        <v>2</v>
      </c>
      <c r="T12" s="16">
        <v>4</v>
      </c>
      <c r="U12" s="16">
        <v>2</v>
      </c>
      <c r="V12" s="16">
        <v>15</v>
      </c>
      <c r="W12" s="16"/>
      <c r="X12" s="16"/>
      <c r="Y12" s="16"/>
      <c r="Z12" s="16"/>
      <c r="AA12" s="16"/>
      <c r="AB12" s="16"/>
      <c r="AC12" s="16"/>
      <c r="AD12" s="16"/>
      <c r="AF12" s="16">
        <f>V12</f>
        <v>15</v>
      </c>
      <c r="AG12" s="16">
        <f t="shared" si="0"/>
        <v>0.42857142857142855</v>
      </c>
    </row>
    <row r="13" spans="1:33" x14ac:dyDescent="0.2">
      <c r="A13" s="16" t="s">
        <v>8</v>
      </c>
      <c r="B13" s="16">
        <v>36</v>
      </c>
      <c r="C13" s="16">
        <f>SUM(G13:Y13)</f>
        <v>31</v>
      </c>
      <c r="D13" s="16">
        <v>0.11550468262226847</v>
      </c>
      <c r="F13" s="16" t="s">
        <v>8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  <c r="R13" s="16">
        <v>1</v>
      </c>
      <c r="S13" s="16">
        <v>1</v>
      </c>
      <c r="T13" s="16">
        <v>2</v>
      </c>
      <c r="U13" s="16">
        <v>2</v>
      </c>
      <c r="V13" s="16">
        <v>2</v>
      </c>
      <c r="W13" s="16">
        <v>1</v>
      </c>
      <c r="X13" s="16">
        <v>2</v>
      </c>
      <c r="Y13" s="16">
        <v>9</v>
      </c>
      <c r="Z13" s="16"/>
      <c r="AA13" s="16"/>
      <c r="AB13" s="16"/>
      <c r="AC13" s="16"/>
      <c r="AD13" s="16"/>
      <c r="AF13" s="16">
        <f>Y13</f>
        <v>9</v>
      </c>
      <c r="AG13" s="16">
        <f t="shared" si="0"/>
        <v>0.29032258064516131</v>
      </c>
    </row>
    <row r="14" spans="1:33" x14ac:dyDescent="0.2">
      <c r="A14" s="16" t="s">
        <v>34</v>
      </c>
      <c r="B14" s="16">
        <v>39</v>
      </c>
      <c r="C14" s="16">
        <f>SUM(G14:AD14)</f>
        <v>33</v>
      </c>
      <c r="D14" s="16">
        <v>5.0505050505050504E-2</v>
      </c>
      <c r="F14" s="16" t="s">
        <v>34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2</v>
      </c>
      <c r="Q14" s="16">
        <v>1</v>
      </c>
      <c r="R14" s="16">
        <v>1</v>
      </c>
      <c r="S14" s="16">
        <v>2</v>
      </c>
      <c r="T14" s="16">
        <v>1</v>
      </c>
      <c r="U14" s="16">
        <v>1</v>
      </c>
      <c r="V14" s="16">
        <v>3</v>
      </c>
      <c r="W14" s="16">
        <v>1</v>
      </c>
      <c r="X14" s="16">
        <v>1</v>
      </c>
      <c r="Y14" s="16">
        <v>1</v>
      </c>
      <c r="Z14" s="16">
        <v>2</v>
      </c>
      <c r="AA14" s="16">
        <v>2</v>
      </c>
      <c r="AB14" s="16">
        <v>2</v>
      </c>
      <c r="AC14" s="16">
        <v>1</v>
      </c>
      <c r="AD14" s="16">
        <v>3</v>
      </c>
      <c r="AF14" s="16">
        <f>AD14</f>
        <v>3</v>
      </c>
      <c r="AG14" s="16">
        <f t="shared" si="0"/>
        <v>9.0909090909090912E-2</v>
      </c>
    </row>
    <row r="15" spans="1:33" x14ac:dyDescent="0.2">
      <c r="A15" s="16" t="s">
        <v>14</v>
      </c>
      <c r="B15" s="16">
        <v>35</v>
      </c>
      <c r="C15" s="16">
        <f>SUM(G15:V15)</f>
        <v>32</v>
      </c>
      <c r="D15" s="16">
        <v>0.154296875</v>
      </c>
      <c r="F15" s="16" t="s">
        <v>14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3</v>
      </c>
      <c r="N15" s="16">
        <v>1</v>
      </c>
      <c r="O15" s="16">
        <v>2</v>
      </c>
      <c r="P15" s="16">
        <v>1</v>
      </c>
      <c r="Q15" s="16">
        <v>1</v>
      </c>
      <c r="R15" s="16">
        <v>2</v>
      </c>
      <c r="S15" s="16">
        <v>3</v>
      </c>
      <c r="T15" s="16">
        <v>1</v>
      </c>
      <c r="U15" s="16">
        <v>1</v>
      </c>
      <c r="V15" s="16">
        <v>11</v>
      </c>
      <c r="W15" s="16"/>
      <c r="X15" s="16"/>
      <c r="Y15" s="16"/>
      <c r="Z15" s="16"/>
      <c r="AA15" s="16"/>
      <c r="AB15" s="16"/>
      <c r="AC15" s="16"/>
      <c r="AD15" s="16"/>
      <c r="AF15" s="16">
        <f>V15</f>
        <v>11</v>
      </c>
      <c r="AG15" s="16">
        <f t="shared" si="0"/>
        <v>0.34375</v>
      </c>
    </row>
    <row r="16" spans="1:33" x14ac:dyDescent="0.2">
      <c r="A16" s="16" t="s">
        <v>28</v>
      </c>
      <c r="B16" s="16">
        <v>38</v>
      </c>
      <c r="C16" s="16">
        <f>SUM(G16:W16)</f>
        <v>34</v>
      </c>
      <c r="D16" s="16">
        <v>0.24221453287197231</v>
      </c>
      <c r="F16" s="16" t="s">
        <v>28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  <c r="R16" s="16">
        <v>1</v>
      </c>
      <c r="S16" s="16">
        <v>1</v>
      </c>
      <c r="T16" s="16">
        <v>3</v>
      </c>
      <c r="U16" s="16">
        <v>1</v>
      </c>
      <c r="V16" s="16">
        <v>1</v>
      </c>
      <c r="W16" s="16">
        <v>16</v>
      </c>
      <c r="X16" s="16"/>
      <c r="Y16" s="16"/>
      <c r="Z16" s="16"/>
      <c r="AA16" s="16"/>
      <c r="AB16" s="16"/>
      <c r="AC16" s="16"/>
      <c r="AD16" s="16"/>
      <c r="AF16" s="16">
        <f>W16</f>
        <v>16</v>
      </c>
      <c r="AG16" s="16">
        <f t="shared" si="0"/>
        <v>0.47058823529411764</v>
      </c>
    </row>
    <row r="17" spans="1:36" x14ac:dyDescent="0.2">
      <c r="A17" s="16" t="s">
        <v>36</v>
      </c>
      <c r="B17" s="16">
        <v>49</v>
      </c>
      <c r="C17" s="16">
        <f>SUM(G17:S17)</f>
        <v>34</v>
      </c>
      <c r="D17" s="16">
        <v>0.30103806228373703</v>
      </c>
      <c r="F17" s="16" t="s">
        <v>36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2</v>
      </c>
      <c r="M17" s="16">
        <v>1</v>
      </c>
      <c r="N17" s="16">
        <v>1</v>
      </c>
      <c r="O17" s="16">
        <v>1</v>
      </c>
      <c r="P17" s="16">
        <v>2</v>
      </c>
      <c r="Q17" s="16">
        <v>2</v>
      </c>
      <c r="R17" s="16">
        <v>2</v>
      </c>
      <c r="S17" s="16">
        <v>18</v>
      </c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F17" s="16">
        <f>S17</f>
        <v>18</v>
      </c>
      <c r="AG17" s="16">
        <f t="shared" si="0"/>
        <v>0.52941176470588236</v>
      </c>
    </row>
    <row r="18" spans="1:36" x14ac:dyDescent="0.2">
      <c r="A18" s="16" t="s">
        <v>9</v>
      </c>
      <c r="B18" s="16">
        <v>42</v>
      </c>
      <c r="C18" s="16">
        <f>SUM(G18:W18)</f>
        <v>36</v>
      </c>
      <c r="D18" s="16">
        <v>0.14506172839506171</v>
      </c>
      <c r="F18" s="16" t="s">
        <v>9</v>
      </c>
      <c r="G18" s="16">
        <v>1</v>
      </c>
      <c r="H18" s="16">
        <v>1</v>
      </c>
      <c r="I18" s="16">
        <v>1</v>
      </c>
      <c r="J18" s="16">
        <v>2</v>
      </c>
      <c r="K18" s="16">
        <v>2</v>
      </c>
      <c r="L18" s="16">
        <v>1</v>
      </c>
      <c r="M18" s="16">
        <v>1</v>
      </c>
      <c r="N18" s="16">
        <v>1</v>
      </c>
      <c r="O18" s="16">
        <v>3</v>
      </c>
      <c r="P18" s="16">
        <v>1</v>
      </c>
      <c r="Q18" s="16">
        <v>2</v>
      </c>
      <c r="R18" s="16">
        <v>1</v>
      </c>
      <c r="S18" s="16">
        <v>2</v>
      </c>
      <c r="T18" s="16">
        <v>1</v>
      </c>
      <c r="U18" s="16">
        <v>1</v>
      </c>
      <c r="V18" s="16">
        <v>3</v>
      </c>
      <c r="W18" s="16">
        <v>12</v>
      </c>
      <c r="X18" s="16"/>
      <c r="Y18" s="16"/>
      <c r="Z18" s="16"/>
      <c r="AA18" s="16"/>
      <c r="AB18" s="16"/>
      <c r="AC18" s="16"/>
      <c r="AD18" s="16"/>
      <c r="AF18" s="16">
        <f>W18</f>
        <v>12</v>
      </c>
      <c r="AG18" s="16">
        <f t="shared" si="0"/>
        <v>0.33333333333333331</v>
      </c>
    </row>
    <row r="19" spans="1:36" x14ac:dyDescent="0.2">
      <c r="A19" s="16" t="s">
        <v>6</v>
      </c>
      <c r="B19" s="16">
        <v>42</v>
      </c>
      <c r="C19" s="16">
        <f>SUM(G19:V19)</f>
        <v>37</v>
      </c>
      <c r="D19" s="16">
        <v>0.15120525931336742</v>
      </c>
      <c r="F19" s="16" t="s">
        <v>6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2</v>
      </c>
      <c r="N19" s="16">
        <v>1</v>
      </c>
      <c r="O19" s="16">
        <v>2</v>
      </c>
      <c r="P19" s="16">
        <v>1</v>
      </c>
      <c r="Q19" s="16">
        <v>2</v>
      </c>
      <c r="R19" s="16">
        <v>4</v>
      </c>
      <c r="S19" s="16">
        <v>1</v>
      </c>
      <c r="T19" s="16">
        <v>1</v>
      </c>
      <c r="U19" s="16">
        <v>5</v>
      </c>
      <c r="V19" s="16">
        <v>12</v>
      </c>
      <c r="W19" s="16"/>
      <c r="X19" s="16"/>
      <c r="Y19" s="16"/>
      <c r="Z19" s="16"/>
      <c r="AA19" s="16"/>
      <c r="AB19" s="16"/>
      <c r="AC19" s="16"/>
      <c r="AD19" s="16"/>
      <c r="AF19" s="16">
        <f>V19</f>
        <v>12</v>
      </c>
      <c r="AG19" s="16">
        <f t="shared" si="0"/>
        <v>0.32432432432432434</v>
      </c>
    </row>
    <row r="20" spans="1:36" x14ac:dyDescent="0.2">
      <c r="A20" s="16" t="s">
        <v>35</v>
      </c>
      <c r="B20" s="16">
        <v>41</v>
      </c>
      <c r="C20" s="16">
        <f>SUM(G20:T20)</f>
        <v>30</v>
      </c>
      <c r="D20" s="16">
        <v>0.1977777777777778</v>
      </c>
      <c r="F20" s="16" t="s">
        <v>35</v>
      </c>
      <c r="G20" s="16">
        <v>1</v>
      </c>
      <c r="H20" s="16">
        <v>1</v>
      </c>
      <c r="I20" s="16">
        <v>1</v>
      </c>
      <c r="J20" s="16">
        <v>1</v>
      </c>
      <c r="K20" s="16">
        <v>2</v>
      </c>
      <c r="L20" s="16">
        <v>1</v>
      </c>
      <c r="M20" s="16">
        <v>1</v>
      </c>
      <c r="N20" s="16">
        <v>1</v>
      </c>
      <c r="O20" s="16">
        <v>4</v>
      </c>
      <c r="P20" s="16">
        <v>1</v>
      </c>
      <c r="Q20" s="16">
        <v>1</v>
      </c>
      <c r="R20" s="16">
        <v>2</v>
      </c>
      <c r="S20" s="16">
        <v>1</v>
      </c>
      <c r="T20" s="16">
        <v>12</v>
      </c>
      <c r="U20" s="16"/>
      <c r="V20" s="16"/>
      <c r="W20" s="16"/>
      <c r="X20" s="16"/>
      <c r="Y20" s="16"/>
      <c r="Z20" s="16"/>
      <c r="AA20" s="16"/>
      <c r="AB20" s="16"/>
      <c r="AC20" s="16"/>
      <c r="AD20" s="16"/>
      <c r="AF20" s="16">
        <f>T20</f>
        <v>12</v>
      </c>
      <c r="AG20" s="16">
        <f>AF20/C20</f>
        <v>0.4</v>
      </c>
    </row>
    <row r="21" spans="1:36" x14ac:dyDescent="0.2">
      <c r="A21" s="16" t="s">
        <v>12</v>
      </c>
      <c r="B21" s="16">
        <v>44</v>
      </c>
      <c r="C21" s="16">
        <f>SUM(G21:U21)</f>
        <v>35</v>
      </c>
      <c r="D21" s="16">
        <v>0.21632653061224488</v>
      </c>
      <c r="F21" s="16" t="s">
        <v>12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  <c r="R21" s="16">
        <v>2</v>
      </c>
      <c r="S21" s="16">
        <v>3</v>
      </c>
      <c r="T21" s="16">
        <v>4</v>
      </c>
      <c r="U21" s="16">
        <v>15</v>
      </c>
      <c r="V21" s="16"/>
      <c r="W21" s="16"/>
      <c r="X21" s="16"/>
      <c r="Y21" s="16"/>
      <c r="Z21" s="16"/>
      <c r="AA21" s="16"/>
      <c r="AB21" s="16"/>
      <c r="AC21" s="16"/>
      <c r="AD21" s="16"/>
      <c r="AF21" s="16">
        <f>U21</f>
        <v>15</v>
      </c>
      <c r="AG21" s="16">
        <f t="shared" si="0"/>
        <v>0.42857142857142855</v>
      </c>
    </row>
    <row r="23" spans="1:36" x14ac:dyDescent="0.2">
      <c r="F23" s="16" t="s">
        <v>55</v>
      </c>
      <c r="G23" s="32" t="s">
        <v>112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J23" s="23"/>
    </row>
    <row r="24" spans="1:36" x14ac:dyDescent="0.2">
      <c r="F24" s="17">
        <f>SUM(G24:W24)</f>
        <v>0.99999999999999978</v>
      </c>
      <c r="G24" s="16">
        <f>G2/$C2</f>
        <v>3.7037037037037035E-2</v>
      </c>
      <c r="H24" s="16">
        <f t="shared" ref="H24:AB35" si="1">H2/$C2</f>
        <v>3.7037037037037035E-2</v>
      </c>
      <c r="I24" s="16">
        <f t="shared" si="1"/>
        <v>3.7037037037037035E-2</v>
      </c>
      <c r="J24" s="16">
        <f t="shared" si="1"/>
        <v>3.7037037037037035E-2</v>
      </c>
      <c r="K24" s="16">
        <f t="shared" si="1"/>
        <v>3.7037037037037035E-2</v>
      </c>
      <c r="L24" s="16">
        <f t="shared" si="1"/>
        <v>3.7037037037037035E-2</v>
      </c>
      <c r="M24" s="16">
        <f t="shared" si="1"/>
        <v>7.407407407407407E-2</v>
      </c>
      <c r="N24" s="16">
        <f t="shared" si="1"/>
        <v>3.7037037037037035E-2</v>
      </c>
      <c r="O24" s="16">
        <f t="shared" si="1"/>
        <v>3.7037037037037035E-2</v>
      </c>
      <c r="P24" s="16">
        <f t="shared" si="1"/>
        <v>3.7037037037037035E-2</v>
      </c>
      <c r="Q24" s="16">
        <f t="shared" si="1"/>
        <v>7.407407407407407E-2</v>
      </c>
      <c r="R24" s="16">
        <f t="shared" si="1"/>
        <v>3.7037037037037035E-2</v>
      </c>
      <c r="S24" s="16">
        <f t="shared" si="1"/>
        <v>3.7037037037037035E-2</v>
      </c>
      <c r="T24" s="16">
        <f t="shared" si="1"/>
        <v>3.7037037037037035E-2</v>
      </c>
      <c r="U24" s="16">
        <f t="shared" si="1"/>
        <v>3.7037037037037035E-2</v>
      </c>
      <c r="V24" s="16">
        <f t="shared" si="1"/>
        <v>3.7037037037037035E-2</v>
      </c>
      <c r="W24" s="16">
        <f t="shared" si="1"/>
        <v>0.33333333333333331</v>
      </c>
      <c r="X24" s="16"/>
      <c r="Y24" s="16"/>
      <c r="Z24" s="16"/>
      <c r="AA24" s="16"/>
      <c r="AB24" s="16"/>
      <c r="AC24" s="16"/>
      <c r="AD24" s="16"/>
    </row>
    <row r="25" spans="1:36" x14ac:dyDescent="0.2">
      <c r="F25" s="17">
        <f>SUM(G25:R25)</f>
        <v>1</v>
      </c>
      <c r="G25" s="16">
        <f t="shared" ref="G25:R42" si="2">G3/$C3</f>
        <v>3.7037037037037035E-2</v>
      </c>
      <c r="H25" s="16">
        <f t="shared" si="2"/>
        <v>3.7037037037037035E-2</v>
      </c>
      <c r="I25" s="16">
        <f t="shared" si="2"/>
        <v>3.7037037037037035E-2</v>
      </c>
      <c r="J25" s="16">
        <f t="shared" si="2"/>
        <v>3.7037037037037035E-2</v>
      </c>
      <c r="K25" s="16">
        <f t="shared" si="2"/>
        <v>3.7037037037037035E-2</v>
      </c>
      <c r="L25" s="16">
        <f t="shared" si="2"/>
        <v>7.407407407407407E-2</v>
      </c>
      <c r="M25" s="16">
        <f t="shared" si="2"/>
        <v>3.7037037037037035E-2</v>
      </c>
      <c r="N25" s="16">
        <f t="shared" si="2"/>
        <v>3.7037037037037035E-2</v>
      </c>
      <c r="O25" s="16">
        <f t="shared" si="2"/>
        <v>3.7037037037037035E-2</v>
      </c>
      <c r="P25" s="16">
        <f t="shared" si="2"/>
        <v>0.14814814814814814</v>
      </c>
      <c r="Q25" s="16">
        <f t="shared" si="2"/>
        <v>0.22222222222222221</v>
      </c>
      <c r="R25" s="16">
        <f t="shared" si="2"/>
        <v>0.25925925925925924</v>
      </c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spans="1:36" x14ac:dyDescent="0.2">
      <c r="F26" s="17">
        <f>SUM(G26:Q26)</f>
        <v>1</v>
      </c>
      <c r="G26" s="16">
        <f t="shared" si="2"/>
        <v>3.7037037037037035E-2</v>
      </c>
      <c r="H26" s="16">
        <f t="shared" si="1"/>
        <v>3.7037037037037035E-2</v>
      </c>
      <c r="I26" s="16">
        <f t="shared" si="1"/>
        <v>3.7037037037037035E-2</v>
      </c>
      <c r="J26" s="16">
        <f t="shared" si="1"/>
        <v>3.7037037037037035E-2</v>
      </c>
      <c r="K26" s="16">
        <f t="shared" si="1"/>
        <v>3.7037037037037035E-2</v>
      </c>
      <c r="L26" s="16">
        <f t="shared" si="1"/>
        <v>7.407407407407407E-2</v>
      </c>
      <c r="M26" s="16">
        <f t="shared" si="1"/>
        <v>3.7037037037037035E-2</v>
      </c>
      <c r="N26" s="16">
        <f t="shared" si="1"/>
        <v>0.14814814814814814</v>
      </c>
      <c r="O26" s="16">
        <f t="shared" si="1"/>
        <v>3.7037037037037035E-2</v>
      </c>
      <c r="P26" s="16">
        <f t="shared" si="1"/>
        <v>3.7037037037037035E-2</v>
      </c>
      <c r="Q26" s="16">
        <f t="shared" si="1"/>
        <v>0.48148148148148145</v>
      </c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6" x14ac:dyDescent="0.2">
      <c r="F27" s="17">
        <f>SUM(G27:Q27)</f>
        <v>1</v>
      </c>
      <c r="G27" s="16">
        <f t="shared" si="2"/>
        <v>2.8571428571428571E-2</v>
      </c>
      <c r="H27" s="16">
        <f t="shared" si="1"/>
        <v>2.8571428571428571E-2</v>
      </c>
      <c r="I27" s="16">
        <f t="shared" si="1"/>
        <v>5.7142857142857141E-2</v>
      </c>
      <c r="J27" s="16">
        <f t="shared" si="1"/>
        <v>2.8571428571428571E-2</v>
      </c>
      <c r="K27" s="16">
        <f t="shared" si="1"/>
        <v>5.7142857142857141E-2</v>
      </c>
      <c r="L27" s="16">
        <f t="shared" si="1"/>
        <v>2.8571428571428571E-2</v>
      </c>
      <c r="M27" s="16">
        <f t="shared" si="1"/>
        <v>0.17142857142857143</v>
      </c>
      <c r="N27" s="16">
        <f t="shared" si="1"/>
        <v>8.5714285714285715E-2</v>
      </c>
      <c r="O27" s="16">
        <f t="shared" si="1"/>
        <v>0.14285714285714285</v>
      </c>
      <c r="P27" s="16">
        <f t="shared" si="1"/>
        <v>0.11428571428571428</v>
      </c>
      <c r="Q27" s="16">
        <f t="shared" si="1"/>
        <v>0.25714285714285712</v>
      </c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spans="1:36" x14ac:dyDescent="0.2">
      <c r="F28" s="17">
        <f>SUM(G28:V28)</f>
        <v>0.99999999999999989</v>
      </c>
      <c r="G28" s="16">
        <f t="shared" si="2"/>
        <v>2.6315789473684209E-2</v>
      </c>
      <c r="H28" s="16">
        <f t="shared" si="1"/>
        <v>2.6315789473684209E-2</v>
      </c>
      <c r="I28" s="16">
        <f t="shared" si="1"/>
        <v>2.6315789473684209E-2</v>
      </c>
      <c r="J28" s="16">
        <f t="shared" si="1"/>
        <v>2.6315789473684209E-2</v>
      </c>
      <c r="K28" s="16">
        <f t="shared" si="1"/>
        <v>5.2631578947368418E-2</v>
      </c>
      <c r="L28" s="16">
        <f t="shared" si="1"/>
        <v>2.6315789473684209E-2</v>
      </c>
      <c r="M28" s="16">
        <f t="shared" si="1"/>
        <v>2.6315789473684209E-2</v>
      </c>
      <c r="N28" s="16">
        <f t="shared" si="1"/>
        <v>2.6315789473684209E-2</v>
      </c>
      <c r="O28" s="16">
        <f t="shared" si="1"/>
        <v>5.2631578947368418E-2</v>
      </c>
      <c r="P28" s="16">
        <f t="shared" si="1"/>
        <v>2.6315789473684209E-2</v>
      </c>
      <c r="Q28" s="16">
        <f t="shared" si="1"/>
        <v>5.2631578947368418E-2</v>
      </c>
      <c r="R28" s="16">
        <f t="shared" si="1"/>
        <v>7.8947368421052627E-2</v>
      </c>
      <c r="S28" s="16">
        <f t="shared" si="1"/>
        <v>2.6315789473684209E-2</v>
      </c>
      <c r="T28" s="16">
        <f t="shared" si="1"/>
        <v>7.8947368421052627E-2</v>
      </c>
      <c r="U28" s="16">
        <f t="shared" si="1"/>
        <v>5.2631578947368418E-2</v>
      </c>
      <c r="V28" s="16">
        <f t="shared" si="1"/>
        <v>0.39473684210526316</v>
      </c>
      <c r="W28" s="16"/>
      <c r="X28" s="16"/>
      <c r="Y28" s="16"/>
      <c r="Z28" s="16"/>
      <c r="AA28" s="16"/>
      <c r="AB28" s="16"/>
      <c r="AC28" s="16"/>
      <c r="AD28" s="16"/>
    </row>
    <row r="29" spans="1:36" x14ac:dyDescent="0.2">
      <c r="F29" s="17">
        <f>SUM(G29:U29)</f>
        <v>0.99999999999999978</v>
      </c>
      <c r="G29" s="16">
        <f t="shared" si="2"/>
        <v>3.5714285714285712E-2</v>
      </c>
      <c r="H29" s="16">
        <f t="shared" si="1"/>
        <v>3.5714285714285712E-2</v>
      </c>
      <c r="I29" s="16">
        <f t="shared" si="1"/>
        <v>3.5714285714285712E-2</v>
      </c>
      <c r="J29" s="16">
        <f t="shared" si="1"/>
        <v>3.5714285714285712E-2</v>
      </c>
      <c r="K29" s="16">
        <f t="shared" si="1"/>
        <v>3.5714285714285712E-2</v>
      </c>
      <c r="L29" s="16">
        <f t="shared" si="1"/>
        <v>3.5714285714285712E-2</v>
      </c>
      <c r="M29" s="16">
        <f t="shared" si="1"/>
        <v>7.1428571428571425E-2</v>
      </c>
      <c r="N29" s="16">
        <f t="shared" si="1"/>
        <v>3.5714285714285712E-2</v>
      </c>
      <c r="O29" s="16">
        <f t="shared" si="1"/>
        <v>3.5714285714285712E-2</v>
      </c>
      <c r="P29" s="16">
        <f t="shared" si="1"/>
        <v>3.5714285714285712E-2</v>
      </c>
      <c r="Q29" s="16">
        <f t="shared" si="1"/>
        <v>3.5714285714285712E-2</v>
      </c>
      <c r="R29" s="16">
        <f t="shared" si="1"/>
        <v>0.10714285714285714</v>
      </c>
      <c r="S29" s="16">
        <f t="shared" si="1"/>
        <v>3.5714285714285712E-2</v>
      </c>
      <c r="T29" s="16">
        <f t="shared" si="1"/>
        <v>7.1428571428571425E-2</v>
      </c>
      <c r="U29" s="16">
        <f t="shared" si="1"/>
        <v>0.35714285714285715</v>
      </c>
      <c r="V29" s="16"/>
      <c r="W29" s="16"/>
      <c r="X29" s="16"/>
      <c r="Y29" s="16"/>
      <c r="Z29" s="16"/>
      <c r="AA29" s="16"/>
      <c r="AB29" s="16"/>
      <c r="AC29" s="16"/>
      <c r="AD29" s="16"/>
    </row>
    <row r="30" spans="1:36" x14ac:dyDescent="0.2">
      <c r="F30" s="17">
        <f>SUM(G30:AB30)</f>
        <v>1</v>
      </c>
      <c r="G30" s="16">
        <f t="shared" si="2"/>
        <v>2.564102564102564E-2</v>
      </c>
      <c r="H30" s="16">
        <f>H8/$C8</f>
        <v>2.564102564102564E-2</v>
      </c>
      <c r="I30" s="16">
        <f t="shared" si="1"/>
        <v>2.564102564102564E-2</v>
      </c>
      <c r="J30" s="16">
        <f t="shared" si="1"/>
        <v>2.564102564102564E-2</v>
      </c>
      <c r="K30" s="16">
        <f t="shared" si="1"/>
        <v>2.564102564102564E-2</v>
      </c>
      <c r="L30" s="16">
        <f t="shared" si="1"/>
        <v>2.564102564102564E-2</v>
      </c>
      <c r="M30" s="16">
        <f t="shared" si="1"/>
        <v>2.564102564102564E-2</v>
      </c>
      <c r="N30" s="16">
        <f t="shared" si="1"/>
        <v>2.564102564102564E-2</v>
      </c>
      <c r="O30" s="16">
        <f t="shared" si="1"/>
        <v>2.564102564102564E-2</v>
      </c>
      <c r="P30" s="16">
        <f t="shared" si="1"/>
        <v>2.564102564102564E-2</v>
      </c>
      <c r="Q30" s="16">
        <f t="shared" si="1"/>
        <v>2.564102564102564E-2</v>
      </c>
      <c r="R30" s="16">
        <f t="shared" si="1"/>
        <v>2.564102564102564E-2</v>
      </c>
      <c r="S30" s="16">
        <f t="shared" si="1"/>
        <v>5.128205128205128E-2</v>
      </c>
      <c r="T30" s="16">
        <f t="shared" si="1"/>
        <v>2.564102564102564E-2</v>
      </c>
      <c r="U30" s="16">
        <f t="shared" si="1"/>
        <v>5.128205128205128E-2</v>
      </c>
      <c r="V30" s="16">
        <f t="shared" si="1"/>
        <v>5.128205128205128E-2</v>
      </c>
      <c r="W30" s="16">
        <f t="shared" si="1"/>
        <v>2.564102564102564E-2</v>
      </c>
      <c r="X30" s="16">
        <f t="shared" si="1"/>
        <v>2.564102564102564E-2</v>
      </c>
      <c r="Y30" s="16">
        <f t="shared" si="1"/>
        <v>7.6923076923076927E-2</v>
      </c>
      <c r="Z30" s="16">
        <f t="shared" si="1"/>
        <v>2.564102564102564E-2</v>
      </c>
      <c r="AA30" s="16">
        <f t="shared" si="1"/>
        <v>2.564102564102564E-2</v>
      </c>
      <c r="AB30" s="16">
        <f t="shared" si="1"/>
        <v>0.33333333333333331</v>
      </c>
      <c r="AC30" s="16"/>
      <c r="AD30" s="16"/>
    </row>
    <row r="31" spans="1:36" x14ac:dyDescent="0.2">
      <c r="F31" s="17">
        <f>SUM(G31:U31)</f>
        <v>1</v>
      </c>
      <c r="G31" s="16">
        <f t="shared" si="2"/>
        <v>2.7777777777777776E-2</v>
      </c>
      <c r="H31" s="16">
        <f t="shared" si="1"/>
        <v>2.7777777777777776E-2</v>
      </c>
      <c r="I31" s="16">
        <f t="shared" si="1"/>
        <v>2.7777777777777776E-2</v>
      </c>
      <c r="J31" s="16">
        <f t="shared" si="1"/>
        <v>2.7777777777777776E-2</v>
      </c>
      <c r="K31" s="16">
        <f t="shared" si="1"/>
        <v>5.5555555555555552E-2</v>
      </c>
      <c r="L31" s="16">
        <f t="shared" si="1"/>
        <v>2.7777777777777776E-2</v>
      </c>
      <c r="M31" s="16">
        <f t="shared" si="1"/>
        <v>2.7777777777777776E-2</v>
      </c>
      <c r="N31" s="16">
        <f t="shared" si="1"/>
        <v>2.7777777777777776E-2</v>
      </c>
      <c r="O31" s="16">
        <f t="shared" si="1"/>
        <v>8.3333333333333329E-2</v>
      </c>
      <c r="P31" s="16">
        <f t="shared" si="1"/>
        <v>2.7777777777777776E-2</v>
      </c>
      <c r="Q31" s="16">
        <f t="shared" si="1"/>
        <v>5.5555555555555552E-2</v>
      </c>
      <c r="R31" s="16">
        <f t="shared" si="1"/>
        <v>8.3333333333333329E-2</v>
      </c>
      <c r="S31" s="16">
        <f t="shared" si="1"/>
        <v>8.3333333333333329E-2</v>
      </c>
      <c r="T31" s="16">
        <f t="shared" si="1"/>
        <v>2.7777777777777776E-2</v>
      </c>
      <c r="U31" s="16">
        <f t="shared" si="1"/>
        <v>0.3888888888888889</v>
      </c>
      <c r="V31" s="16"/>
      <c r="W31" s="16"/>
      <c r="X31" s="16"/>
      <c r="Y31" s="16"/>
      <c r="Z31" s="16"/>
      <c r="AA31" s="16"/>
      <c r="AB31" s="16"/>
      <c r="AC31" s="16"/>
      <c r="AD31" s="16"/>
    </row>
    <row r="32" spans="1:36" x14ac:dyDescent="0.2">
      <c r="F32" s="17">
        <f>SUM(G32:U32)</f>
        <v>1</v>
      </c>
      <c r="G32" s="16">
        <f t="shared" si="2"/>
        <v>3.3333333333333333E-2</v>
      </c>
      <c r="H32" s="16">
        <f t="shared" si="1"/>
        <v>3.3333333333333333E-2</v>
      </c>
      <c r="I32" s="16">
        <f t="shared" si="1"/>
        <v>3.3333333333333333E-2</v>
      </c>
      <c r="J32" s="16">
        <f t="shared" si="1"/>
        <v>6.6666666666666666E-2</v>
      </c>
      <c r="K32" s="16">
        <f t="shared" si="1"/>
        <v>3.3333333333333333E-2</v>
      </c>
      <c r="L32" s="16">
        <f t="shared" si="1"/>
        <v>3.3333333333333333E-2</v>
      </c>
      <c r="M32" s="16">
        <f t="shared" si="1"/>
        <v>3.3333333333333333E-2</v>
      </c>
      <c r="N32" s="16">
        <f t="shared" si="1"/>
        <v>3.3333333333333333E-2</v>
      </c>
      <c r="O32" s="16">
        <f t="shared" si="1"/>
        <v>3.3333333333333333E-2</v>
      </c>
      <c r="P32" s="16">
        <f t="shared" si="1"/>
        <v>3.3333333333333333E-2</v>
      </c>
      <c r="Q32" s="16">
        <f t="shared" si="1"/>
        <v>6.6666666666666666E-2</v>
      </c>
      <c r="R32" s="16">
        <f t="shared" si="1"/>
        <v>0.1</v>
      </c>
      <c r="S32" s="16">
        <f t="shared" si="1"/>
        <v>0.16666666666666666</v>
      </c>
      <c r="T32" s="16">
        <f t="shared" si="1"/>
        <v>0.1</v>
      </c>
      <c r="U32" s="16">
        <f t="shared" si="1"/>
        <v>0.2</v>
      </c>
      <c r="V32" s="16"/>
      <c r="W32" s="16"/>
      <c r="X32" s="16"/>
      <c r="Y32" s="16"/>
      <c r="Z32" s="16"/>
      <c r="AA32" s="16"/>
      <c r="AB32" s="16"/>
      <c r="AC32" s="16"/>
      <c r="AD32" s="16"/>
    </row>
    <row r="33" spans="6:30" x14ac:dyDescent="0.2">
      <c r="F33" s="17">
        <f>SUM(G33:U33)</f>
        <v>1.0000000000000002</v>
      </c>
      <c r="G33" s="16">
        <f t="shared" si="2"/>
        <v>2.8571428571428571E-2</v>
      </c>
      <c r="H33" s="16">
        <f t="shared" si="1"/>
        <v>2.8571428571428571E-2</v>
      </c>
      <c r="I33" s="16">
        <f t="shared" si="1"/>
        <v>5.7142857142857141E-2</v>
      </c>
      <c r="J33" s="16">
        <f t="shared" si="1"/>
        <v>5.7142857142857141E-2</v>
      </c>
      <c r="K33" s="16">
        <f t="shared" si="1"/>
        <v>2.8571428571428571E-2</v>
      </c>
      <c r="L33" s="16">
        <f t="shared" si="1"/>
        <v>2.8571428571428571E-2</v>
      </c>
      <c r="M33" s="16">
        <f t="shared" si="1"/>
        <v>2.8571428571428571E-2</v>
      </c>
      <c r="N33" s="16">
        <f t="shared" si="1"/>
        <v>8.5714285714285715E-2</v>
      </c>
      <c r="O33" s="16">
        <f t="shared" si="1"/>
        <v>2.8571428571428571E-2</v>
      </c>
      <c r="P33" s="16">
        <f t="shared" si="1"/>
        <v>2.8571428571428571E-2</v>
      </c>
      <c r="Q33" s="16">
        <f t="shared" si="1"/>
        <v>0.14285714285714285</v>
      </c>
      <c r="R33" s="16">
        <f t="shared" si="1"/>
        <v>5.7142857142857141E-2</v>
      </c>
      <c r="S33" s="16">
        <f t="shared" si="1"/>
        <v>0.11428571428571428</v>
      </c>
      <c r="T33" s="16">
        <f t="shared" si="1"/>
        <v>5.7142857142857141E-2</v>
      </c>
      <c r="U33" s="16">
        <f t="shared" si="1"/>
        <v>0.22857142857142856</v>
      </c>
      <c r="V33" s="16"/>
      <c r="W33" s="16"/>
      <c r="X33" s="16"/>
      <c r="Y33" s="16"/>
      <c r="Z33" s="16"/>
      <c r="AA33" s="16"/>
      <c r="AB33" s="16"/>
      <c r="AC33" s="16"/>
      <c r="AD33" s="16"/>
    </row>
    <row r="34" spans="6:30" x14ac:dyDescent="0.2">
      <c r="F34" s="17">
        <f>SUM(G34:V34)</f>
        <v>1</v>
      </c>
      <c r="G34" s="16">
        <f t="shared" si="2"/>
        <v>2.8571428571428571E-2</v>
      </c>
      <c r="H34" s="16">
        <f t="shared" si="1"/>
        <v>2.8571428571428571E-2</v>
      </c>
      <c r="I34" s="16">
        <f t="shared" si="1"/>
        <v>2.8571428571428571E-2</v>
      </c>
      <c r="J34" s="16">
        <f t="shared" si="1"/>
        <v>2.8571428571428571E-2</v>
      </c>
      <c r="K34" s="16">
        <f t="shared" si="1"/>
        <v>2.8571428571428571E-2</v>
      </c>
      <c r="L34" s="16">
        <f t="shared" si="1"/>
        <v>2.8571428571428571E-2</v>
      </c>
      <c r="M34" s="16">
        <f t="shared" si="1"/>
        <v>2.8571428571428571E-2</v>
      </c>
      <c r="N34" s="16">
        <f t="shared" si="1"/>
        <v>2.8571428571428571E-2</v>
      </c>
      <c r="O34" s="16">
        <f t="shared" si="1"/>
        <v>2.8571428571428571E-2</v>
      </c>
      <c r="P34" s="16">
        <f t="shared" si="1"/>
        <v>2.8571428571428571E-2</v>
      </c>
      <c r="Q34" s="16">
        <f t="shared" si="1"/>
        <v>2.8571428571428571E-2</v>
      </c>
      <c r="R34" s="16">
        <f t="shared" si="1"/>
        <v>2.8571428571428571E-2</v>
      </c>
      <c r="S34" s="16">
        <f t="shared" si="1"/>
        <v>5.7142857142857141E-2</v>
      </c>
      <c r="T34" s="16">
        <f t="shared" si="1"/>
        <v>0.11428571428571428</v>
      </c>
      <c r="U34" s="16">
        <f t="shared" si="1"/>
        <v>5.7142857142857141E-2</v>
      </c>
      <c r="V34" s="16">
        <f t="shared" si="1"/>
        <v>0.42857142857142855</v>
      </c>
      <c r="W34" s="16"/>
      <c r="X34" s="16"/>
      <c r="Y34" s="16"/>
      <c r="Z34" s="16"/>
      <c r="AA34" s="16"/>
      <c r="AB34" s="16"/>
      <c r="AC34" s="16"/>
      <c r="AD34" s="16"/>
    </row>
    <row r="35" spans="6:30" x14ac:dyDescent="0.2">
      <c r="F35" s="17">
        <f>SUM(G35:Y35)</f>
        <v>0.99999999999999978</v>
      </c>
      <c r="G35" s="16">
        <f t="shared" si="2"/>
        <v>3.2258064516129031E-2</v>
      </c>
      <c r="H35" s="16">
        <f t="shared" si="1"/>
        <v>3.2258064516129031E-2</v>
      </c>
      <c r="I35" s="16">
        <f t="shared" si="1"/>
        <v>3.2258064516129031E-2</v>
      </c>
      <c r="J35" s="16">
        <f t="shared" si="1"/>
        <v>3.2258064516129031E-2</v>
      </c>
      <c r="K35" s="16">
        <f t="shared" si="1"/>
        <v>3.2258064516129031E-2</v>
      </c>
      <c r="L35" s="16">
        <f t="shared" si="1"/>
        <v>3.2258064516129031E-2</v>
      </c>
      <c r="M35" s="16">
        <f t="shared" si="1"/>
        <v>3.2258064516129031E-2</v>
      </c>
      <c r="N35" s="16">
        <f t="shared" si="1"/>
        <v>3.2258064516129031E-2</v>
      </c>
      <c r="O35" s="16">
        <f t="shared" si="1"/>
        <v>3.2258064516129031E-2</v>
      </c>
      <c r="P35" s="16">
        <f t="shared" si="1"/>
        <v>3.2258064516129031E-2</v>
      </c>
      <c r="Q35" s="16">
        <f t="shared" si="1"/>
        <v>3.2258064516129031E-2</v>
      </c>
      <c r="R35" s="16">
        <f t="shared" si="1"/>
        <v>3.2258064516129031E-2</v>
      </c>
      <c r="S35" s="16">
        <f t="shared" si="1"/>
        <v>3.2258064516129031E-2</v>
      </c>
      <c r="T35" s="16">
        <f t="shared" si="1"/>
        <v>6.4516129032258063E-2</v>
      </c>
      <c r="U35" s="16">
        <f t="shared" si="1"/>
        <v>6.4516129032258063E-2</v>
      </c>
      <c r="V35" s="16">
        <f t="shared" si="1"/>
        <v>6.4516129032258063E-2</v>
      </c>
      <c r="W35" s="16">
        <f t="shared" si="1"/>
        <v>3.2258064516129031E-2</v>
      </c>
      <c r="X35" s="16">
        <f t="shared" si="1"/>
        <v>6.4516129032258063E-2</v>
      </c>
      <c r="Y35" s="16">
        <f t="shared" ref="H35:AD42" si="3">Y13/$C13</f>
        <v>0.29032258064516131</v>
      </c>
      <c r="Z35" s="16"/>
      <c r="AA35" s="16"/>
      <c r="AB35" s="16"/>
      <c r="AC35" s="16"/>
      <c r="AD35" s="16"/>
    </row>
    <row r="36" spans="6:30" x14ac:dyDescent="0.2">
      <c r="F36" s="17">
        <f>SUM(G36:AD36)</f>
        <v>0.99999999999999989</v>
      </c>
      <c r="G36" s="16">
        <f t="shared" si="2"/>
        <v>3.0303030303030304E-2</v>
      </c>
      <c r="H36" s="16">
        <f t="shared" si="3"/>
        <v>3.0303030303030304E-2</v>
      </c>
      <c r="I36" s="16">
        <f t="shared" si="3"/>
        <v>3.0303030303030304E-2</v>
      </c>
      <c r="J36" s="16">
        <f t="shared" si="3"/>
        <v>3.0303030303030304E-2</v>
      </c>
      <c r="K36" s="16">
        <f t="shared" si="3"/>
        <v>3.0303030303030304E-2</v>
      </c>
      <c r="L36" s="16">
        <f t="shared" si="3"/>
        <v>3.0303030303030304E-2</v>
      </c>
      <c r="M36" s="16">
        <f t="shared" si="3"/>
        <v>3.0303030303030304E-2</v>
      </c>
      <c r="N36" s="16">
        <f t="shared" si="3"/>
        <v>3.0303030303030304E-2</v>
      </c>
      <c r="O36" s="16">
        <f t="shared" si="3"/>
        <v>3.0303030303030304E-2</v>
      </c>
      <c r="P36" s="16">
        <f t="shared" si="3"/>
        <v>6.0606060606060608E-2</v>
      </c>
      <c r="Q36" s="16">
        <f t="shared" si="3"/>
        <v>3.0303030303030304E-2</v>
      </c>
      <c r="R36" s="16">
        <f t="shared" si="3"/>
        <v>3.0303030303030304E-2</v>
      </c>
      <c r="S36" s="16">
        <f t="shared" si="3"/>
        <v>6.0606060606060608E-2</v>
      </c>
      <c r="T36" s="16">
        <f t="shared" si="3"/>
        <v>3.0303030303030304E-2</v>
      </c>
      <c r="U36" s="16">
        <f t="shared" si="3"/>
        <v>3.0303030303030304E-2</v>
      </c>
      <c r="V36" s="16">
        <f t="shared" si="3"/>
        <v>9.0909090909090912E-2</v>
      </c>
      <c r="W36" s="16">
        <f t="shared" si="3"/>
        <v>3.0303030303030304E-2</v>
      </c>
      <c r="X36" s="16">
        <f t="shared" si="3"/>
        <v>3.0303030303030304E-2</v>
      </c>
      <c r="Y36" s="16">
        <f t="shared" si="3"/>
        <v>3.0303030303030304E-2</v>
      </c>
      <c r="Z36" s="16">
        <f t="shared" si="3"/>
        <v>6.0606060606060608E-2</v>
      </c>
      <c r="AA36" s="16">
        <f t="shared" si="3"/>
        <v>6.0606060606060608E-2</v>
      </c>
      <c r="AB36" s="16">
        <f t="shared" si="3"/>
        <v>6.0606060606060608E-2</v>
      </c>
      <c r="AC36" s="16">
        <f t="shared" si="3"/>
        <v>3.0303030303030304E-2</v>
      </c>
      <c r="AD36" s="16">
        <f t="shared" si="3"/>
        <v>9.0909090909090912E-2</v>
      </c>
    </row>
    <row r="37" spans="6:30" x14ac:dyDescent="0.2">
      <c r="F37" s="17">
        <f>SUM(G37:V37)</f>
        <v>1</v>
      </c>
      <c r="G37" s="16">
        <f t="shared" si="2"/>
        <v>3.125E-2</v>
      </c>
      <c r="H37" s="16">
        <f t="shared" si="3"/>
        <v>3.125E-2</v>
      </c>
      <c r="I37" s="16">
        <f t="shared" si="3"/>
        <v>3.125E-2</v>
      </c>
      <c r="J37" s="16">
        <f t="shared" si="3"/>
        <v>3.125E-2</v>
      </c>
      <c r="K37" s="16">
        <f t="shared" si="3"/>
        <v>3.125E-2</v>
      </c>
      <c r="L37" s="16">
        <f t="shared" si="3"/>
        <v>3.125E-2</v>
      </c>
      <c r="M37" s="16">
        <f t="shared" si="3"/>
        <v>9.375E-2</v>
      </c>
      <c r="N37" s="16">
        <f t="shared" si="3"/>
        <v>3.125E-2</v>
      </c>
      <c r="O37" s="16">
        <f t="shared" si="3"/>
        <v>6.25E-2</v>
      </c>
      <c r="P37" s="16">
        <f t="shared" si="3"/>
        <v>3.125E-2</v>
      </c>
      <c r="Q37" s="16">
        <f t="shared" si="3"/>
        <v>3.125E-2</v>
      </c>
      <c r="R37" s="16">
        <f t="shared" si="3"/>
        <v>6.25E-2</v>
      </c>
      <c r="S37" s="16">
        <f t="shared" si="3"/>
        <v>9.375E-2</v>
      </c>
      <c r="T37" s="16">
        <f t="shared" si="3"/>
        <v>3.125E-2</v>
      </c>
      <c r="U37" s="16">
        <f t="shared" si="3"/>
        <v>3.125E-2</v>
      </c>
      <c r="V37" s="16">
        <f t="shared" si="3"/>
        <v>0.34375</v>
      </c>
      <c r="W37" s="16"/>
      <c r="X37" s="16"/>
      <c r="Y37" s="16"/>
      <c r="Z37" s="16"/>
      <c r="AA37" s="16"/>
      <c r="AB37" s="16"/>
      <c r="AC37" s="16"/>
      <c r="AD37" s="16"/>
    </row>
    <row r="38" spans="6:30" x14ac:dyDescent="0.2">
      <c r="F38" s="17">
        <f>SUM(G38:W38)</f>
        <v>1</v>
      </c>
      <c r="G38" s="16">
        <f t="shared" si="2"/>
        <v>2.9411764705882353E-2</v>
      </c>
      <c r="H38" s="16">
        <f t="shared" si="3"/>
        <v>2.9411764705882353E-2</v>
      </c>
      <c r="I38" s="16">
        <f t="shared" si="3"/>
        <v>2.9411764705882353E-2</v>
      </c>
      <c r="J38" s="16">
        <f t="shared" si="3"/>
        <v>2.9411764705882353E-2</v>
      </c>
      <c r="K38" s="16">
        <f t="shared" si="3"/>
        <v>2.9411764705882353E-2</v>
      </c>
      <c r="L38" s="16">
        <f t="shared" si="3"/>
        <v>2.9411764705882353E-2</v>
      </c>
      <c r="M38" s="16">
        <f t="shared" si="3"/>
        <v>2.9411764705882353E-2</v>
      </c>
      <c r="N38" s="16">
        <f t="shared" si="3"/>
        <v>2.9411764705882353E-2</v>
      </c>
      <c r="O38" s="16">
        <f t="shared" si="3"/>
        <v>2.9411764705882353E-2</v>
      </c>
      <c r="P38" s="16">
        <f t="shared" si="3"/>
        <v>2.9411764705882353E-2</v>
      </c>
      <c r="Q38" s="16">
        <f t="shared" si="3"/>
        <v>2.9411764705882353E-2</v>
      </c>
      <c r="R38" s="16">
        <f t="shared" si="3"/>
        <v>2.9411764705882353E-2</v>
      </c>
      <c r="S38" s="16">
        <f t="shared" si="3"/>
        <v>2.9411764705882353E-2</v>
      </c>
      <c r="T38" s="16">
        <f t="shared" si="3"/>
        <v>8.8235294117647065E-2</v>
      </c>
      <c r="U38" s="16">
        <f t="shared" si="3"/>
        <v>2.9411764705882353E-2</v>
      </c>
      <c r="V38" s="16">
        <f t="shared" si="3"/>
        <v>2.9411764705882353E-2</v>
      </c>
      <c r="W38" s="16">
        <f t="shared" si="3"/>
        <v>0.47058823529411764</v>
      </c>
      <c r="X38" s="16"/>
      <c r="Y38" s="16"/>
      <c r="Z38" s="16"/>
      <c r="AA38" s="16"/>
      <c r="AB38" s="16"/>
      <c r="AC38" s="16"/>
      <c r="AD38" s="16"/>
    </row>
    <row r="39" spans="6:30" x14ac:dyDescent="0.2">
      <c r="F39" s="17">
        <f>SUM(G39:S39)</f>
        <v>1</v>
      </c>
      <c r="G39" s="16">
        <f t="shared" si="2"/>
        <v>2.9411764705882353E-2</v>
      </c>
      <c r="H39" s="16">
        <f t="shared" si="3"/>
        <v>2.9411764705882353E-2</v>
      </c>
      <c r="I39" s="16">
        <f t="shared" si="3"/>
        <v>2.9411764705882353E-2</v>
      </c>
      <c r="J39" s="16">
        <f t="shared" si="3"/>
        <v>2.9411764705882353E-2</v>
      </c>
      <c r="K39" s="16">
        <f t="shared" si="3"/>
        <v>2.9411764705882353E-2</v>
      </c>
      <c r="L39" s="16">
        <f t="shared" si="3"/>
        <v>5.8823529411764705E-2</v>
      </c>
      <c r="M39" s="16">
        <f t="shared" si="3"/>
        <v>2.9411764705882353E-2</v>
      </c>
      <c r="N39" s="16">
        <f t="shared" si="3"/>
        <v>2.9411764705882353E-2</v>
      </c>
      <c r="O39" s="16">
        <f t="shared" si="3"/>
        <v>2.9411764705882353E-2</v>
      </c>
      <c r="P39" s="16">
        <f t="shared" si="3"/>
        <v>5.8823529411764705E-2</v>
      </c>
      <c r="Q39" s="16">
        <f t="shared" si="3"/>
        <v>5.8823529411764705E-2</v>
      </c>
      <c r="R39" s="16">
        <f t="shared" si="3"/>
        <v>5.8823529411764705E-2</v>
      </c>
      <c r="S39" s="16">
        <f t="shared" si="3"/>
        <v>0.52941176470588236</v>
      </c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 spans="6:30" x14ac:dyDescent="0.2">
      <c r="F40" s="17">
        <f>SUM(G40:W40)</f>
        <v>1</v>
      </c>
      <c r="G40" s="16">
        <f t="shared" si="2"/>
        <v>2.7777777777777776E-2</v>
      </c>
      <c r="H40" s="16">
        <f t="shared" si="3"/>
        <v>2.7777777777777776E-2</v>
      </c>
      <c r="I40" s="16">
        <f t="shared" si="3"/>
        <v>2.7777777777777776E-2</v>
      </c>
      <c r="J40" s="16">
        <f t="shared" si="3"/>
        <v>5.5555555555555552E-2</v>
      </c>
      <c r="K40" s="16">
        <f t="shared" si="3"/>
        <v>5.5555555555555552E-2</v>
      </c>
      <c r="L40" s="16">
        <f t="shared" si="3"/>
        <v>2.7777777777777776E-2</v>
      </c>
      <c r="M40" s="16">
        <f t="shared" si="3"/>
        <v>2.7777777777777776E-2</v>
      </c>
      <c r="N40" s="16">
        <f t="shared" si="3"/>
        <v>2.7777777777777776E-2</v>
      </c>
      <c r="O40" s="16">
        <f t="shared" si="3"/>
        <v>8.3333333333333329E-2</v>
      </c>
      <c r="P40" s="16">
        <f t="shared" si="3"/>
        <v>2.7777777777777776E-2</v>
      </c>
      <c r="Q40" s="16">
        <f t="shared" si="3"/>
        <v>5.5555555555555552E-2</v>
      </c>
      <c r="R40" s="16">
        <f t="shared" si="3"/>
        <v>2.7777777777777776E-2</v>
      </c>
      <c r="S40" s="16">
        <f t="shared" si="3"/>
        <v>5.5555555555555552E-2</v>
      </c>
      <c r="T40" s="16">
        <f t="shared" si="3"/>
        <v>2.7777777777777776E-2</v>
      </c>
      <c r="U40" s="16">
        <f t="shared" si="3"/>
        <v>2.7777777777777776E-2</v>
      </c>
      <c r="V40" s="16">
        <f t="shared" si="3"/>
        <v>8.3333333333333329E-2</v>
      </c>
      <c r="W40" s="16">
        <f t="shared" si="3"/>
        <v>0.33333333333333331</v>
      </c>
      <c r="X40" s="16"/>
      <c r="Y40" s="16"/>
      <c r="Z40" s="16"/>
      <c r="AA40" s="16"/>
      <c r="AB40" s="16"/>
      <c r="AC40" s="16"/>
      <c r="AD40" s="16"/>
    </row>
    <row r="41" spans="6:30" x14ac:dyDescent="0.2">
      <c r="F41" s="17">
        <f>SUM(G41:V41)</f>
        <v>1</v>
      </c>
      <c r="G41" s="16">
        <f t="shared" si="2"/>
        <v>2.7027027027027029E-2</v>
      </c>
      <c r="H41" s="16">
        <f t="shared" si="3"/>
        <v>2.7027027027027029E-2</v>
      </c>
      <c r="I41" s="16">
        <f t="shared" si="3"/>
        <v>2.7027027027027029E-2</v>
      </c>
      <c r="J41" s="16">
        <f t="shared" si="3"/>
        <v>2.7027027027027029E-2</v>
      </c>
      <c r="K41" s="16">
        <f t="shared" si="3"/>
        <v>2.7027027027027029E-2</v>
      </c>
      <c r="L41" s="16">
        <f t="shared" si="3"/>
        <v>2.7027027027027029E-2</v>
      </c>
      <c r="M41" s="16">
        <f t="shared" si="3"/>
        <v>5.4054054054054057E-2</v>
      </c>
      <c r="N41" s="16">
        <f t="shared" si="3"/>
        <v>2.7027027027027029E-2</v>
      </c>
      <c r="O41" s="16">
        <f t="shared" si="3"/>
        <v>5.4054054054054057E-2</v>
      </c>
      <c r="P41" s="16">
        <f t="shared" si="3"/>
        <v>2.7027027027027029E-2</v>
      </c>
      <c r="Q41" s="16">
        <f t="shared" si="3"/>
        <v>5.4054054054054057E-2</v>
      </c>
      <c r="R41" s="16">
        <f t="shared" si="3"/>
        <v>0.10810810810810811</v>
      </c>
      <c r="S41" s="16">
        <f t="shared" si="3"/>
        <v>2.7027027027027029E-2</v>
      </c>
      <c r="T41" s="16">
        <f t="shared" si="3"/>
        <v>2.7027027027027029E-2</v>
      </c>
      <c r="U41" s="16">
        <f t="shared" si="3"/>
        <v>0.13513513513513514</v>
      </c>
      <c r="V41" s="16">
        <f t="shared" si="3"/>
        <v>0.32432432432432434</v>
      </c>
      <c r="W41" s="16"/>
      <c r="X41" s="16"/>
      <c r="Y41" s="16"/>
      <c r="Z41" s="16"/>
      <c r="AA41" s="16"/>
      <c r="AB41" s="16"/>
      <c r="AC41" s="16"/>
      <c r="AD41" s="16"/>
    </row>
    <row r="42" spans="6:30" x14ac:dyDescent="0.2">
      <c r="F42" s="17">
        <f>SUM(G42:T42)</f>
        <v>1</v>
      </c>
      <c r="G42" s="16">
        <f t="shared" si="2"/>
        <v>3.3333333333333333E-2</v>
      </c>
      <c r="H42" s="16">
        <f t="shared" si="3"/>
        <v>3.3333333333333333E-2</v>
      </c>
      <c r="I42" s="16">
        <f t="shared" si="3"/>
        <v>3.3333333333333333E-2</v>
      </c>
      <c r="J42" s="16">
        <f t="shared" si="3"/>
        <v>3.3333333333333333E-2</v>
      </c>
      <c r="K42" s="16">
        <f t="shared" si="3"/>
        <v>6.6666666666666666E-2</v>
      </c>
      <c r="L42" s="16">
        <f t="shared" si="3"/>
        <v>3.3333333333333333E-2</v>
      </c>
      <c r="M42" s="16">
        <f t="shared" si="3"/>
        <v>3.3333333333333333E-2</v>
      </c>
      <c r="N42" s="16">
        <f t="shared" si="3"/>
        <v>3.3333333333333333E-2</v>
      </c>
      <c r="O42" s="16">
        <f t="shared" si="3"/>
        <v>0.13333333333333333</v>
      </c>
      <c r="P42" s="16">
        <f t="shared" si="3"/>
        <v>3.3333333333333333E-2</v>
      </c>
      <c r="Q42" s="16">
        <f t="shared" si="3"/>
        <v>3.3333333333333333E-2</v>
      </c>
      <c r="R42" s="16">
        <f t="shared" si="3"/>
        <v>6.6666666666666666E-2</v>
      </c>
      <c r="S42" s="16">
        <f t="shared" si="3"/>
        <v>3.3333333333333333E-2</v>
      </c>
      <c r="T42" s="16">
        <f t="shared" si="3"/>
        <v>0.4</v>
      </c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 spans="6:30" x14ac:dyDescent="0.2">
      <c r="F43" s="20">
        <f>SUM(G43:U43)</f>
        <v>1</v>
      </c>
      <c r="G43" s="16">
        <f>G21/$C21</f>
        <v>2.8571428571428571E-2</v>
      </c>
      <c r="H43" s="16">
        <f t="shared" ref="H43:U43" si="4">H21/$C21</f>
        <v>2.8571428571428571E-2</v>
      </c>
      <c r="I43" s="16">
        <f t="shared" si="4"/>
        <v>2.8571428571428571E-2</v>
      </c>
      <c r="J43" s="16">
        <f t="shared" si="4"/>
        <v>2.8571428571428571E-2</v>
      </c>
      <c r="K43" s="16">
        <f t="shared" si="4"/>
        <v>2.8571428571428571E-2</v>
      </c>
      <c r="L43" s="16">
        <f t="shared" si="4"/>
        <v>2.8571428571428571E-2</v>
      </c>
      <c r="M43" s="16">
        <f t="shared" si="4"/>
        <v>2.8571428571428571E-2</v>
      </c>
      <c r="N43" s="16">
        <f t="shared" si="4"/>
        <v>2.8571428571428571E-2</v>
      </c>
      <c r="O43" s="16">
        <f t="shared" si="4"/>
        <v>2.8571428571428571E-2</v>
      </c>
      <c r="P43" s="16">
        <f t="shared" si="4"/>
        <v>2.8571428571428571E-2</v>
      </c>
      <c r="Q43" s="16">
        <f t="shared" si="4"/>
        <v>2.8571428571428571E-2</v>
      </c>
      <c r="R43" s="16">
        <f t="shared" si="4"/>
        <v>5.7142857142857141E-2</v>
      </c>
      <c r="S43" s="16">
        <f t="shared" si="4"/>
        <v>8.5714285714285715E-2</v>
      </c>
      <c r="T43" s="16">
        <f t="shared" si="4"/>
        <v>0.11428571428571428</v>
      </c>
      <c r="U43" s="16">
        <f t="shared" si="4"/>
        <v>0.42857142857142855</v>
      </c>
      <c r="V43" s="16"/>
      <c r="W43" s="16"/>
      <c r="X43" s="16"/>
      <c r="Y43" s="16"/>
      <c r="Z43" s="16"/>
      <c r="AA43" s="16"/>
      <c r="AB43" s="16"/>
      <c r="AC43" s="16"/>
      <c r="AD43" s="16"/>
    </row>
    <row r="44" spans="6:30" x14ac:dyDescent="0.2"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6:30" x14ac:dyDescent="0.2">
      <c r="F45" s="24" t="s">
        <v>113</v>
      </c>
      <c r="G45" s="32" t="s">
        <v>117</v>
      </c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spans="6:30" x14ac:dyDescent="0.2">
      <c r="F46" s="16">
        <f>SUM(G46:W46)</f>
        <v>0.14128943758573387</v>
      </c>
      <c r="G46" s="16">
        <f t="shared" ref="G46:G65" si="5">G24^2</f>
        <v>1.3717421124828531E-3</v>
      </c>
      <c r="H46" s="16">
        <f t="shared" ref="H46:S46" si="6">H24^2</f>
        <v>1.3717421124828531E-3</v>
      </c>
      <c r="I46" s="16">
        <f t="shared" si="6"/>
        <v>1.3717421124828531E-3</v>
      </c>
      <c r="J46" s="16">
        <f t="shared" si="6"/>
        <v>1.3717421124828531E-3</v>
      </c>
      <c r="K46" s="16">
        <f t="shared" si="6"/>
        <v>1.3717421124828531E-3</v>
      </c>
      <c r="L46" s="16">
        <f t="shared" si="6"/>
        <v>1.3717421124828531E-3</v>
      </c>
      <c r="M46" s="16">
        <f t="shared" si="6"/>
        <v>5.4869684499314125E-3</v>
      </c>
      <c r="N46" s="16">
        <f t="shared" si="6"/>
        <v>1.3717421124828531E-3</v>
      </c>
      <c r="O46" s="16">
        <f t="shared" si="6"/>
        <v>1.3717421124828531E-3</v>
      </c>
      <c r="P46" s="16">
        <f t="shared" si="6"/>
        <v>1.3717421124828531E-3</v>
      </c>
      <c r="Q46" s="16">
        <f t="shared" si="6"/>
        <v>5.4869684499314125E-3</v>
      </c>
      <c r="R46" s="16">
        <f t="shared" si="6"/>
        <v>1.3717421124828531E-3</v>
      </c>
      <c r="S46" s="16">
        <f t="shared" si="6"/>
        <v>1.3717421124828531E-3</v>
      </c>
      <c r="T46" s="16">
        <f>T24^2</f>
        <v>1.3717421124828531E-3</v>
      </c>
      <c r="U46" s="16">
        <f t="shared" ref="U46:W46" si="7">U24^2</f>
        <v>1.3717421124828531E-3</v>
      </c>
      <c r="V46" s="16">
        <f t="shared" si="7"/>
        <v>1.3717421124828531E-3</v>
      </c>
      <c r="W46" s="16">
        <f t="shared" si="7"/>
        <v>0.1111111111111111</v>
      </c>
      <c r="X46" s="16"/>
      <c r="Y46" s="16"/>
      <c r="Z46" s="16"/>
      <c r="AA46" s="16"/>
      <c r="AB46" s="16"/>
      <c r="AC46" s="16"/>
      <c r="AD46" s="16"/>
    </row>
    <row r="47" spans="6:30" x14ac:dyDescent="0.2">
      <c r="F47" s="16">
        <f>SUM(G47:R47)</f>
        <v>0.15500685871056241</v>
      </c>
      <c r="G47" s="16">
        <f t="shared" si="5"/>
        <v>1.3717421124828531E-3</v>
      </c>
      <c r="H47" s="16">
        <f t="shared" ref="H47:R47" si="8">H25^2</f>
        <v>1.3717421124828531E-3</v>
      </c>
      <c r="I47" s="16">
        <f t="shared" si="8"/>
        <v>1.3717421124828531E-3</v>
      </c>
      <c r="J47" s="16">
        <f t="shared" si="8"/>
        <v>1.3717421124828531E-3</v>
      </c>
      <c r="K47" s="16">
        <f t="shared" si="8"/>
        <v>1.3717421124828531E-3</v>
      </c>
      <c r="L47" s="16">
        <f t="shared" si="8"/>
        <v>5.4869684499314125E-3</v>
      </c>
      <c r="M47" s="16">
        <f t="shared" si="8"/>
        <v>1.3717421124828531E-3</v>
      </c>
      <c r="N47" s="16">
        <f t="shared" si="8"/>
        <v>1.3717421124828531E-3</v>
      </c>
      <c r="O47" s="16">
        <f t="shared" si="8"/>
        <v>1.3717421124828531E-3</v>
      </c>
      <c r="P47" s="16">
        <f t="shared" si="8"/>
        <v>2.194787379972565E-2</v>
      </c>
      <c r="Q47" s="16">
        <f t="shared" si="8"/>
        <v>4.9382716049382713E-2</v>
      </c>
      <c r="R47" s="16">
        <f t="shared" si="8"/>
        <v>6.7215363511659798E-2</v>
      </c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 spans="6:30" x14ac:dyDescent="0.2">
      <c r="F48" s="16">
        <f>SUM(G48:Q48)</f>
        <v>0.27023319615912206</v>
      </c>
      <c r="G48" s="16">
        <f t="shared" si="5"/>
        <v>1.3717421124828531E-3</v>
      </c>
      <c r="H48" s="16">
        <f t="shared" ref="H48:Q48" si="9">H26^2</f>
        <v>1.3717421124828531E-3</v>
      </c>
      <c r="I48" s="16">
        <f t="shared" si="9"/>
        <v>1.3717421124828531E-3</v>
      </c>
      <c r="J48" s="16">
        <f t="shared" si="9"/>
        <v>1.3717421124828531E-3</v>
      </c>
      <c r="K48" s="16">
        <f t="shared" si="9"/>
        <v>1.3717421124828531E-3</v>
      </c>
      <c r="L48" s="16">
        <f t="shared" si="9"/>
        <v>5.4869684499314125E-3</v>
      </c>
      <c r="M48" s="16">
        <f t="shared" si="9"/>
        <v>1.3717421124828531E-3</v>
      </c>
      <c r="N48" s="16">
        <f t="shared" si="9"/>
        <v>2.194787379972565E-2</v>
      </c>
      <c r="O48" s="16">
        <f t="shared" si="9"/>
        <v>1.3717421124828531E-3</v>
      </c>
      <c r="P48" s="16">
        <f t="shared" si="9"/>
        <v>1.3717421124828531E-3</v>
      </c>
      <c r="Q48" s="16">
        <f t="shared" si="9"/>
        <v>0.23182441700960216</v>
      </c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spans="6:30" x14ac:dyDescent="0.2">
      <c r="F49" s="16">
        <f>SUM(G49:Q49)</f>
        <v>0.14612244897959181</v>
      </c>
      <c r="G49" s="16">
        <f t="shared" si="5"/>
        <v>8.1632653061224482E-4</v>
      </c>
      <c r="H49" s="16">
        <f t="shared" ref="H49:Q49" si="10">H27^2</f>
        <v>8.1632653061224482E-4</v>
      </c>
      <c r="I49" s="16">
        <f t="shared" si="10"/>
        <v>3.2653061224489793E-3</v>
      </c>
      <c r="J49" s="16">
        <f t="shared" si="10"/>
        <v>8.1632653061224482E-4</v>
      </c>
      <c r="K49" s="16">
        <f t="shared" si="10"/>
        <v>3.2653061224489793E-3</v>
      </c>
      <c r="L49" s="16">
        <f t="shared" si="10"/>
        <v>8.1632653061224482E-4</v>
      </c>
      <c r="M49" s="16">
        <f t="shared" si="10"/>
        <v>2.9387755102040818E-2</v>
      </c>
      <c r="N49" s="16">
        <f t="shared" si="10"/>
        <v>7.3469387755102046E-3</v>
      </c>
      <c r="O49" s="16">
        <f t="shared" si="10"/>
        <v>2.0408163265306121E-2</v>
      </c>
      <c r="P49" s="16">
        <f t="shared" si="10"/>
        <v>1.3061224489795917E-2</v>
      </c>
      <c r="Q49" s="16">
        <f t="shared" si="10"/>
        <v>6.6122448979591825E-2</v>
      </c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 spans="6:30" x14ac:dyDescent="0.2">
      <c r="F50" s="16">
        <f>SUM(G50:V50)</f>
        <v>0.18559556786703602</v>
      </c>
      <c r="G50" s="16">
        <f t="shared" si="5"/>
        <v>6.9252077562326859E-4</v>
      </c>
      <c r="H50" s="16">
        <f t="shared" ref="H50:Q50" si="11">H28^2</f>
        <v>6.9252077562326859E-4</v>
      </c>
      <c r="I50" s="16">
        <f t="shared" si="11"/>
        <v>6.9252077562326859E-4</v>
      </c>
      <c r="J50" s="16">
        <f t="shared" si="11"/>
        <v>6.9252077562326859E-4</v>
      </c>
      <c r="K50" s="16">
        <f t="shared" si="11"/>
        <v>2.7700831024930744E-3</v>
      </c>
      <c r="L50" s="16">
        <f t="shared" si="11"/>
        <v>6.9252077562326859E-4</v>
      </c>
      <c r="M50" s="16">
        <f t="shared" si="11"/>
        <v>6.9252077562326859E-4</v>
      </c>
      <c r="N50" s="16">
        <f t="shared" si="11"/>
        <v>6.9252077562326859E-4</v>
      </c>
      <c r="O50" s="16">
        <f t="shared" si="11"/>
        <v>2.7700831024930744E-3</v>
      </c>
      <c r="P50" s="16">
        <f t="shared" si="11"/>
        <v>6.9252077562326859E-4</v>
      </c>
      <c r="Q50" s="16">
        <f t="shared" si="11"/>
        <v>2.7700831024930744E-3</v>
      </c>
      <c r="R50" s="16">
        <f>R28^2</f>
        <v>6.2326869806094178E-3</v>
      </c>
      <c r="S50" s="16">
        <f>S28^2</f>
        <v>6.9252077562326859E-4</v>
      </c>
      <c r="T50" s="16">
        <f>T28^2</f>
        <v>6.2326869806094178E-3</v>
      </c>
      <c r="U50" s="16">
        <f>U28^2</f>
        <v>2.7700831024930744E-3</v>
      </c>
      <c r="V50" s="16">
        <f>V28^2</f>
        <v>0.15581717451523547</v>
      </c>
      <c r="W50" s="16"/>
      <c r="X50" s="16"/>
      <c r="Y50" s="16"/>
      <c r="Z50" s="16"/>
      <c r="AA50" s="16"/>
      <c r="AB50" s="16"/>
      <c r="AC50" s="16"/>
      <c r="AD50" s="16"/>
    </row>
    <row r="51" spans="6:30" x14ac:dyDescent="0.2">
      <c r="F51" s="16">
        <f>SUM(G51:U51)</f>
        <v>0.16326530612244899</v>
      </c>
      <c r="G51" s="16">
        <f t="shared" si="5"/>
        <v>1.2755102040816326E-3</v>
      </c>
      <c r="H51" s="16">
        <f t="shared" ref="H51:Q51" si="12">H29^2</f>
        <v>1.2755102040816326E-3</v>
      </c>
      <c r="I51" s="16">
        <f t="shared" si="12"/>
        <v>1.2755102040816326E-3</v>
      </c>
      <c r="J51" s="16">
        <f t="shared" si="12"/>
        <v>1.2755102040816326E-3</v>
      </c>
      <c r="K51" s="16">
        <f t="shared" si="12"/>
        <v>1.2755102040816326E-3</v>
      </c>
      <c r="L51" s="16">
        <f t="shared" si="12"/>
        <v>1.2755102040816326E-3</v>
      </c>
      <c r="M51" s="16">
        <f t="shared" si="12"/>
        <v>5.1020408163265302E-3</v>
      </c>
      <c r="N51" s="16">
        <f t="shared" si="12"/>
        <v>1.2755102040816326E-3</v>
      </c>
      <c r="O51" s="16">
        <f t="shared" si="12"/>
        <v>1.2755102040816326E-3</v>
      </c>
      <c r="P51" s="16">
        <f t="shared" si="12"/>
        <v>1.2755102040816326E-3</v>
      </c>
      <c r="Q51" s="16">
        <f t="shared" si="12"/>
        <v>1.2755102040816326E-3</v>
      </c>
      <c r="R51" s="16">
        <f t="shared" ref="R51:U57" si="13">R29^2</f>
        <v>1.1479591836734693E-2</v>
      </c>
      <c r="S51" s="16">
        <f t="shared" si="13"/>
        <v>1.2755102040816326E-3</v>
      </c>
      <c r="T51" s="16">
        <f t="shared" si="13"/>
        <v>5.1020408163265302E-3</v>
      </c>
      <c r="U51" s="16">
        <f t="shared" si="13"/>
        <v>0.12755102040816327</v>
      </c>
      <c r="V51" s="16"/>
      <c r="W51" s="16"/>
      <c r="X51" s="16"/>
      <c r="Y51" s="16"/>
      <c r="Z51" s="16"/>
      <c r="AA51" s="16"/>
      <c r="AB51" s="16"/>
      <c r="AC51" s="16"/>
      <c r="AD51" s="16"/>
    </row>
    <row r="52" spans="6:30" x14ac:dyDescent="0.2">
      <c r="F52" s="16">
        <f>SUM(G52:AB52)</f>
        <v>0.13609467455621299</v>
      </c>
      <c r="G52" s="16">
        <f t="shared" si="5"/>
        <v>6.5746219592373431E-4</v>
      </c>
      <c r="H52" s="16">
        <f t="shared" ref="H52:Q52" si="14">H30^2</f>
        <v>6.5746219592373431E-4</v>
      </c>
      <c r="I52" s="16">
        <f t="shared" si="14"/>
        <v>6.5746219592373431E-4</v>
      </c>
      <c r="J52" s="16">
        <f t="shared" si="14"/>
        <v>6.5746219592373431E-4</v>
      </c>
      <c r="K52" s="16">
        <f t="shared" si="14"/>
        <v>6.5746219592373431E-4</v>
      </c>
      <c r="L52" s="16">
        <f t="shared" si="14"/>
        <v>6.5746219592373431E-4</v>
      </c>
      <c r="M52" s="16">
        <f t="shared" si="14"/>
        <v>6.5746219592373431E-4</v>
      </c>
      <c r="N52" s="16">
        <f t="shared" si="14"/>
        <v>6.5746219592373431E-4</v>
      </c>
      <c r="O52" s="16">
        <f t="shared" si="14"/>
        <v>6.5746219592373431E-4</v>
      </c>
      <c r="P52" s="16">
        <f t="shared" si="14"/>
        <v>6.5746219592373431E-4</v>
      </c>
      <c r="Q52" s="16">
        <f t="shared" si="14"/>
        <v>6.5746219592373431E-4</v>
      </c>
      <c r="R52" s="16">
        <f t="shared" si="13"/>
        <v>6.5746219592373431E-4</v>
      </c>
      <c r="S52" s="16">
        <f t="shared" si="13"/>
        <v>2.6298487836949372E-3</v>
      </c>
      <c r="T52" s="16">
        <f t="shared" si="13"/>
        <v>6.5746219592373431E-4</v>
      </c>
      <c r="U52" s="16">
        <f t="shared" si="13"/>
        <v>2.6298487836949372E-3</v>
      </c>
      <c r="V52" s="16">
        <f t="shared" ref="V52:AB52" si="15">V30^2</f>
        <v>2.6298487836949372E-3</v>
      </c>
      <c r="W52" s="16">
        <f t="shared" si="15"/>
        <v>6.5746219592373431E-4</v>
      </c>
      <c r="X52" s="16">
        <f t="shared" si="15"/>
        <v>6.5746219592373431E-4</v>
      </c>
      <c r="Y52" s="16">
        <f t="shared" si="15"/>
        <v>5.9171597633136102E-3</v>
      </c>
      <c r="Z52" s="16">
        <f t="shared" si="15"/>
        <v>6.5746219592373431E-4</v>
      </c>
      <c r="AA52" s="16">
        <f t="shared" si="15"/>
        <v>6.5746219592373431E-4</v>
      </c>
      <c r="AB52" s="16">
        <f t="shared" si="15"/>
        <v>0.1111111111111111</v>
      </c>
      <c r="AC52" s="16"/>
      <c r="AD52" s="16"/>
    </row>
    <row r="53" spans="6:30" x14ac:dyDescent="0.2">
      <c r="F53" s="16">
        <f>SUM(G53:U53)</f>
        <v>0.18518518518518517</v>
      </c>
      <c r="G53" s="16">
        <f t="shared" si="5"/>
        <v>7.716049382716049E-4</v>
      </c>
      <c r="H53" s="16">
        <f t="shared" ref="H53:Q53" si="16">H31^2</f>
        <v>7.716049382716049E-4</v>
      </c>
      <c r="I53" s="16">
        <f t="shared" si="16"/>
        <v>7.716049382716049E-4</v>
      </c>
      <c r="J53" s="16">
        <f t="shared" si="16"/>
        <v>7.716049382716049E-4</v>
      </c>
      <c r="K53" s="16">
        <f t="shared" si="16"/>
        <v>3.0864197530864196E-3</v>
      </c>
      <c r="L53" s="16">
        <f t="shared" si="16"/>
        <v>7.716049382716049E-4</v>
      </c>
      <c r="M53" s="16">
        <f t="shared" si="16"/>
        <v>7.716049382716049E-4</v>
      </c>
      <c r="N53" s="16">
        <f t="shared" si="16"/>
        <v>7.716049382716049E-4</v>
      </c>
      <c r="O53" s="16">
        <f t="shared" si="16"/>
        <v>6.9444444444444441E-3</v>
      </c>
      <c r="P53" s="16">
        <f t="shared" si="16"/>
        <v>7.716049382716049E-4</v>
      </c>
      <c r="Q53" s="16">
        <f t="shared" si="16"/>
        <v>3.0864197530864196E-3</v>
      </c>
      <c r="R53" s="16">
        <f t="shared" si="13"/>
        <v>6.9444444444444441E-3</v>
      </c>
      <c r="S53" s="16">
        <f t="shared" si="13"/>
        <v>6.9444444444444441E-3</v>
      </c>
      <c r="T53" s="16">
        <f t="shared" si="13"/>
        <v>7.716049382716049E-4</v>
      </c>
      <c r="U53" s="16">
        <f t="shared" si="13"/>
        <v>0.15123456790123457</v>
      </c>
      <c r="V53" s="16"/>
      <c r="W53" s="16"/>
      <c r="X53" s="16"/>
      <c r="Y53" s="16"/>
      <c r="Z53" s="16"/>
      <c r="AA53" s="16"/>
      <c r="AB53" s="16"/>
      <c r="AC53" s="16"/>
      <c r="AD53" s="16"/>
    </row>
    <row r="54" spans="6:30" x14ac:dyDescent="0.2">
      <c r="F54" s="16">
        <f>SUM(G54:U54)</f>
        <v>0.10666666666666669</v>
      </c>
      <c r="G54" s="16">
        <f t="shared" si="5"/>
        <v>1.1111111111111111E-3</v>
      </c>
      <c r="H54" s="16">
        <f t="shared" ref="H54:Q54" si="17">H32^2</f>
        <v>1.1111111111111111E-3</v>
      </c>
      <c r="I54" s="16">
        <f t="shared" si="17"/>
        <v>1.1111111111111111E-3</v>
      </c>
      <c r="J54" s="16">
        <f t="shared" si="17"/>
        <v>4.4444444444444444E-3</v>
      </c>
      <c r="K54" s="16">
        <f t="shared" si="17"/>
        <v>1.1111111111111111E-3</v>
      </c>
      <c r="L54" s="16">
        <f t="shared" si="17"/>
        <v>1.1111111111111111E-3</v>
      </c>
      <c r="M54" s="16">
        <f t="shared" si="17"/>
        <v>1.1111111111111111E-3</v>
      </c>
      <c r="N54" s="16">
        <f t="shared" si="17"/>
        <v>1.1111111111111111E-3</v>
      </c>
      <c r="O54" s="16">
        <f t="shared" si="17"/>
        <v>1.1111111111111111E-3</v>
      </c>
      <c r="P54" s="16">
        <f t="shared" si="17"/>
        <v>1.1111111111111111E-3</v>
      </c>
      <c r="Q54" s="16">
        <f t="shared" si="17"/>
        <v>4.4444444444444444E-3</v>
      </c>
      <c r="R54" s="16">
        <f t="shared" si="13"/>
        <v>1.0000000000000002E-2</v>
      </c>
      <c r="S54" s="16">
        <f t="shared" si="13"/>
        <v>2.7777777777777776E-2</v>
      </c>
      <c r="T54" s="16">
        <f t="shared" si="13"/>
        <v>1.0000000000000002E-2</v>
      </c>
      <c r="U54" s="16">
        <f t="shared" si="13"/>
        <v>4.0000000000000008E-2</v>
      </c>
      <c r="V54" s="16"/>
      <c r="W54" s="16"/>
      <c r="X54" s="16"/>
      <c r="Y54" s="16"/>
      <c r="Z54" s="16"/>
      <c r="AA54" s="16"/>
      <c r="AB54" s="16"/>
      <c r="AC54" s="16"/>
      <c r="AD54" s="16"/>
    </row>
    <row r="55" spans="6:30" x14ac:dyDescent="0.2">
      <c r="F55" s="16">
        <f>SUM(G55:U55)</f>
        <v>0.11183673469387753</v>
      </c>
      <c r="G55" s="16">
        <f t="shared" si="5"/>
        <v>8.1632653061224482E-4</v>
      </c>
      <c r="H55" s="16">
        <f t="shared" ref="H55:Q55" si="18">H33^2</f>
        <v>8.1632653061224482E-4</v>
      </c>
      <c r="I55" s="16">
        <f t="shared" si="18"/>
        <v>3.2653061224489793E-3</v>
      </c>
      <c r="J55" s="16">
        <f t="shared" si="18"/>
        <v>3.2653061224489793E-3</v>
      </c>
      <c r="K55" s="16">
        <f t="shared" si="18"/>
        <v>8.1632653061224482E-4</v>
      </c>
      <c r="L55" s="16">
        <f t="shared" si="18"/>
        <v>8.1632653061224482E-4</v>
      </c>
      <c r="M55" s="16">
        <f t="shared" si="18"/>
        <v>8.1632653061224482E-4</v>
      </c>
      <c r="N55" s="16">
        <f t="shared" si="18"/>
        <v>7.3469387755102046E-3</v>
      </c>
      <c r="O55" s="16">
        <f t="shared" si="18"/>
        <v>8.1632653061224482E-4</v>
      </c>
      <c r="P55" s="16">
        <f t="shared" si="18"/>
        <v>8.1632653061224482E-4</v>
      </c>
      <c r="Q55" s="16">
        <f t="shared" si="18"/>
        <v>2.0408163265306121E-2</v>
      </c>
      <c r="R55" s="16">
        <f t="shared" si="13"/>
        <v>3.2653061224489793E-3</v>
      </c>
      <c r="S55" s="16">
        <f t="shared" si="13"/>
        <v>1.3061224489795917E-2</v>
      </c>
      <c r="T55" s="16">
        <f t="shared" si="13"/>
        <v>3.2653061224489793E-3</v>
      </c>
      <c r="U55" s="16">
        <f t="shared" si="13"/>
        <v>5.2244897959183668E-2</v>
      </c>
      <c r="V55" s="16"/>
      <c r="W55" s="16"/>
      <c r="X55" s="16"/>
      <c r="Y55" s="16"/>
      <c r="Z55" s="16"/>
      <c r="AA55" s="16"/>
      <c r="AB55" s="16"/>
      <c r="AC55" s="16"/>
      <c r="AD55" s="16"/>
    </row>
    <row r="56" spans="6:30" x14ac:dyDescent="0.2">
      <c r="F56" s="16">
        <f>SUM(G56:V56)</f>
        <v>0.21306122448979589</v>
      </c>
      <c r="G56" s="16">
        <f t="shared" si="5"/>
        <v>8.1632653061224482E-4</v>
      </c>
      <c r="H56" s="16">
        <f t="shared" ref="H56:Q56" si="19">H34^2</f>
        <v>8.1632653061224482E-4</v>
      </c>
      <c r="I56" s="16">
        <f t="shared" si="19"/>
        <v>8.1632653061224482E-4</v>
      </c>
      <c r="J56" s="16">
        <f t="shared" si="19"/>
        <v>8.1632653061224482E-4</v>
      </c>
      <c r="K56" s="16">
        <f t="shared" si="19"/>
        <v>8.1632653061224482E-4</v>
      </c>
      <c r="L56" s="16">
        <f t="shared" si="19"/>
        <v>8.1632653061224482E-4</v>
      </c>
      <c r="M56" s="16">
        <f t="shared" si="19"/>
        <v>8.1632653061224482E-4</v>
      </c>
      <c r="N56" s="16">
        <f t="shared" si="19"/>
        <v>8.1632653061224482E-4</v>
      </c>
      <c r="O56" s="16">
        <f t="shared" si="19"/>
        <v>8.1632653061224482E-4</v>
      </c>
      <c r="P56" s="16">
        <f t="shared" si="19"/>
        <v>8.1632653061224482E-4</v>
      </c>
      <c r="Q56" s="16">
        <f t="shared" si="19"/>
        <v>8.1632653061224482E-4</v>
      </c>
      <c r="R56" s="16">
        <f t="shared" si="13"/>
        <v>8.1632653061224482E-4</v>
      </c>
      <c r="S56" s="16">
        <f t="shared" si="13"/>
        <v>3.2653061224489793E-3</v>
      </c>
      <c r="T56" s="16">
        <f t="shared" si="13"/>
        <v>1.3061224489795917E-2</v>
      </c>
      <c r="U56" s="16">
        <f t="shared" si="13"/>
        <v>3.2653061224489793E-3</v>
      </c>
      <c r="V56" s="16">
        <f>V34^2</f>
        <v>0.18367346938775508</v>
      </c>
      <c r="W56" s="16"/>
      <c r="X56" s="16"/>
      <c r="Y56" s="16"/>
      <c r="Z56" s="16"/>
      <c r="AA56" s="16"/>
      <c r="AB56" s="16"/>
      <c r="AC56" s="16"/>
      <c r="AD56" s="16"/>
    </row>
    <row r="57" spans="6:30" x14ac:dyDescent="0.2">
      <c r="F57" s="16">
        <f>SUM(G57:Y57)</f>
        <v>0.11550468262226847</v>
      </c>
      <c r="G57" s="16">
        <f t="shared" si="5"/>
        <v>1.0405827263267429E-3</v>
      </c>
      <c r="H57" s="16">
        <f t="shared" ref="H57:Q57" si="20">H35^2</f>
        <v>1.0405827263267429E-3</v>
      </c>
      <c r="I57" s="16">
        <f t="shared" si="20"/>
        <v>1.0405827263267429E-3</v>
      </c>
      <c r="J57" s="16">
        <f t="shared" si="20"/>
        <v>1.0405827263267429E-3</v>
      </c>
      <c r="K57" s="16">
        <f t="shared" si="20"/>
        <v>1.0405827263267429E-3</v>
      </c>
      <c r="L57" s="16">
        <f t="shared" si="20"/>
        <v>1.0405827263267429E-3</v>
      </c>
      <c r="M57" s="16">
        <f t="shared" si="20"/>
        <v>1.0405827263267429E-3</v>
      </c>
      <c r="N57" s="16">
        <f t="shared" si="20"/>
        <v>1.0405827263267429E-3</v>
      </c>
      <c r="O57" s="16">
        <f t="shared" si="20"/>
        <v>1.0405827263267429E-3</v>
      </c>
      <c r="P57" s="16">
        <f t="shared" si="20"/>
        <v>1.0405827263267429E-3</v>
      </c>
      <c r="Q57" s="16">
        <f t="shared" si="20"/>
        <v>1.0405827263267429E-3</v>
      </c>
      <c r="R57" s="16">
        <f t="shared" si="13"/>
        <v>1.0405827263267429E-3</v>
      </c>
      <c r="S57" s="16">
        <f t="shared" si="13"/>
        <v>1.0405827263267429E-3</v>
      </c>
      <c r="T57" s="16">
        <f t="shared" si="13"/>
        <v>4.1623309053069714E-3</v>
      </c>
      <c r="U57" s="16">
        <f t="shared" si="13"/>
        <v>4.1623309053069714E-3</v>
      </c>
      <c r="V57" s="16">
        <f>V35^2</f>
        <v>4.1623309053069714E-3</v>
      </c>
      <c r="W57" s="16">
        <f>W35^2</f>
        <v>1.0405827263267429E-3</v>
      </c>
      <c r="X57" s="16">
        <f>X35^2</f>
        <v>4.1623309053069714E-3</v>
      </c>
      <c r="Y57" s="16">
        <f>Y35^2</f>
        <v>8.4287200832466186E-2</v>
      </c>
      <c r="Z57" s="16"/>
      <c r="AA57" s="16"/>
      <c r="AB57" s="16"/>
      <c r="AC57" s="16"/>
      <c r="AD57" s="16"/>
    </row>
    <row r="58" spans="6:30" x14ac:dyDescent="0.2">
      <c r="F58" s="16">
        <f>SUM(G58:AD58)</f>
        <v>5.0505050505050504E-2</v>
      </c>
      <c r="G58" s="16">
        <f t="shared" si="5"/>
        <v>9.1827364554637292E-4</v>
      </c>
      <c r="H58" s="16">
        <f t="shared" ref="H58:Q58" si="21">H36^2</f>
        <v>9.1827364554637292E-4</v>
      </c>
      <c r="I58" s="16">
        <f t="shared" si="21"/>
        <v>9.1827364554637292E-4</v>
      </c>
      <c r="J58" s="16">
        <f t="shared" si="21"/>
        <v>9.1827364554637292E-4</v>
      </c>
      <c r="K58" s="16">
        <f t="shared" si="21"/>
        <v>9.1827364554637292E-4</v>
      </c>
      <c r="L58" s="16">
        <f t="shared" si="21"/>
        <v>9.1827364554637292E-4</v>
      </c>
      <c r="M58" s="16">
        <f t="shared" si="21"/>
        <v>9.1827364554637292E-4</v>
      </c>
      <c r="N58" s="16">
        <f t="shared" si="21"/>
        <v>9.1827364554637292E-4</v>
      </c>
      <c r="O58" s="16">
        <f t="shared" si="21"/>
        <v>9.1827364554637292E-4</v>
      </c>
      <c r="P58" s="16">
        <f t="shared" si="21"/>
        <v>3.6730945821854917E-3</v>
      </c>
      <c r="Q58" s="16">
        <f t="shared" si="21"/>
        <v>9.1827364554637292E-4</v>
      </c>
      <c r="R58" s="16">
        <f t="shared" ref="R58:S60" si="22">R36^2</f>
        <v>9.1827364554637292E-4</v>
      </c>
      <c r="S58" s="16">
        <f t="shared" si="22"/>
        <v>3.6730945821854917E-3</v>
      </c>
      <c r="T58" s="16">
        <f t="shared" ref="T58:AD58" si="23">T36^2</f>
        <v>9.1827364554637292E-4</v>
      </c>
      <c r="U58" s="16">
        <f t="shared" si="23"/>
        <v>9.1827364554637292E-4</v>
      </c>
      <c r="V58" s="16">
        <f t="shared" si="23"/>
        <v>8.2644628099173556E-3</v>
      </c>
      <c r="W58" s="16">
        <f t="shared" si="23"/>
        <v>9.1827364554637292E-4</v>
      </c>
      <c r="X58" s="16">
        <f t="shared" si="23"/>
        <v>9.1827364554637292E-4</v>
      </c>
      <c r="Y58" s="16">
        <f t="shared" si="23"/>
        <v>9.1827364554637292E-4</v>
      </c>
      <c r="Z58" s="16">
        <f t="shared" si="23"/>
        <v>3.6730945821854917E-3</v>
      </c>
      <c r="AA58" s="16">
        <f t="shared" si="23"/>
        <v>3.6730945821854917E-3</v>
      </c>
      <c r="AB58" s="16">
        <f t="shared" si="23"/>
        <v>3.6730945821854917E-3</v>
      </c>
      <c r="AC58" s="16">
        <f t="shared" si="23"/>
        <v>9.1827364554637292E-4</v>
      </c>
      <c r="AD58" s="16">
        <f t="shared" si="23"/>
        <v>8.2644628099173556E-3</v>
      </c>
    </row>
    <row r="59" spans="6:30" x14ac:dyDescent="0.2">
      <c r="F59" s="16">
        <f>SUM(G59:V59)</f>
        <v>0.154296875</v>
      </c>
      <c r="G59" s="16">
        <f t="shared" si="5"/>
        <v>9.765625E-4</v>
      </c>
      <c r="H59" s="16">
        <f t="shared" ref="H59:Q59" si="24">H37^2</f>
        <v>9.765625E-4</v>
      </c>
      <c r="I59" s="16">
        <f t="shared" si="24"/>
        <v>9.765625E-4</v>
      </c>
      <c r="J59" s="16">
        <f t="shared" si="24"/>
        <v>9.765625E-4</v>
      </c>
      <c r="K59" s="16">
        <f t="shared" si="24"/>
        <v>9.765625E-4</v>
      </c>
      <c r="L59" s="16">
        <f t="shared" si="24"/>
        <v>9.765625E-4</v>
      </c>
      <c r="M59" s="16">
        <f t="shared" si="24"/>
        <v>8.7890625E-3</v>
      </c>
      <c r="N59" s="16">
        <f t="shared" si="24"/>
        <v>9.765625E-4</v>
      </c>
      <c r="O59" s="16">
        <f t="shared" si="24"/>
        <v>3.90625E-3</v>
      </c>
      <c r="P59" s="16">
        <f t="shared" si="24"/>
        <v>9.765625E-4</v>
      </c>
      <c r="Q59" s="16">
        <f t="shared" si="24"/>
        <v>9.765625E-4</v>
      </c>
      <c r="R59" s="16">
        <f t="shared" si="22"/>
        <v>3.90625E-3</v>
      </c>
      <c r="S59" s="16">
        <f t="shared" si="22"/>
        <v>8.7890625E-3</v>
      </c>
      <c r="T59" s="16">
        <f t="shared" ref="T59:V60" si="25">T37^2</f>
        <v>9.765625E-4</v>
      </c>
      <c r="U59" s="16">
        <f t="shared" si="25"/>
        <v>9.765625E-4</v>
      </c>
      <c r="V59" s="16">
        <f t="shared" si="25"/>
        <v>0.1181640625</v>
      </c>
      <c r="W59" s="16"/>
      <c r="X59" s="16"/>
      <c r="Y59" s="16"/>
      <c r="Z59" s="16"/>
      <c r="AA59" s="16"/>
      <c r="AB59" s="16"/>
      <c r="AC59" s="16"/>
      <c r="AD59" s="16"/>
    </row>
    <row r="60" spans="6:30" x14ac:dyDescent="0.2">
      <c r="F60" s="16">
        <f>SUM(G60:W60)</f>
        <v>0.24221453287197231</v>
      </c>
      <c r="G60" s="16">
        <f t="shared" si="5"/>
        <v>8.6505190311418688E-4</v>
      </c>
      <c r="H60" s="16">
        <f t="shared" ref="H60:Q60" si="26">H38^2</f>
        <v>8.6505190311418688E-4</v>
      </c>
      <c r="I60" s="16">
        <f t="shared" si="26"/>
        <v>8.6505190311418688E-4</v>
      </c>
      <c r="J60" s="16">
        <f t="shared" si="26"/>
        <v>8.6505190311418688E-4</v>
      </c>
      <c r="K60" s="16">
        <f t="shared" si="26"/>
        <v>8.6505190311418688E-4</v>
      </c>
      <c r="L60" s="16">
        <f t="shared" si="26"/>
        <v>8.6505190311418688E-4</v>
      </c>
      <c r="M60" s="16">
        <f t="shared" si="26"/>
        <v>8.6505190311418688E-4</v>
      </c>
      <c r="N60" s="16">
        <f t="shared" si="26"/>
        <v>8.6505190311418688E-4</v>
      </c>
      <c r="O60" s="16">
        <f t="shared" si="26"/>
        <v>8.6505190311418688E-4</v>
      </c>
      <c r="P60" s="16">
        <f t="shared" si="26"/>
        <v>8.6505190311418688E-4</v>
      </c>
      <c r="Q60" s="16">
        <f t="shared" si="26"/>
        <v>8.6505190311418688E-4</v>
      </c>
      <c r="R60" s="16">
        <f t="shared" si="22"/>
        <v>8.6505190311418688E-4</v>
      </c>
      <c r="S60" s="16">
        <f t="shared" si="22"/>
        <v>8.6505190311418688E-4</v>
      </c>
      <c r="T60" s="16">
        <f t="shared" si="25"/>
        <v>7.785467128027683E-3</v>
      </c>
      <c r="U60" s="16">
        <f t="shared" si="25"/>
        <v>8.6505190311418688E-4</v>
      </c>
      <c r="V60" s="16">
        <f t="shared" si="25"/>
        <v>8.6505190311418688E-4</v>
      </c>
      <c r="W60" s="16">
        <f>W38^2</f>
        <v>0.22145328719723184</v>
      </c>
      <c r="X60" s="16"/>
      <c r="Y60" s="16"/>
      <c r="Z60" s="16"/>
      <c r="AA60" s="16"/>
      <c r="AB60" s="16"/>
      <c r="AC60" s="16"/>
      <c r="AD60" s="16"/>
    </row>
    <row r="61" spans="6:30" x14ac:dyDescent="0.2">
      <c r="F61" s="16">
        <f>SUM(G61:S61)</f>
        <v>0.30103806228373703</v>
      </c>
      <c r="G61" s="16">
        <f t="shared" si="5"/>
        <v>8.6505190311418688E-4</v>
      </c>
      <c r="H61" s="16">
        <f t="shared" ref="H61:S61" si="27">H39^2</f>
        <v>8.6505190311418688E-4</v>
      </c>
      <c r="I61" s="16">
        <f t="shared" si="27"/>
        <v>8.6505190311418688E-4</v>
      </c>
      <c r="J61" s="16">
        <f t="shared" si="27"/>
        <v>8.6505190311418688E-4</v>
      </c>
      <c r="K61" s="16">
        <f t="shared" si="27"/>
        <v>8.6505190311418688E-4</v>
      </c>
      <c r="L61" s="16">
        <f t="shared" si="27"/>
        <v>3.4602076124567475E-3</v>
      </c>
      <c r="M61" s="16">
        <f t="shared" si="27"/>
        <v>8.6505190311418688E-4</v>
      </c>
      <c r="N61" s="16">
        <f t="shared" si="27"/>
        <v>8.6505190311418688E-4</v>
      </c>
      <c r="O61" s="16">
        <f t="shared" si="27"/>
        <v>8.6505190311418688E-4</v>
      </c>
      <c r="P61" s="16">
        <f t="shared" si="27"/>
        <v>3.4602076124567475E-3</v>
      </c>
      <c r="Q61" s="16">
        <f t="shared" si="27"/>
        <v>3.4602076124567475E-3</v>
      </c>
      <c r="R61" s="16">
        <f t="shared" si="27"/>
        <v>3.4602076124567475E-3</v>
      </c>
      <c r="S61" s="16">
        <f t="shared" si="27"/>
        <v>0.28027681660899656</v>
      </c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 spans="6:30" x14ac:dyDescent="0.2">
      <c r="F62" s="16">
        <f>SUM(G62:W62)</f>
        <v>0.14506172839506171</v>
      </c>
      <c r="G62" s="16">
        <f t="shared" si="5"/>
        <v>7.716049382716049E-4</v>
      </c>
      <c r="H62" s="16">
        <f t="shared" ref="H62:W62" si="28">H40^2</f>
        <v>7.716049382716049E-4</v>
      </c>
      <c r="I62" s="16">
        <f t="shared" si="28"/>
        <v>7.716049382716049E-4</v>
      </c>
      <c r="J62" s="16">
        <f t="shared" si="28"/>
        <v>3.0864197530864196E-3</v>
      </c>
      <c r="K62" s="16">
        <f t="shared" si="28"/>
        <v>3.0864197530864196E-3</v>
      </c>
      <c r="L62" s="16">
        <f t="shared" si="28"/>
        <v>7.716049382716049E-4</v>
      </c>
      <c r="M62" s="16">
        <f t="shared" si="28"/>
        <v>7.716049382716049E-4</v>
      </c>
      <c r="N62" s="16">
        <f t="shared" si="28"/>
        <v>7.716049382716049E-4</v>
      </c>
      <c r="O62" s="16">
        <f t="shared" si="28"/>
        <v>6.9444444444444441E-3</v>
      </c>
      <c r="P62" s="16">
        <f t="shared" si="28"/>
        <v>7.716049382716049E-4</v>
      </c>
      <c r="Q62" s="16">
        <f t="shared" si="28"/>
        <v>3.0864197530864196E-3</v>
      </c>
      <c r="R62" s="16">
        <f t="shared" si="28"/>
        <v>7.716049382716049E-4</v>
      </c>
      <c r="S62" s="16">
        <f t="shared" si="28"/>
        <v>3.0864197530864196E-3</v>
      </c>
      <c r="T62" s="16">
        <f t="shared" si="28"/>
        <v>7.716049382716049E-4</v>
      </c>
      <c r="U62" s="16">
        <f t="shared" si="28"/>
        <v>7.716049382716049E-4</v>
      </c>
      <c r="V62" s="16">
        <f t="shared" si="28"/>
        <v>6.9444444444444441E-3</v>
      </c>
      <c r="W62" s="16">
        <f t="shared" si="28"/>
        <v>0.1111111111111111</v>
      </c>
      <c r="X62" s="16"/>
      <c r="Y62" s="16"/>
      <c r="Z62" s="16"/>
      <c r="AA62" s="16"/>
      <c r="AB62" s="16"/>
      <c r="AC62" s="16"/>
      <c r="AD62" s="16"/>
    </row>
    <row r="63" spans="6:30" x14ac:dyDescent="0.2">
      <c r="F63" s="16">
        <f>SUM(G63:V63)</f>
        <v>0.15120525931336742</v>
      </c>
      <c r="G63" s="16">
        <f t="shared" si="5"/>
        <v>7.304601899196495E-4</v>
      </c>
      <c r="H63" s="16">
        <f t="shared" ref="H63:V63" si="29">H41^2</f>
        <v>7.304601899196495E-4</v>
      </c>
      <c r="I63" s="16">
        <f t="shared" si="29"/>
        <v>7.304601899196495E-4</v>
      </c>
      <c r="J63" s="16">
        <f t="shared" si="29"/>
        <v>7.304601899196495E-4</v>
      </c>
      <c r="K63" s="16">
        <f t="shared" si="29"/>
        <v>7.304601899196495E-4</v>
      </c>
      <c r="L63" s="16">
        <f t="shared" si="29"/>
        <v>7.304601899196495E-4</v>
      </c>
      <c r="M63" s="16">
        <f t="shared" si="29"/>
        <v>2.921840759678598E-3</v>
      </c>
      <c r="N63" s="16">
        <f t="shared" si="29"/>
        <v>7.304601899196495E-4</v>
      </c>
      <c r="O63" s="16">
        <f t="shared" si="29"/>
        <v>2.921840759678598E-3</v>
      </c>
      <c r="P63" s="16">
        <f t="shared" si="29"/>
        <v>7.304601899196495E-4</v>
      </c>
      <c r="Q63" s="16">
        <f t="shared" si="29"/>
        <v>2.921840759678598E-3</v>
      </c>
      <c r="R63" s="16">
        <f t="shared" si="29"/>
        <v>1.1687363038714392E-2</v>
      </c>
      <c r="S63" s="16">
        <f t="shared" si="29"/>
        <v>7.304601899196495E-4</v>
      </c>
      <c r="T63" s="16">
        <f t="shared" si="29"/>
        <v>7.304601899196495E-4</v>
      </c>
      <c r="U63" s="16">
        <f t="shared" si="29"/>
        <v>1.8261504747991236E-2</v>
      </c>
      <c r="V63" s="16">
        <f t="shared" si="29"/>
        <v>0.10518626734842952</v>
      </c>
      <c r="W63" s="16"/>
      <c r="X63" s="16"/>
      <c r="Y63" s="16"/>
      <c r="Z63" s="16"/>
      <c r="AA63" s="16"/>
      <c r="AB63" s="16"/>
      <c r="AC63" s="16"/>
      <c r="AD63" s="16"/>
    </row>
    <row r="64" spans="6:30" x14ac:dyDescent="0.2">
      <c r="F64" s="16">
        <f>SUM(G64:T64)</f>
        <v>0.1977777777777778</v>
      </c>
      <c r="G64" s="16">
        <f t="shared" si="5"/>
        <v>1.1111111111111111E-3</v>
      </c>
      <c r="H64" s="16">
        <f t="shared" ref="H64:T64" si="30">H42^2</f>
        <v>1.1111111111111111E-3</v>
      </c>
      <c r="I64" s="16">
        <f t="shared" si="30"/>
        <v>1.1111111111111111E-3</v>
      </c>
      <c r="J64" s="16">
        <f t="shared" si="30"/>
        <v>1.1111111111111111E-3</v>
      </c>
      <c r="K64" s="16">
        <f t="shared" si="30"/>
        <v>4.4444444444444444E-3</v>
      </c>
      <c r="L64" s="16">
        <f t="shared" si="30"/>
        <v>1.1111111111111111E-3</v>
      </c>
      <c r="M64" s="16">
        <f t="shared" si="30"/>
        <v>1.1111111111111111E-3</v>
      </c>
      <c r="N64" s="16">
        <f t="shared" si="30"/>
        <v>1.1111111111111111E-3</v>
      </c>
      <c r="O64" s="16">
        <f t="shared" si="30"/>
        <v>1.7777777777777778E-2</v>
      </c>
      <c r="P64" s="16">
        <f t="shared" si="30"/>
        <v>1.1111111111111111E-3</v>
      </c>
      <c r="Q64" s="16">
        <f t="shared" si="30"/>
        <v>1.1111111111111111E-3</v>
      </c>
      <c r="R64" s="16">
        <f t="shared" si="30"/>
        <v>4.4444444444444444E-3</v>
      </c>
      <c r="S64" s="16">
        <f t="shared" si="30"/>
        <v>1.1111111111111111E-3</v>
      </c>
      <c r="T64" s="16">
        <f t="shared" si="30"/>
        <v>0.16000000000000003</v>
      </c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 spans="6:30" x14ac:dyDescent="0.2">
      <c r="F65" s="16">
        <f>SUM(G65:U65)</f>
        <v>0.21632653061224488</v>
      </c>
      <c r="G65" s="16">
        <f t="shared" si="5"/>
        <v>8.1632653061224482E-4</v>
      </c>
      <c r="H65" s="16">
        <f t="shared" ref="H65:T65" si="31">H43^2</f>
        <v>8.1632653061224482E-4</v>
      </c>
      <c r="I65" s="16">
        <f t="shared" si="31"/>
        <v>8.1632653061224482E-4</v>
      </c>
      <c r="J65" s="16">
        <f t="shared" si="31"/>
        <v>8.1632653061224482E-4</v>
      </c>
      <c r="K65" s="16">
        <f t="shared" si="31"/>
        <v>8.1632653061224482E-4</v>
      </c>
      <c r="L65" s="16">
        <f t="shared" si="31"/>
        <v>8.1632653061224482E-4</v>
      </c>
      <c r="M65" s="16">
        <f t="shared" si="31"/>
        <v>8.1632653061224482E-4</v>
      </c>
      <c r="N65" s="16">
        <f t="shared" si="31"/>
        <v>8.1632653061224482E-4</v>
      </c>
      <c r="O65" s="16">
        <f t="shared" si="31"/>
        <v>8.1632653061224482E-4</v>
      </c>
      <c r="P65" s="16">
        <f t="shared" si="31"/>
        <v>8.1632653061224482E-4</v>
      </c>
      <c r="Q65" s="16">
        <f t="shared" si="31"/>
        <v>8.1632653061224482E-4</v>
      </c>
      <c r="R65" s="16">
        <f t="shared" si="31"/>
        <v>3.2653061224489793E-3</v>
      </c>
      <c r="S65" s="16">
        <f t="shared" si="31"/>
        <v>7.3469387755102046E-3</v>
      </c>
      <c r="T65" s="16">
        <f t="shared" si="31"/>
        <v>1.3061224489795917E-2</v>
      </c>
      <c r="U65" s="16">
        <f>U43^2</f>
        <v>0.18367346938775508</v>
      </c>
      <c r="V65" s="16"/>
      <c r="W65" s="16"/>
      <c r="X65" s="16"/>
      <c r="Y65" s="16"/>
      <c r="Z65" s="16"/>
      <c r="AA65" s="16"/>
      <c r="AB65" s="16"/>
      <c r="AC65" s="16"/>
      <c r="AD65" s="16"/>
    </row>
  </sheetData>
  <mergeCells count="3">
    <mergeCell ref="G1:AD1"/>
    <mergeCell ref="G23:AD23"/>
    <mergeCell ref="G45:AD45"/>
  </mergeCells>
  <pageMargins left="0.7" right="0.7" top="0.75" bottom="0.75" header="0.3" footer="0.3"/>
  <ignoredErrors>
    <ignoredError sqref="C8 C17 F30 F39 F52 F61 AF17 AF8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ACC1-6437-1D44-9B66-191F561FF70A}">
  <dimension ref="A1:AH65"/>
  <sheetViews>
    <sheetView workbookViewId="0">
      <selection activeCell="A22" sqref="A22"/>
    </sheetView>
  </sheetViews>
  <sheetFormatPr baseColWidth="10" defaultRowHeight="16" x14ac:dyDescent="0.2"/>
  <cols>
    <col min="1" max="1" width="19.33203125" bestFit="1" customWidth="1"/>
    <col min="2" max="2" width="13.6640625" bestFit="1" customWidth="1"/>
    <col min="3" max="3" width="22.1640625" bestFit="1" customWidth="1"/>
    <col min="4" max="4" width="13.6640625" bestFit="1" customWidth="1"/>
    <col min="6" max="6" width="19.33203125" bestFit="1" customWidth="1"/>
    <col min="7" max="31" width="12.1640625" bestFit="1" customWidth="1"/>
    <col min="33" max="33" width="37.5" bestFit="1" customWidth="1"/>
    <col min="34" max="34" width="44" bestFit="1" customWidth="1"/>
  </cols>
  <sheetData>
    <row r="1" spans="1:34" x14ac:dyDescent="0.2">
      <c r="A1" s="16" t="s">
        <v>0</v>
      </c>
      <c r="B1" s="16" t="s">
        <v>114</v>
      </c>
      <c r="C1" s="16" t="s">
        <v>115</v>
      </c>
      <c r="D1" s="16" t="s">
        <v>116</v>
      </c>
      <c r="F1" s="16" t="s">
        <v>0</v>
      </c>
      <c r="G1" s="32" t="s">
        <v>111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G1" s="16" t="s">
        <v>122</v>
      </c>
      <c r="AH1" s="16" t="s">
        <v>123</v>
      </c>
    </row>
    <row r="2" spans="1:34" x14ac:dyDescent="0.2">
      <c r="A2" s="16" t="s">
        <v>24</v>
      </c>
      <c r="B2" s="16">
        <v>49</v>
      </c>
      <c r="C2" s="16">
        <f>SUM($G2:$P2)</f>
        <v>26</v>
      </c>
      <c r="D2" s="16">
        <v>0.13313609467455623</v>
      </c>
      <c r="F2" s="16" t="s">
        <v>24</v>
      </c>
      <c r="G2" s="16">
        <v>1</v>
      </c>
      <c r="H2" s="16">
        <v>1</v>
      </c>
      <c r="I2" s="16">
        <v>2</v>
      </c>
      <c r="J2" s="16">
        <v>2</v>
      </c>
      <c r="K2" s="16">
        <v>4</v>
      </c>
      <c r="L2" s="16">
        <v>1</v>
      </c>
      <c r="M2" s="16">
        <v>3</v>
      </c>
      <c r="N2" s="16">
        <v>2</v>
      </c>
      <c r="O2" s="16">
        <v>5</v>
      </c>
      <c r="P2" s="16">
        <v>5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G2" s="16">
        <f>P2</f>
        <v>5</v>
      </c>
      <c r="AH2" s="16">
        <f>AG2/C2</f>
        <v>0.19230769230769232</v>
      </c>
    </row>
    <row r="3" spans="1:34" x14ac:dyDescent="0.2">
      <c r="A3" s="16" t="s">
        <v>4</v>
      </c>
      <c r="B3" s="16">
        <v>38</v>
      </c>
      <c r="C3" s="16">
        <f>SUM($G3:$T3)</f>
        <v>29</v>
      </c>
      <c r="D3" s="16">
        <v>0.2033293697978597</v>
      </c>
      <c r="F3" s="16" t="s">
        <v>4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2</v>
      </c>
      <c r="Q3" s="16">
        <v>3</v>
      </c>
      <c r="R3" s="16">
        <v>2</v>
      </c>
      <c r="S3" s="16">
        <v>1</v>
      </c>
      <c r="T3" s="16">
        <v>12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G3" s="16">
        <f>T3</f>
        <v>12</v>
      </c>
      <c r="AH3" s="16">
        <f t="shared" ref="AH3:AH21" si="0">AG3/C3</f>
        <v>0.41379310344827586</v>
      </c>
    </row>
    <row r="4" spans="1:34" x14ac:dyDescent="0.2">
      <c r="A4" s="16" t="s">
        <v>1</v>
      </c>
      <c r="B4" s="16">
        <v>35</v>
      </c>
      <c r="C4" s="16">
        <f>SUM($G4:$R4)</f>
        <v>29</v>
      </c>
      <c r="D4" s="16">
        <v>0.11533888228299644</v>
      </c>
      <c r="F4" s="16" t="s">
        <v>1</v>
      </c>
      <c r="G4" s="16">
        <v>1</v>
      </c>
      <c r="H4" s="16">
        <v>1</v>
      </c>
      <c r="I4" s="16">
        <v>1</v>
      </c>
      <c r="J4" s="16">
        <v>1</v>
      </c>
      <c r="K4" s="16">
        <v>2</v>
      </c>
      <c r="L4" s="16">
        <v>3</v>
      </c>
      <c r="M4" s="16">
        <v>5</v>
      </c>
      <c r="N4" s="16">
        <v>1</v>
      </c>
      <c r="O4" s="16">
        <v>2</v>
      </c>
      <c r="P4" s="16">
        <v>3</v>
      </c>
      <c r="Q4" s="16">
        <v>4</v>
      </c>
      <c r="R4" s="16">
        <v>5</v>
      </c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G4" s="16">
        <f>R4</f>
        <v>5</v>
      </c>
      <c r="AH4" s="16">
        <f t="shared" si="0"/>
        <v>0.17241379310344829</v>
      </c>
    </row>
    <row r="5" spans="1:34" x14ac:dyDescent="0.2">
      <c r="A5" s="16" t="s">
        <v>3</v>
      </c>
      <c r="B5" s="16">
        <v>38</v>
      </c>
      <c r="C5" s="16">
        <f>SUM($G5:$T5)</f>
        <v>28</v>
      </c>
      <c r="D5" s="16">
        <v>0.16581632653061223</v>
      </c>
      <c r="F5" s="16" t="s">
        <v>3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2</v>
      </c>
      <c r="O5" s="16">
        <v>3</v>
      </c>
      <c r="P5" s="16">
        <v>2</v>
      </c>
      <c r="Q5" s="16">
        <v>1</v>
      </c>
      <c r="R5" s="16">
        <v>2</v>
      </c>
      <c r="S5" s="16">
        <v>1</v>
      </c>
      <c r="T5" s="16">
        <v>10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G5" s="16">
        <f>T5</f>
        <v>10</v>
      </c>
      <c r="AH5" s="16">
        <f>AG5/C5</f>
        <v>0.35714285714285715</v>
      </c>
    </row>
    <row r="6" spans="1:34" x14ac:dyDescent="0.2">
      <c r="A6" s="16" t="s">
        <v>2</v>
      </c>
      <c r="B6" s="16">
        <v>42</v>
      </c>
      <c r="C6" s="16">
        <f>SUM($G6:$R6)</f>
        <v>31</v>
      </c>
      <c r="D6" s="16">
        <v>0.186264308012487</v>
      </c>
      <c r="F6" s="16" t="s">
        <v>2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3</v>
      </c>
      <c r="M6" s="16">
        <v>1</v>
      </c>
      <c r="N6" s="16">
        <v>1</v>
      </c>
      <c r="O6" s="16">
        <v>1</v>
      </c>
      <c r="P6" s="16">
        <v>5</v>
      </c>
      <c r="Q6" s="16">
        <v>4</v>
      </c>
      <c r="R6" s="16">
        <v>11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G6" s="16">
        <f>R6</f>
        <v>11</v>
      </c>
      <c r="AH6" s="16">
        <f t="shared" si="0"/>
        <v>0.35483870967741937</v>
      </c>
    </row>
    <row r="7" spans="1:34" x14ac:dyDescent="0.2">
      <c r="A7" s="16" t="s">
        <v>19</v>
      </c>
      <c r="B7" s="16">
        <v>42</v>
      </c>
      <c r="C7" s="16">
        <f>SUM($G7:$W7)</f>
        <v>35</v>
      </c>
      <c r="D7" s="16">
        <v>0.15265306122448979</v>
      </c>
      <c r="F7" s="16" t="s">
        <v>19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2</v>
      </c>
      <c r="Q7" s="16">
        <v>1</v>
      </c>
      <c r="R7" s="16">
        <v>3</v>
      </c>
      <c r="S7" s="16">
        <v>1</v>
      </c>
      <c r="T7" s="16">
        <v>1</v>
      </c>
      <c r="U7" s="16">
        <v>3</v>
      </c>
      <c r="V7" s="16">
        <v>3</v>
      </c>
      <c r="W7" s="16">
        <v>12</v>
      </c>
      <c r="X7" s="16"/>
      <c r="Y7" s="16"/>
      <c r="Z7" s="16"/>
      <c r="AA7" s="16"/>
      <c r="AB7" s="16"/>
      <c r="AC7" s="16"/>
      <c r="AD7" s="16"/>
      <c r="AE7" s="16"/>
      <c r="AG7" s="16">
        <f>W7</f>
        <v>12</v>
      </c>
      <c r="AH7" s="16">
        <f t="shared" si="0"/>
        <v>0.34285714285714286</v>
      </c>
    </row>
    <row r="8" spans="1:34" x14ac:dyDescent="0.2">
      <c r="A8" s="16" t="s">
        <v>5</v>
      </c>
      <c r="B8" s="16">
        <v>39</v>
      </c>
      <c r="C8" s="16">
        <f>SUM($G8:$X8)</f>
        <v>31</v>
      </c>
      <c r="D8" s="16">
        <v>0.15296566077003124</v>
      </c>
      <c r="F8" s="16" t="s">
        <v>5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1</v>
      </c>
      <c r="T8" s="16">
        <v>2</v>
      </c>
      <c r="U8" s="16">
        <v>2</v>
      </c>
      <c r="V8" s="16">
        <v>1</v>
      </c>
      <c r="W8" s="16">
        <v>2</v>
      </c>
      <c r="X8" s="16">
        <v>11</v>
      </c>
      <c r="Y8" s="16"/>
      <c r="Z8" s="16"/>
      <c r="AA8" s="16"/>
      <c r="AB8" s="16"/>
      <c r="AC8" s="16"/>
      <c r="AD8" s="16"/>
      <c r="AE8" s="16"/>
      <c r="AG8" s="16">
        <f>X8</f>
        <v>11</v>
      </c>
      <c r="AH8" s="16">
        <f t="shared" si="0"/>
        <v>0.35483870967741937</v>
      </c>
    </row>
    <row r="9" spans="1:34" x14ac:dyDescent="0.2">
      <c r="A9" s="16" t="s">
        <v>7</v>
      </c>
      <c r="B9" s="16">
        <v>36</v>
      </c>
      <c r="C9" s="16">
        <f>SUM($G9:$W9)</f>
        <v>34</v>
      </c>
      <c r="D9" s="16">
        <v>0.24048442906574394</v>
      </c>
      <c r="F9" s="16" t="s">
        <v>7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2</v>
      </c>
      <c r="O9" s="16">
        <v>1</v>
      </c>
      <c r="P9" s="16">
        <v>1</v>
      </c>
      <c r="Q9" s="16">
        <v>1</v>
      </c>
      <c r="R9" s="16">
        <v>1</v>
      </c>
      <c r="S9" s="16">
        <v>2</v>
      </c>
      <c r="T9" s="16">
        <v>1</v>
      </c>
      <c r="U9" s="16">
        <v>1</v>
      </c>
      <c r="V9" s="16">
        <v>1</v>
      </c>
      <c r="W9" s="16">
        <v>16</v>
      </c>
      <c r="X9" s="16"/>
      <c r="Y9" s="16"/>
      <c r="Z9" s="16"/>
      <c r="AA9" s="16"/>
      <c r="AB9" s="16"/>
      <c r="AC9" s="16"/>
      <c r="AD9" s="16"/>
      <c r="AE9" s="16"/>
      <c r="AG9" s="16">
        <f>W9</f>
        <v>16</v>
      </c>
      <c r="AH9" s="16">
        <f t="shared" si="0"/>
        <v>0.47058823529411764</v>
      </c>
    </row>
    <row r="10" spans="1:34" x14ac:dyDescent="0.2">
      <c r="A10" s="16" t="s">
        <v>38</v>
      </c>
      <c r="B10" s="16">
        <v>41</v>
      </c>
      <c r="C10" s="16">
        <f>SUM($G10:$Q10)</f>
        <v>30</v>
      </c>
      <c r="D10" s="16">
        <v>0.37777777777777777</v>
      </c>
      <c r="F10" s="16" t="s">
        <v>38</v>
      </c>
      <c r="G10" s="16">
        <v>2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2</v>
      </c>
      <c r="P10" s="16">
        <v>1</v>
      </c>
      <c r="Q10" s="16">
        <v>18</v>
      </c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G10" s="16">
        <f>Q10</f>
        <v>18</v>
      </c>
      <c r="AH10" s="16">
        <f t="shared" si="0"/>
        <v>0.6</v>
      </c>
    </row>
    <row r="11" spans="1:34" x14ac:dyDescent="0.2">
      <c r="A11" s="16" t="s">
        <v>14</v>
      </c>
      <c r="B11" s="16">
        <v>30</v>
      </c>
      <c r="C11" s="16">
        <f>SUM($G11:$R11)</f>
        <v>28</v>
      </c>
      <c r="D11" s="16">
        <v>0.19642857142857142</v>
      </c>
      <c r="F11" s="16" t="s">
        <v>14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3</v>
      </c>
      <c r="M11" s="16">
        <v>2</v>
      </c>
      <c r="N11" s="16">
        <v>1</v>
      </c>
      <c r="O11" s="16">
        <v>3</v>
      </c>
      <c r="P11" s="16">
        <v>2</v>
      </c>
      <c r="Q11" s="16">
        <v>1</v>
      </c>
      <c r="R11" s="16">
        <v>11</v>
      </c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>
        <f>R11</f>
        <v>11</v>
      </c>
      <c r="AH11" s="16">
        <f t="shared" si="0"/>
        <v>0.39285714285714285</v>
      </c>
    </row>
    <row r="12" spans="1:34" x14ac:dyDescent="0.2">
      <c r="A12" s="16" t="s">
        <v>11</v>
      </c>
      <c r="B12" s="16">
        <v>44</v>
      </c>
      <c r="C12" s="16">
        <f>SUM($G12:$Z12)</f>
        <v>38</v>
      </c>
      <c r="D12" s="16">
        <v>0.14265927977839335</v>
      </c>
      <c r="F12" s="16" t="s">
        <v>11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2</v>
      </c>
      <c r="N12" s="16">
        <v>1</v>
      </c>
      <c r="O12" s="16">
        <v>2</v>
      </c>
      <c r="P12" s="16">
        <v>1</v>
      </c>
      <c r="Q12" s="16">
        <v>2</v>
      </c>
      <c r="R12" s="16">
        <v>1</v>
      </c>
      <c r="S12" s="16">
        <v>2</v>
      </c>
      <c r="T12" s="16">
        <v>1</v>
      </c>
      <c r="U12" s="16">
        <v>2</v>
      </c>
      <c r="V12" s="16">
        <v>1</v>
      </c>
      <c r="W12" s="16">
        <v>1</v>
      </c>
      <c r="X12" s="16">
        <v>1</v>
      </c>
      <c r="Y12" s="16">
        <v>2</v>
      </c>
      <c r="Z12" s="16">
        <v>13</v>
      </c>
      <c r="AA12" s="16"/>
      <c r="AB12" s="16"/>
      <c r="AC12" s="16"/>
      <c r="AD12" s="16"/>
      <c r="AE12" s="16"/>
      <c r="AG12" s="16">
        <f>Z12</f>
        <v>13</v>
      </c>
      <c r="AH12" s="16">
        <f t="shared" si="0"/>
        <v>0.34210526315789475</v>
      </c>
    </row>
    <row r="13" spans="1:34" x14ac:dyDescent="0.2">
      <c r="A13" s="16" t="s">
        <v>40</v>
      </c>
      <c r="B13" s="16">
        <v>31</v>
      </c>
      <c r="C13" s="16">
        <f>SUM($G13:$U13)</f>
        <v>28</v>
      </c>
      <c r="D13" s="16">
        <v>0.12244897959183673</v>
      </c>
      <c r="F13" s="16" t="s">
        <v>40</v>
      </c>
      <c r="G13" s="16">
        <v>1</v>
      </c>
      <c r="H13" s="16">
        <v>1</v>
      </c>
      <c r="I13" s="16">
        <v>2</v>
      </c>
      <c r="J13" s="16">
        <v>1</v>
      </c>
      <c r="K13" s="16">
        <v>2</v>
      </c>
      <c r="L13" s="16">
        <v>1</v>
      </c>
      <c r="M13" s="16">
        <v>2</v>
      </c>
      <c r="N13" s="16">
        <v>2</v>
      </c>
      <c r="O13" s="16">
        <v>2</v>
      </c>
      <c r="P13" s="16">
        <v>1</v>
      </c>
      <c r="Q13" s="16">
        <v>2</v>
      </c>
      <c r="R13" s="16">
        <v>1</v>
      </c>
      <c r="S13" s="16">
        <v>1</v>
      </c>
      <c r="T13" s="16">
        <v>1</v>
      </c>
      <c r="U13" s="16">
        <v>8</v>
      </c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>
        <f>U13</f>
        <v>8</v>
      </c>
      <c r="AH13" s="16">
        <f t="shared" si="0"/>
        <v>0.2857142857142857</v>
      </c>
    </row>
    <row r="14" spans="1:34" x14ac:dyDescent="0.2">
      <c r="A14" s="16" t="s">
        <v>13</v>
      </c>
      <c r="B14" s="16">
        <v>34</v>
      </c>
      <c r="C14" s="16">
        <f>SUM($G14:$W14)</f>
        <v>30</v>
      </c>
      <c r="D14" s="16">
        <v>0.1</v>
      </c>
      <c r="F14" s="16" t="s">
        <v>13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  <c r="R14" s="16">
        <v>2</v>
      </c>
      <c r="S14" s="16">
        <v>3</v>
      </c>
      <c r="T14" s="16">
        <v>3</v>
      </c>
      <c r="U14" s="16">
        <v>2</v>
      </c>
      <c r="V14" s="16">
        <v>2</v>
      </c>
      <c r="W14" s="16">
        <v>7</v>
      </c>
      <c r="X14" s="16"/>
      <c r="Y14" s="16"/>
      <c r="Z14" s="16"/>
      <c r="AA14" s="16"/>
      <c r="AB14" s="16"/>
      <c r="AC14" s="16"/>
      <c r="AD14" s="16"/>
      <c r="AE14" s="16"/>
      <c r="AG14" s="16">
        <f>W14</f>
        <v>7</v>
      </c>
      <c r="AH14" s="16">
        <f t="shared" si="0"/>
        <v>0.23333333333333334</v>
      </c>
    </row>
    <row r="15" spans="1:34" x14ac:dyDescent="0.2">
      <c r="A15" s="16" t="s">
        <v>28</v>
      </c>
      <c r="B15" s="16">
        <v>45</v>
      </c>
      <c r="C15" s="16">
        <f>SUM($G15:$X15)</f>
        <v>40</v>
      </c>
      <c r="D15" s="16">
        <v>0.19125000000000003</v>
      </c>
      <c r="F15" s="16" t="s">
        <v>28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2</v>
      </c>
      <c r="O15" s="16">
        <v>1</v>
      </c>
      <c r="P15" s="16">
        <v>1</v>
      </c>
      <c r="Q15" s="16">
        <v>2</v>
      </c>
      <c r="R15" s="16">
        <v>1</v>
      </c>
      <c r="S15" s="16">
        <v>1</v>
      </c>
      <c r="T15" s="16">
        <v>1</v>
      </c>
      <c r="U15" s="16">
        <v>1</v>
      </c>
      <c r="V15" s="16">
        <v>2</v>
      </c>
      <c r="W15" s="16">
        <v>5</v>
      </c>
      <c r="X15" s="16">
        <v>16</v>
      </c>
      <c r="Y15" s="16"/>
      <c r="Z15" s="16"/>
      <c r="AA15" s="16"/>
      <c r="AB15" s="16"/>
      <c r="AC15" s="16"/>
      <c r="AD15" s="16"/>
      <c r="AE15" s="16"/>
      <c r="AG15" s="16">
        <f>X15</f>
        <v>16</v>
      </c>
      <c r="AH15" s="16">
        <f t="shared" si="0"/>
        <v>0.4</v>
      </c>
    </row>
    <row r="16" spans="1:34" x14ac:dyDescent="0.2">
      <c r="A16" s="16" t="s">
        <v>8</v>
      </c>
      <c r="B16" s="16">
        <v>37</v>
      </c>
      <c r="C16" s="16">
        <f>SUM($G16:$U16)</f>
        <v>30</v>
      </c>
      <c r="D16" s="16">
        <v>0.1088888888888889</v>
      </c>
      <c r="F16" s="16" t="s">
        <v>8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2</v>
      </c>
      <c r="N16" s="16">
        <v>1</v>
      </c>
      <c r="O16" s="16">
        <v>1</v>
      </c>
      <c r="P16" s="16">
        <v>3</v>
      </c>
      <c r="Q16" s="16">
        <v>1</v>
      </c>
      <c r="R16" s="16">
        <v>3</v>
      </c>
      <c r="S16" s="16">
        <v>3</v>
      </c>
      <c r="T16" s="16">
        <v>3</v>
      </c>
      <c r="U16" s="16">
        <v>7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>
        <f>U16</f>
        <v>7</v>
      </c>
      <c r="AH16" s="16">
        <f t="shared" si="0"/>
        <v>0.23333333333333334</v>
      </c>
    </row>
    <row r="17" spans="1:34" x14ac:dyDescent="0.2">
      <c r="A17" s="16" t="s">
        <v>29</v>
      </c>
      <c r="B17" s="16">
        <v>36</v>
      </c>
      <c r="C17" s="16">
        <f>SUM($G17:$Q17)</f>
        <v>30</v>
      </c>
      <c r="D17" s="16">
        <v>0.34888888888888886</v>
      </c>
      <c r="F17" s="16" t="s">
        <v>29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4</v>
      </c>
      <c r="P17" s="16">
        <v>1</v>
      </c>
      <c r="Q17" s="16">
        <v>17</v>
      </c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>
        <f>Q17</f>
        <v>17</v>
      </c>
      <c r="AH17" s="16">
        <f t="shared" si="0"/>
        <v>0.56666666666666665</v>
      </c>
    </row>
    <row r="18" spans="1:34" x14ac:dyDescent="0.2">
      <c r="A18" s="16" t="s">
        <v>37</v>
      </c>
      <c r="B18" s="16">
        <v>46</v>
      </c>
      <c r="C18" s="16">
        <f>SUM($G18:$AE18)</f>
        <v>38</v>
      </c>
      <c r="D18" s="16">
        <v>8.3102493074792241E-2</v>
      </c>
      <c r="F18" s="16" t="s">
        <v>37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  <c r="R18" s="16">
        <v>1</v>
      </c>
      <c r="S18" s="16">
        <v>1</v>
      </c>
      <c r="T18" s="16">
        <v>1</v>
      </c>
      <c r="U18" s="16">
        <v>1</v>
      </c>
      <c r="V18" s="16">
        <v>2</v>
      </c>
      <c r="W18" s="16">
        <v>1</v>
      </c>
      <c r="X18" s="16">
        <v>2</v>
      </c>
      <c r="Y18" s="16">
        <v>2</v>
      </c>
      <c r="Z18" s="16">
        <v>1</v>
      </c>
      <c r="AA18" s="16">
        <v>1</v>
      </c>
      <c r="AB18" s="16">
        <v>2</v>
      </c>
      <c r="AC18" s="16">
        <v>1</v>
      </c>
      <c r="AD18" s="16">
        <v>2</v>
      </c>
      <c r="AE18" s="16">
        <v>9</v>
      </c>
      <c r="AG18" s="16">
        <f>AE18</f>
        <v>9</v>
      </c>
      <c r="AH18" s="16">
        <f t="shared" si="0"/>
        <v>0.23684210526315788</v>
      </c>
    </row>
    <row r="19" spans="1:34" x14ac:dyDescent="0.2">
      <c r="A19" s="16" t="s">
        <v>17</v>
      </c>
      <c r="B19" s="16">
        <v>42</v>
      </c>
      <c r="C19" s="16">
        <f>SUM($G19:$U19)</f>
        <v>34</v>
      </c>
      <c r="D19" s="16">
        <v>0.18339100346020759</v>
      </c>
      <c r="F19" s="16" t="s">
        <v>17</v>
      </c>
      <c r="G19" s="16">
        <v>1</v>
      </c>
      <c r="H19" s="16">
        <v>1</v>
      </c>
      <c r="I19" s="16">
        <v>1</v>
      </c>
      <c r="J19" s="16">
        <v>1</v>
      </c>
      <c r="K19" s="16">
        <v>3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2</v>
      </c>
      <c r="R19" s="16">
        <v>1</v>
      </c>
      <c r="S19" s="16">
        <v>4</v>
      </c>
      <c r="T19" s="16">
        <v>2</v>
      </c>
      <c r="U19" s="16">
        <v>13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>
        <f>U19</f>
        <v>13</v>
      </c>
      <c r="AH19" s="16">
        <f t="shared" si="0"/>
        <v>0.38235294117647056</v>
      </c>
    </row>
    <row r="20" spans="1:34" x14ac:dyDescent="0.2">
      <c r="A20" s="16" t="s">
        <v>39</v>
      </c>
      <c r="B20" s="16">
        <v>35</v>
      </c>
      <c r="C20" s="16">
        <f>SUM($G20:$U20)</f>
        <v>32</v>
      </c>
      <c r="D20" s="16">
        <v>0.205078125</v>
      </c>
      <c r="F20" s="16" t="s">
        <v>39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2</v>
      </c>
      <c r="P20" s="16">
        <v>1</v>
      </c>
      <c r="Q20" s="16">
        <v>1</v>
      </c>
      <c r="R20" s="16">
        <v>1</v>
      </c>
      <c r="S20" s="16">
        <v>1</v>
      </c>
      <c r="T20" s="16">
        <v>5</v>
      </c>
      <c r="U20" s="16">
        <v>13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G20" s="16">
        <f>U20</f>
        <v>13</v>
      </c>
      <c r="AH20" s="16">
        <f t="shared" si="0"/>
        <v>0.40625</v>
      </c>
    </row>
    <row r="21" spans="1:34" x14ac:dyDescent="0.2">
      <c r="A21" s="16" t="s">
        <v>9</v>
      </c>
      <c r="B21" s="16">
        <v>42</v>
      </c>
      <c r="C21" s="16">
        <f>SUM($G21:$AA21)</f>
        <v>39</v>
      </c>
      <c r="D21" s="16">
        <v>0.13609467455621299</v>
      </c>
      <c r="F21" s="16" t="s">
        <v>9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2</v>
      </c>
      <c r="M21" s="16">
        <v>1</v>
      </c>
      <c r="N21" s="16">
        <v>1</v>
      </c>
      <c r="O21" s="16">
        <v>1</v>
      </c>
      <c r="P21" s="16">
        <v>1</v>
      </c>
      <c r="Q21" s="16">
        <v>2</v>
      </c>
      <c r="R21" s="16">
        <v>2</v>
      </c>
      <c r="S21" s="16">
        <v>1</v>
      </c>
      <c r="T21" s="16">
        <v>1</v>
      </c>
      <c r="U21" s="16">
        <v>1</v>
      </c>
      <c r="V21" s="16">
        <v>2</v>
      </c>
      <c r="W21" s="16">
        <v>2</v>
      </c>
      <c r="X21" s="16">
        <v>2</v>
      </c>
      <c r="Y21" s="16">
        <v>1</v>
      </c>
      <c r="Z21" s="16">
        <v>1</v>
      </c>
      <c r="AA21" s="16">
        <v>13</v>
      </c>
      <c r="AB21" s="16"/>
      <c r="AC21" s="16"/>
      <c r="AD21" s="16"/>
      <c r="AE21" s="16"/>
      <c r="AG21" s="16">
        <f>AA21</f>
        <v>13</v>
      </c>
      <c r="AH21" s="16">
        <f t="shared" si="0"/>
        <v>0.33333333333333331</v>
      </c>
    </row>
    <row r="23" spans="1:34" x14ac:dyDescent="0.2">
      <c r="F23" s="16" t="s">
        <v>55</v>
      </c>
      <c r="G23" s="32" t="s">
        <v>119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spans="1:34" x14ac:dyDescent="0.2">
      <c r="F24" s="16">
        <f>SUM($G24:$P24)</f>
        <v>1</v>
      </c>
      <c r="G24" s="16">
        <f t="shared" ref="G24:P24" si="1">G2/$C2</f>
        <v>3.8461538461538464E-2</v>
      </c>
      <c r="H24" s="16">
        <f t="shared" si="1"/>
        <v>3.8461538461538464E-2</v>
      </c>
      <c r="I24" s="16">
        <f t="shared" si="1"/>
        <v>7.6923076923076927E-2</v>
      </c>
      <c r="J24" s="16">
        <f t="shared" si="1"/>
        <v>7.6923076923076927E-2</v>
      </c>
      <c r="K24" s="16">
        <f t="shared" si="1"/>
        <v>0.15384615384615385</v>
      </c>
      <c r="L24" s="16">
        <f t="shared" si="1"/>
        <v>3.8461538461538464E-2</v>
      </c>
      <c r="M24" s="16">
        <f t="shared" si="1"/>
        <v>0.11538461538461539</v>
      </c>
      <c r="N24" s="16">
        <f t="shared" si="1"/>
        <v>7.6923076923076927E-2</v>
      </c>
      <c r="O24" s="16">
        <f t="shared" si="1"/>
        <v>0.19230769230769232</v>
      </c>
      <c r="P24" s="16">
        <f t="shared" si="1"/>
        <v>0.19230769230769232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1:34" x14ac:dyDescent="0.2">
      <c r="F25" s="16">
        <f>SUM($G25:$T25)</f>
        <v>1</v>
      </c>
      <c r="G25" s="16">
        <f t="shared" ref="G25:P25" si="2">G3/$C3</f>
        <v>3.4482758620689655E-2</v>
      </c>
      <c r="H25" s="16">
        <f t="shared" si="2"/>
        <v>3.4482758620689655E-2</v>
      </c>
      <c r="I25" s="16">
        <f t="shared" si="2"/>
        <v>3.4482758620689655E-2</v>
      </c>
      <c r="J25" s="16">
        <f t="shared" si="2"/>
        <v>3.4482758620689655E-2</v>
      </c>
      <c r="K25" s="16">
        <f t="shared" si="2"/>
        <v>3.4482758620689655E-2</v>
      </c>
      <c r="L25" s="16">
        <f t="shared" si="2"/>
        <v>3.4482758620689655E-2</v>
      </c>
      <c r="M25" s="16">
        <f t="shared" si="2"/>
        <v>3.4482758620689655E-2</v>
      </c>
      <c r="N25" s="16">
        <f t="shared" si="2"/>
        <v>3.4482758620689655E-2</v>
      </c>
      <c r="O25" s="16">
        <f t="shared" si="2"/>
        <v>3.4482758620689655E-2</v>
      </c>
      <c r="P25" s="16">
        <f t="shared" si="2"/>
        <v>6.8965517241379309E-2</v>
      </c>
      <c r="Q25" s="16">
        <f>Q3/$C3</f>
        <v>0.10344827586206896</v>
      </c>
      <c r="R25" s="16">
        <f>R3/$C3</f>
        <v>6.8965517241379309E-2</v>
      </c>
      <c r="S25" s="16">
        <f>S3/$C3</f>
        <v>3.4482758620689655E-2</v>
      </c>
      <c r="T25" s="16">
        <f>T3/$C3</f>
        <v>0.41379310344827586</v>
      </c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spans="1:34" x14ac:dyDescent="0.2">
      <c r="F26" s="16">
        <f>SUM($G26:$R26)</f>
        <v>1</v>
      </c>
      <c r="G26" s="16">
        <f t="shared" ref="G26:P26" si="3">G4/$C4</f>
        <v>3.4482758620689655E-2</v>
      </c>
      <c r="H26" s="16">
        <f t="shared" si="3"/>
        <v>3.4482758620689655E-2</v>
      </c>
      <c r="I26" s="16">
        <f t="shared" si="3"/>
        <v>3.4482758620689655E-2</v>
      </c>
      <c r="J26" s="16">
        <f t="shared" si="3"/>
        <v>3.4482758620689655E-2</v>
      </c>
      <c r="K26" s="16">
        <f t="shared" si="3"/>
        <v>6.8965517241379309E-2</v>
      </c>
      <c r="L26" s="16">
        <f t="shared" si="3"/>
        <v>0.10344827586206896</v>
      </c>
      <c r="M26" s="16">
        <f t="shared" si="3"/>
        <v>0.17241379310344829</v>
      </c>
      <c r="N26" s="16">
        <f t="shared" si="3"/>
        <v>3.4482758620689655E-2</v>
      </c>
      <c r="O26" s="16">
        <f t="shared" si="3"/>
        <v>6.8965517241379309E-2</v>
      </c>
      <c r="P26" s="16">
        <f t="shared" si="3"/>
        <v>0.10344827586206896</v>
      </c>
      <c r="Q26" s="16">
        <f t="shared" ref="Q26:R31" si="4">Q4/$C4</f>
        <v>0.13793103448275862</v>
      </c>
      <c r="R26" s="16">
        <f t="shared" si="4"/>
        <v>0.17241379310344829</v>
      </c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spans="1:34" x14ac:dyDescent="0.2">
      <c r="F27" s="16">
        <f>SUM($G27:$T27)</f>
        <v>1</v>
      </c>
      <c r="G27" s="16">
        <f t="shared" ref="G27:P27" si="5">G5/$C5</f>
        <v>3.5714285714285712E-2</v>
      </c>
      <c r="H27" s="16">
        <f t="shared" si="5"/>
        <v>3.5714285714285712E-2</v>
      </c>
      <c r="I27" s="16">
        <f t="shared" si="5"/>
        <v>3.5714285714285712E-2</v>
      </c>
      <c r="J27" s="16">
        <f t="shared" si="5"/>
        <v>3.5714285714285712E-2</v>
      </c>
      <c r="K27" s="16">
        <f t="shared" si="5"/>
        <v>3.5714285714285712E-2</v>
      </c>
      <c r="L27" s="16">
        <f t="shared" si="5"/>
        <v>3.5714285714285712E-2</v>
      </c>
      <c r="M27" s="16">
        <f t="shared" si="5"/>
        <v>3.5714285714285712E-2</v>
      </c>
      <c r="N27" s="16">
        <f t="shared" si="5"/>
        <v>7.1428571428571425E-2</v>
      </c>
      <c r="O27" s="16">
        <f t="shared" si="5"/>
        <v>0.10714285714285714</v>
      </c>
      <c r="P27" s="16">
        <f t="shared" si="5"/>
        <v>7.1428571428571425E-2</v>
      </c>
      <c r="Q27" s="16">
        <f t="shared" si="4"/>
        <v>3.5714285714285712E-2</v>
      </c>
      <c r="R27" s="16">
        <f t="shared" si="4"/>
        <v>7.1428571428571425E-2</v>
      </c>
      <c r="S27" s="16">
        <f>S5/$C5</f>
        <v>3.5714285714285712E-2</v>
      </c>
      <c r="T27" s="16">
        <f>T5/$C5</f>
        <v>0.35714285714285715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 spans="1:34" x14ac:dyDescent="0.2">
      <c r="F28" s="16">
        <f>SUM($G28:$R28)</f>
        <v>0.99999999999999989</v>
      </c>
      <c r="G28" s="16">
        <f t="shared" ref="G28:P28" si="6">G6/$C6</f>
        <v>3.2258064516129031E-2</v>
      </c>
      <c r="H28" s="16">
        <f t="shared" si="6"/>
        <v>3.2258064516129031E-2</v>
      </c>
      <c r="I28" s="16">
        <f t="shared" si="6"/>
        <v>3.2258064516129031E-2</v>
      </c>
      <c r="J28" s="16">
        <f t="shared" si="6"/>
        <v>3.2258064516129031E-2</v>
      </c>
      <c r="K28" s="16">
        <f t="shared" si="6"/>
        <v>3.2258064516129031E-2</v>
      </c>
      <c r="L28" s="16">
        <f t="shared" si="6"/>
        <v>9.6774193548387094E-2</v>
      </c>
      <c r="M28" s="16">
        <f t="shared" si="6"/>
        <v>3.2258064516129031E-2</v>
      </c>
      <c r="N28" s="16">
        <f t="shared" si="6"/>
        <v>3.2258064516129031E-2</v>
      </c>
      <c r="O28" s="16">
        <f t="shared" si="6"/>
        <v>3.2258064516129031E-2</v>
      </c>
      <c r="P28" s="16">
        <f t="shared" si="6"/>
        <v>0.16129032258064516</v>
      </c>
      <c r="Q28" s="16">
        <f t="shared" si="4"/>
        <v>0.12903225806451613</v>
      </c>
      <c r="R28" s="16">
        <f t="shared" si="4"/>
        <v>0.35483870967741937</v>
      </c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spans="1:34" x14ac:dyDescent="0.2">
      <c r="F29" s="16">
        <f>SUM($G29:$W29)</f>
        <v>1</v>
      </c>
      <c r="G29" s="16">
        <f t="shared" ref="G29:P29" si="7">G7/$C7</f>
        <v>2.8571428571428571E-2</v>
      </c>
      <c r="H29" s="16">
        <f t="shared" si="7"/>
        <v>2.8571428571428571E-2</v>
      </c>
      <c r="I29" s="16">
        <f t="shared" si="7"/>
        <v>2.8571428571428571E-2</v>
      </c>
      <c r="J29" s="16">
        <f t="shared" si="7"/>
        <v>2.8571428571428571E-2</v>
      </c>
      <c r="K29" s="16">
        <f t="shared" si="7"/>
        <v>2.8571428571428571E-2</v>
      </c>
      <c r="L29" s="16">
        <f t="shared" si="7"/>
        <v>2.8571428571428571E-2</v>
      </c>
      <c r="M29" s="16">
        <f t="shared" si="7"/>
        <v>2.8571428571428571E-2</v>
      </c>
      <c r="N29" s="16">
        <f t="shared" si="7"/>
        <v>2.8571428571428571E-2</v>
      </c>
      <c r="O29" s="16">
        <f t="shared" si="7"/>
        <v>2.8571428571428571E-2</v>
      </c>
      <c r="P29" s="16">
        <f t="shared" si="7"/>
        <v>5.7142857142857141E-2</v>
      </c>
      <c r="Q29" s="16">
        <f t="shared" si="4"/>
        <v>2.8571428571428571E-2</v>
      </c>
      <c r="R29" s="16">
        <f t="shared" si="4"/>
        <v>8.5714285714285715E-2</v>
      </c>
      <c r="S29" s="16">
        <f t="shared" ref="S29:W31" si="8">S7/$C7</f>
        <v>2.8571428571428571E-2</v>
      </c>
      <c r="T29" s="16">
        <f t="shared" si="8"/>
        <v>2.8571428571428571E-2</v>
      </c>
      <c r="U29" s="16">
        <f t="shared" si="8"/>
        <v>8.5714285714285715E-2</v>
      </c>
      <c r="V29" s="16">
        <f t="shared" si="8"/>
        <v>8.5714285714285715E-2</v>
      </c>
      <c r="W29" s="16">
        <f t="shared" si="8"/>
        <v>0.34285714285714286</v>
      </c>
      <c r="X29" s="16"/>
      <c r="Y29" s="16"/>
      <c r="Z29" s="16"/>
      <c r="AA29" s="16"/>
      <c r="AB29" s="16"/>
      <c r="AC29" s="16"/>
      <c r="AD29" s="16"/>
      <c r="AE29" s="16"/>
    </row>
    <row r="30" spans="1:34" x14ac:dyDescent="0.2">
      <c r="F30" s="16">
        <f>SUM($G30:$X30)</f>
        <v>0.99999999999999989</v>
      </c>
      <c r="G30" s="16">
        <f t="shared" ref="G30:P30" si="9">G8/$C8</f>
        <v>3.2258064516129031E-2</v>
      </c>
      <c r="H30" s="16">
        <f t="shared" si="9"/>
        <v>3.2258064516129031E-2</v>
      </c>
      <c r="I30" s="16">
        <f t="shared" si="9"/>
        <v>3.2258064516129031E-2</v>
      </c>
      <c r="J30" s="16">
        <f t="shared" si="9"/>
        <v>3.2258064516129031E-2</v>
      </c>
      <c r="K30" s="16">
        <f t="shared" si="9"/>
        <v>3.2258064516129031E-2</v>
      </c>
      <c r="L30" s="16">
        <f t="shared" si="9"/>
        <v>3.2258064516129031E-2</v>
      </c>
      <c r="M30" s="16">
        <f t="shared" si="9"/>
        <v>3.2258064516129031E-2</v>
      </c>
      <c r="N30" s="16">
        <f t="shared" si="9"/>
        <v>3.2258064516129031E-2</v>
      </c>
      <c r="O30" s="16">
        <f t="shared" si="9"/>
        <v>3.2258064516129031E-2</v>
      </c>
      <c r="P30" s="16">
        <f t="shared" si="9"/>
        <v>3.2258064516129031E-2</v>
      </c>
      <c r="Q30" s="16">
        <f t="shared" si="4"/>
        <v>3.2258064516129031E-2</v>
      </c>
      <c r="R30" s="16">
        <f t="shared" si="4"/>
        <v>3.2258064516129031E-2</v>
      </c>
      <c r="S30" s="16">
        <f t="shared" si="8"/>
        <v>3.2258064516129031E-2</v>
      </c>
      <c r="T30" s="16">
        <f t="shared" si="8"/>
        <v>6.4516129032258063E-2</v>
      </c>
      <c r="U30" s="16">
        <f t="shared" si="8"/>
        <v>6.4516129032258063E-2</v>
      </c>
      <c r="V30" s="16">
        <f t="shared" si="8"/>
        <v>3.2258064516129031E-2</v>
      </c>
      <c r="W30" s="16">
        <f t="shared" si="8"/>
        <v>6.4516129032258063E-2</v>
      </c>
      <c r="X30" s="16">
        <f>X8/$C8</f>
        <v>0.35483870967741937</v>
      </c>
      <c r="Y30" s="16"/>
      <c r="Z30" s="16"/>
      <c r="AA30" s="16"/>
      <c r="AB30" s="16"/>
      <c r="AC30" s="16"/>
      <c r="AD30" s="16"/>
      <c r="AE30" s="16"/>
    </row>
    <row r="31" spans="1:34" x14ac:dyDescent="0.2">
      <c r="F31" s="16">
        <f>SUM($G31:$W31)</f>
        <v>1</v>
      </c>
      <c r="G31" s="16">
        <f t="shared" ref="G31:P31" si="10">G9/$C9</f>
        <v>2.9411764705882353E-2</v>
      </c>
      <c r="H31" s="16">
        <f t="shared" si="10"/>
        <v>2.9411764705882353E-2</v>
      </c>
      <c r="I31" s="16">
        <f t="shared" si="10"/>
        <v>2.9411764705882353E-2</v>
      </c>
      <c r="J31" s="16">
        <f t="shared" si="10"/>
        <v>2.9411764705882353E-2</v>
      </c>
      <c r="K31" s="16">
        <f t="shared" si="10"/>
        <v>2.9411764705882353E-2</v>
      </c>
      <c r="L31" s="16">
        <f t="shared" si="10"/>
        <v>2.9411764705882353E-2</v>
      </c>
      <c r="M31" s="16">
        <f t="shared" si="10"/>
        <v>2.9411764705882353E-2</v>
      </c>
      <c r="N31" s="16">
        <f t="shared" si="10"/>
        <v>5.8823529411764705E-2</v>
      </c>
      <c r="O31" s="16">
        <f t="shared" si="10"/>
        <v>2.9411764705882353E-2</v>
      </c>
      <c r="P31" s="16">
        <f t="shared" si="10"/>
        <v>2.9411764705882353E-2</v>
      </c>
      <c r="Q31" s="16">
        <f t="shared" si="4"/>
        <v>2.9411764705882353E-2</v>
      </c>
      <c r="R31" s="16">
        <f t="shared" si="4"/>
        <v>2.9411764705882353E-2</v>
      </c>
      <c r="S31" s="16">
        <f t="shared" si="8"/>
        <v>5.8823529411764705E-2</v>
      </c>
      <c r="T31" s="16">
        <f t="shared" si="8"/>
        <v>2.9411764705882353E-2</v>
      </c>
      <c r="U31" s="16">
        <f t="shared" si="8"/>
        <v>2.9411764705882353E-2</v>
      </c>
      <c r="V31" s="16">
        <f t="shared" si="8"/>
        <v>2.9411764705882353E-2</v>
      </c>
      <c r="W31" s="16">
        <f t="shared" si="8"/>
        <v>0.47058823529411764</v>
      </c>
      <c r="X31" s="16"/>
      <c r="Y31" s="16"/>
      <c r="Z31" s="16"/>
      <c r="AA31" s="16"/>
      <c r="AB31" s="16"/>
      <c r="AC31" s="16"/>
      <c r="AD31" s="16"/>
      <c r="AE31" s="16"/>
    </row>
    <row r="32" spans="1:34" x14ac:dyDescent="0.2">
      <c r="F32" s="16">
        <f>SUM($G32:$Q32)</f>
        <v>1</v>
      </c>
      <c r="G32" s="16">
        <f t="shared" ref="G32:P32" si="11">G10/$C10</f>
        <v>6.6666666666666666E-2</v>
      </c>
      <c r="H32" s="16">
        <f t="shared" si="11"/>
        <v>3.3333333333333333E-2</v>
      </c>
      <c r="I32" s="16">
        <f t="shared" si="11"/>
        <v>3.3333333333333333E-2</v>
      </c>
      <c r="J32" s="16">
        <f t="shared" si="11"/>
        <v>3.3333333333333333E-2</v>
      </c>
      <c r="K32" s="16">
        <f t="shared" si="11"/>
        <v>3.3333333333333333E-2</v>
      </c>
      <c r="L32" s="16">
        <f t="shared" si="11"/>
        <v>3.3333333333333333E-2</v>
      </c>
      <c r="M32" s="16">
        <f t="shared" si="11"/>
        <v>3.3333333333333333E-2</v>
      </c>
      <c r="N32" s="16">
        <f t="shared" si="11"/>
        <v>3.3333333333333333E-2</v>
      </c>
      <c r="O32" s="16">
        <f t="shared" si="11"/>
        <v>6.6666666666666666E-2</v>
      </c>
      <c r="P32" s="16">
        <f t="shared" si="11"/>
        <v>3.3333333333333333E-2</v>
      </c>
      <c r="Q32" s="16">
        <f t="shared" ref="Q32:Q39" si="12">Q10/$C10</f>
        <v>0.6</v>
      </c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6:31" x14ac:dyDescent="0.2">
      <c r="F33" s="16">
        <f>SUM($G33:$R33)</f>
        <v>1</v>
      </c>
      <c r="G33" s="16">
        <f t="shared" ref="G33:P33" si="13">G11/$C11</f>
        <v>3.5714285714285712E-2</v>
      </c>
      <c r="H33" s="16">
        <f t="shared" si="13"/>
        <v>3.5714285714285712E-2</v>
      </c>
      <c r="I33" s="16">
        <f t="shared" si="13"/>
        <v>3.5714285714285712E-2</v>
      </c>
      <c r="J33" s="16">
        <f t="shared" si="13"/>
        <v>3.5714285714285712E-2</v>
      </c>
      <c r="K33" s="16">
        <f t="shared" si="13"/>
        <v>3.5714285714285712E-2</v>
      </c>
      <c r="L33" s="16">
        <f t="shared" si="13"/>
        <v>0.10714285714285714</v>
      </c>
      <c r="M33" s="16">
        <f t="shared" si="13"/>
        <v>7.1428571428571425E-2</v>
      </c>
      <c r="N33" s="16">
        <f t="shared" si="13"/>
        <v>3.5714285714285712E-2</v>
      </c>
      <c r="O33" s="16">
        <f t="shared" si="13"/>
        <v>0.10714285714285714</v>
      </c>
      <c r="P33" s="16">
        <f t="shared" si="13"/>
        <v>7.1428571428571425E-2</v>
      </c>
      <c r="Q33" s="16">
        <f t="shared" si="12"/>
        <v>3.5714285714285712E-2</v>
      </c>
      <c r="R33" s="16">
        <f t="shared" ref="R33:R38" si="14">R11/$C11</f>
        <v>0.39285714285714285</v>
      </c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 spans="6:31" x14ac:dyDescent="0.2">
      <c r="F34" s="16">
        <f>SUM($G34:$Z34)</f>
        <v>1</v>
      </c>
      <c r="G34" s="16">
        <f t="shared" ref="G34:P34" si="15">G12/$C12</f>
        <v>2.6315789473684209E-2</v>
      </c>
      <c r="H34" s="16">
        <f t="shared" si="15"/>
        <v>2.6315789473684209E-2</v>
      </c>
      <c r="I34" s="16">
        <f t="shared" si="15"/>
        <v>2.6315789473684209E-2</v>
      </c>
      <c r="J34" s="16">
        <f t="shared" si="15"/>
        <v>2.6315789473684209E-2</v>
      </c>
      <c r="K34" s="16">
        <f t="shared" si="15"/>
        <v>2.6315789473684209E-2</v>
      </c>
      <c r="L34" s="16">
        <f t="shared" si="15"/>
        <v>2.6315789473684209E-2</v>
      </c>
      <c r="M34" s="16">
        <f t="shared" si="15"/>
        <v>5.2631578947368418E-2</v>
      </c>
      <c r="N34" s="16">
        <f t="shared" si="15"/>
        <v>2.6315789473684209E-2</v>
      </c>
      <c r="O34" s="16">
        <f t="shared" si="15"/>
        <v>5.2631578947368418E-2</v>
      </c>
      <c r="P34" s="16">
        <f t="shared" si="15"/>
        <v>2.6315789473684209E-2</v>
      </c>
      <c r="Q34" s="16">
        <f t="shared" si="12"/>
        <v>5.2631578947368418E-2</v>
      </c>
      <c r="R34" s="16">
        <f t="shared" si="14"/>
        <v>2.6315789473684209E-2</v>
      </c>
      <c r="S34" s="16">
        <f t="shared" ref="S34:Z34" si="16">S12/$C12</f>
        <v>5.2631578947368418E-2</v>
      </c>
      <c r="T34" s="16">
        <f t="shared" si="16"/>
        <v>2.6315789473684209E-2</v>
      </c>
      <c r="U34" s="16">
        <f t="shared" si="16"/>
        <v>5.2631578947368418E-2</v>
      </c>
      <c r="V34" s="16">
        <f t="shared" si="16"/>
        <v>2.6315789473684209E-2</v>
      </c>
      <c r="W34" s="16">
        <f t="shared" si="16"/>
        <v>2.6315789473684209E-2</v>
      </c>
      <c r="X34" s="16">
        <f t="shared" si="16"/>
        <v>2.6315789473684209E-2</v>
      </c>
      <c r="Y34" s="16">
        <f t="shared" si="16"/>
        <v>5.2631578947368418E-2</v>
      </c>
      <c r="Z34" s="16">
        <f t="shared" si="16"/>
        <v>0.34210526315789475</v>
      </c>
      <c r="AA34" s="16"/>
      <c r="AB34" s="16"/>
      <c r="AC34" s="16"/>
      <c r="AD34" s="16"/>
      <c r="AE34" s="16"/>
    </row>
    <row r="35" spans="6:31" x14ac:dyDescent="0.2">
      <c r="F35" s="16">
        <f>SUM($G35:$U35)</f>
        <v>0.99999999999999978</v>
      </c>
      <c r="G35" s="16">
        <f t="shared" ref="G35:P35" si="17">G13/$C13</f>
        <v>3.5714285714285712E-2</v>
      </c>
      <c r="H35" s="16">
        <f t="shared" si="17"/>
        <v>3.5714285714285712E-2</v>
      </c>
      <c r="I35" s="16">
        <f t="shared" si="17"/>
        <v>7.1428571428571425E-2</v>
      </c>
      <c r="J35" s="16">
        <f t="shared" si="17"/>
        <v>3.5714285714285712E-2</v>
      </c>
      <c r="K35" s="16">
        <f t="shared" si="17"/>
        <v>7.1428571428571425E-2</v>
      </c>
      <c r="L35" s="16">
        <f t="shared" si="17"/>
        <v>3.5714285714285712E-2</v>
      </c>
      <c r="M35" s="16">
        <f t="shared" si="17"/>
        <v>7.1428571428571425E-2</v>
      </c>
      <c r="N35" s="16">
        <f t="shared" si="17"/>
        <v>7.1428571428571425E-2</v>
      </c>
      <c r="O35" s="16">
        <f t="shared" si="17"/>
        <v>7.1428571428571425E-2</v>
      </c>
      <c r="P35" s="16">
        <f t="shared" si="17"/>
        <v>3.5714285714285712E-2</v>
      </c>
      <c r="Q35" s="16">
        <f t="shared" si="12"/>
        <v>7.1428571428571425E-2</v>
      </c>
      <c r="R35" s="16">
        <f t="shared" si="14"/>
        <v>3.5714285714285712E-2</v>
      </c>
      <c r="S35" s="16">
        <f t="shared" ref="S35:U38" si="18">S13/$C13</f>
        <v>3.5714285714285712E-2</v>
      </c>
      <c r="T35" s="16">
        <f t="shared" si="18"/>
        <v>3.5714285714285712E-2</v>
      </c>
      <c r="U35" s="16">
        <f t="shared" si="18"/>
        <v>0.2857142857142857</v>
      </c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spans="6:31" x14ac:dyDescent="0.2">
      <c r="F36" s="16">
        <f>SUM($G36:$W36)</f>
        <v>1</v>
      </c>
      <c r="G36" s="16">
        <f t="shared" ref="G36:P36" si="19">G14/$C14</f>
        <v>3.3333333333333333E-2</v>
      </c>
      <c r="H36" s="16">
        <f t="shared" si="19"/>
        <v>3.3333333333333333E-2</v>
      </c>
      <c r="I36" s="16">
        <f t="shared" si="19"/>
        <v>3.3333333333333333E-2</v>
      </c>
      <c r="J36" s="16">
        <f t="shared" si="19"/>
        <v>3.3333333333333333E-2</v>
      </c>
      <c r="K36" s="16">
        <f t="shared" si="19"/>
        <v>3.3333333333333333E-2</v>
      </c>
      <c r="L36" s="16">
        <f t="shared" si="19"/>
        <v>3.3333333333333333E-2</v>
      </c>
      <c r="M36" s="16">
        <f t="shared" si="19"/>
        <v>3.3333333333333333E-2</v>
      </c>
      <c r="N36" s="16">
        <f t="shared" si="19"/>
        <v>3.3333333333333333E-2</v>
      </c>
      <c r="O36" s="16">
        <f t="shared" si="19"/>
        <v>3.3333333333333333E-2</v>
      </c>
      <c r="P36" s="16">
        <f t="shared" si="19"/>
        <v>3.3333333333333333E-2</v>
      </c>
      <c r="Q36" s="16">
        <f t="shared" si="12"/>
        <v>3.3333333333333333E-2</v>
      </c>
      <c r="R36" s="16">
        <f t="shared" si="14"/>
        <v>6.6666666666666666E-2</v>
      </c>
      <c r="S36" s="16">
        <f t="shared" si="18"/>
        <v>0.1</v>
      </c>
      <c r="T36" s="16">
        <f t="shared" si="18"/>
        <v>0.1</v>
      </c>
      <c r="U36" s="16">
        <f t="shared" si="18"/>
        <v>6.6666666666666666E-2</v>
      </c>
      <c r="V36" s="16">
        <f>V14/$C14</f>
        <v>6.6666666666666666E-2</v>
      </c>
      <c r="W36" s="16">
        <f>W14/$C14</f>
        <v>0.23333333333333334</v>
      </c>
      <c r="X36" s="16"/>
      <c r="Y36" s="16"/>
      <c r="Z36" s="16"/>
      <c r="AA36" s="16"/>
      <c r="AB36" s="16"/>
      <c r="AC36" s="16"/>
      <c r="AD36" s="16"/>
      <c r="AE36" s="16"/>
    </row>
    <row r="37" spans="6:31" x14ac:dyDescent="0.2">
      <c r="F37" s="16">
        <f>SUM($G37:$X37)</f>
        <v>1</v>
      </c>
      <c r="G37" s="16">
        <f t="shared" ref="G37:P37" si="20">G15/$C15</f>
        <v>2.5000000000000001E-2</v>
      </c>
      <c r="H37" s="16">
        <f t="shared" si="20"/>
        <v>2.5000000000000001E-2</v>
      </c>
      <c r="I37" s="16">
        <f t="shared" si="20"/>
        <v>2.5000000000000001E-2</v>
      </c>
      <c r="J37" s="16">
        <f t="shared" si="20"/>
        <v>2.5000000000000001E-2</v>
      </c>
      <c r="K37" s="16">
        <f t="shared" si="20"/>
        <v>2.5000000000000001E-2</v>
      </c>
      <c r="L37" s="16">
        <f t="shared" si="20"/>
        <v>2.5000000000000001E-2</v>
      </c>
      <c r="M37" s="16">
        <f t="shared" si="20"/>
        <v>2.5000000000000001E-2</v>
      </c>
      <c r="N37" s="16">
        <f t="shared" si="20"/>
        <v>0.05</v>
      </c>
      <c r="O37" s="16">
        <f t="shared" si="20"/>
        <v>2.5000000000000001E-2</v>
      </c>
      <c r="P37" s="16">
        <f t="shared" si="20"/>
        <v>2.5000000000000001E-2</v>
      </c>
      <c r="Q37" s="16">
        <f t="shared" si="12"/>
        <v>0.05</v>
      </c>
      <c r="R37" s="16">
        <f t="shared" si="14"/>
        <v>2.5000000000000001E-2</v>
      </c>
      <c r="S37" s="16">
        <f t="shared" si="18"/>
        <v>2.5000000000000001E-2</v>
      </c>
      <c r="T37" s="16">
        <f t="shared" si="18"/>
        <v>2.5000000000000001E-2</v>
      </c>
      <c r="U37" s="16">
        <f t="shared" si="18"/>
        <v>2.5000000000000001E-2</v>
      </c>
      <c r="V37" s="16">
        <f>V15/$C15</f>
        <v>0.05</v>
      </c>
      <c r="W37" s="16">
        <f>W15/$C15</f>
        <v>0.125</v>
      </c>
      <c r="X37" s="16">
        <f>X15/$C15</f>
        <v>0.4</v>
      </c>
      <c r="Y37" s="16"/>
      <c r="Z37" s="16"/>
      <c r="AA37" s="16"/>
      <c r="AB37" s="16"/>
      <c r="AC37" s="16"/>
      <c r="AD37" s="16"/>
      <c r="AE37" s="16"/>
    </row>
    <row r="38" spans="6:31" x14ac:dyDescent="0.2">
      <c r="F38" s="16">
        <f>SUM($G38:$U38)</f>
        <v>1</v>
      </c>
      <c r="G38" s="16">
        <f t="shared" ref="G38:P38" si="21">G16/$C16</f>
        <v>3.3333333333333333E-2</v>
      </c>
      <c r="H38" s="16">
        <f t="shared" si="21"/>
        <v>3.3333333333333333E-2</v>
      </c>
      <c r="I38" s="16">
        <f t="shared" si="21"/>
        <v>3.3333333333333333E-2</v>
      </c>
      <c r="J38" s="16">
        <f t="shared" si="21"/>
        <v>3.3333333333333333E-2</v>
      </c>
      <c r="K38" s="16">
        <f t="shared" si="21"/>
        <v>3.3333333333333333E-2</v>
      </c>
      <c r="L38" s="16">
        <f t="shared" si="21"/>
        <v>3.3333333333333333E-2</v>
      </c>
      <c r="M38" s="16">
        <f t="shared" si="21"/>
        <v>6.6666666666666666E-2</v>
      </c>
      <c r="N38" s="16">
        <f t="shared" si="21"/>
        <v>3.3333333333333333E-2</v>
      </c>
      <c r="O38" s="16">
        <f t="shared" si="21"/>
        <v>3.3333333333333333E-2</v>
      </c>
      <c r="P38" s="16">
        <f t="shared" si="21"/>
        <v>0.1</v>
      </c>
      <c r="Q38" s="16">
        <f t="shared" si="12"/>
        <v>3.3333333333333333E-2</v>
      </c>
      <c r="R38" s="16">
        <f t="shared" si="14"/>
        <v>0.1</v>
      </c>
      <c r="S38" s="16">
        <f t="shared" si="18"/>
        <v>0.1</v>
      </c>
      <c r="T38" s="16">
        <f t="shared" si="18"/>
        <v>0.1</v>
      </c>
      <c r="U38" s="16">
        <f t="shared" si="18"/>
        <v>0.23333333333333334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6:31" x14ac:dyDescent="0.2">
      <c r="F39" s="16">
        <f>SUM($G39:$Q39)</f>
        <v>1</v>
      </c>
      <c r="G39" s="16">
        <f t="shared" ref="G39:P39" si="22">G17/$C17</f>
        <v>3.3333333333333333E-2</v>
      </c>
      <c r="H39" s="16">
        <f t="shared" si="22"/>
        <v>3.3333333333333333E-2</v>
      </c>
      <c r="I39" s="16">
        <f t="shared" si="22"/>
        <v>3.3333333333333333E-2</v>
      </c>
      <c r="J39" s="16">
        <f t="shared" si="22"/>
        <v>3.3333333333333333E-2</v>
      </c>
      <c r="K39" s="16">
        <f t="shared" si="22"/>
        <v>3.3333333333333333E-2</v>
      </c>
      <c r="L39" s="16">
        <f t="shared" si="22"/>
        <v>3.3333333333333333E-2</v>
      </c>
      <c r="M39" s="16">
        <f t="shared" si="22"/>
        <v>3.3333333333333333E-2</v>
      </c>
      <c r="N39" s="16">
        <f t="shared" si="22"/>
        <v>3.3333333333333333E-2</v>
      </c>
      <c r="O39" s="16">
        <f t="shared" si="22"/>
        <v>0.13333333333333333</v>
      </c>
      <c r="P39" s="16">
        <f t="shared" si="22"/>
        <v>3.3333333333333333E-2</v>
      </c>
      <c r="Q39" s="16">
        <f t="shared" si="12"/>
        <v>0.56666666666666665</v>
      </c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6:31" x14ac:dyDescent="0.2">
      <c r="F40" s="16">
        <f>SUM($G40:$AE40)</f>
        <v>0.99999999999999967</v>
      </c>
      <c r="G40" s="16">
        <f t="shared" ref="G40:AE40" si="23">G18/$C18</f>
        <v>2.6315789473684209E-2</v>
      </c>
      <c r="H40" s="16">
        <f t="shared" si="23"/>
        <v>2.6315789473684209E-2</v>
      </c>
      <c r="I40" s="16">
        <f t="shared" si="23"/>
        <v>2.6315789473684209E-2</v>
      </c>
      <c r="J40" s="16">
        <f t="shared" si="23"/>
        <v>2.6315789473684209E-2</v>
      </c>
      <c r="K40" s="16">
        <f t="shared" si="23"/>
        <v>2.6315789473684209E-2</v>
      </c>
      <c r="L40" s="16">
        <f t="shared" si="23"/>
        <v>2.6315789473684209E-2</v>
      </c>
      <c r="M40" s="16">
        <f t="shared" si="23"/>
        <v>2.6315789473684209E-2</v>
      </c>
      <c r="N40" s="16">
        <f t="shared" si="23"/>
        <v>2.6315789473684209E-2</v>
      </c>
      <c r="O40" s="16">
        <f t="shared" si="23"/>
        <v>2.6315789473684209E-2</v>
      </c>
      <c r="P40" s="16">
        <f t="shared" si="23"/>
        <v>2.6315789473684209E-2</v>
      </c>
      <c r="Q40" s="16">
        <f t="shared" si="23"/>
        <v>2.6315789473684209E-2</v>
      </c>
      <c r="R40" s="16">
        <f t="shared" si="23"/>
        <v>2.6315789473684209E-2</v>
      </c>
      <c r="S40" s="16">
        <f t="shared" si="23"/>
        <v>2.6315789473684209E-2</v>
      </c>
      <c r="T40" s="16">
        <f t="shared" si="23"/>
        <v>2.6315789473684209E-2</v>
      </c>
      <c r="U40" s="16">
        <f t="shared" si="23"/>
        <v>2.6315789473684209E-2</v>
      </c>
      <c r="V40" s="16">
        <f t="shared" si="23"/>
        <v>5.2631578947368418E-2</v>
      </c>
      <c r="W40" s="16">
        <f t="shared" si="23"/>
        <v>2.6315789473684209E-2</v>
      </c>
      <c r="X40" s="16">
        <f t="shared" si="23"/>
        <v>5.2631578947368418E-2</v>
      </c>
      <c r="Y40" s="16">
        <f t="shared" si="23"/>
        <v>5.2631578947368418E-2</v>
      </c>
      <c r="Z40" s="16">
        <f t="shared" si="23"/>
        <v>2.6315789473684209E-2</v>
      </c>
      <c r="AA40" s="16">
        <f t="shared" si="23"/>
        <v>2.6315789473684209E-2</v>
      </c>
      <c r="AB40" s="16">
        <f t="shared" si="23"/>
        <v>5.2631578947368418E-2</v>
      </c>
      <c r="AC40" s="16">
        <f t="shared" si="23"/>
        <v>2.6315789473684209E-2</v>
      </c>
      <c r="AD40" s="16">
        <f t="shared" si="23"/>
        <v>5.2631578947368418E-2</v>
      </c>
      <c r="AE40" s="16">
        <f t="shared" si="23"/>
        <v>0.23684210526315788</v>
      </c>
    </row>
    <row r="41" spans="6:31" x14ac:dyDescent="0.2">
      <c r="F41" s="16">
        <f>SUM($G41:$U41)</f>
        <v>1</v>
      </c>
      <c r="G41" s="16">
        <f t="shared" ref="G41:U41" si="24">G19/$C19</f>
        <v>2.9411764705882353E-2</v>
      </c>
      <c r="H41" s="16">
        <f t="shared" si="24"/>
        <v>2.9411764705882353E-2</v>
      </c>
      <c r="I41" s="16">
        <f t="shared" si="24"/>
        <v>2.9411764705882353E-2</v>
      </c>
      <c r="J41" s="16">
        <f t="shared" si="24"/>
        <v>2.9411764705882353E-2</v>
      </c>
      <c r="K41" s="16">
        <f t="shared" si="24"/>
        <v>8.8235294117647065E-2</v>
      </c>
      <c r="L41" s="16">
        <f t="shared" si="24"/>
        <v>2.9411764705882353E-2</v>
      </c>
      <c r="M41" s="16">
        <f t="shared" si="24"/>
        <v>2.9411764705882353E-2</v>
      </c>
      <c r="N41" s="16">
        <f t="shared" si="24"/>
        <v>2.9411764705882353E-2</v>
      </c>
      <c r="O41" s="16">
        <f t="shared" si="24"/>
        <v>2.9411764705882353E-2</v>
      </c>
      <c r="P41" s="16">
        <f t="shared" si="24"/>
        <v>2.9411764705882353E-2</v>
      </c>
      <c r="Q41" s="16">
        <f t="shared" si="24"/>
        <v>5.8823529411764705E-2</v>
      </c>
      <c r="R41" s="16">
        <f t="shared" si="24"/>
        <v>2.9411764705882353E-2</v>
      </c>
      <c r="S41" s="16">
        <f t="shared" si="24"/>
        <v>0.11764705882352941</v>
      </c>
      <c r="T41" s="16">
        <f t="shared" si="24"/>
        <v>5.8823529411764705E-2</v>
      </c>
      <c r="U41" s="16">
        <f t="shared" si="24"/>
        <v>0.38235294117647056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6:31" x14ac:dyDescent="0.2">
      <c r="F42" s="16">
        <f>SUM($G42:$U42)</f>
        <v>1</v>
      </c>
      <c r="G42" s="16">
        <f t="shared" ref="G42:U42" si="25">G20/$C20</f>
        <v>3.125E-2</v>
      </c>
      <c r="H42" s="16">
        <f t="shared" si="25"/>
        <v>3.125E-2</v>
      </c>
      <c r="I42" s="16">
        <f t="shared" si="25"/>
        <v>3.125E-2</v>
      </c>
      <c r="J42" s="16">
        <f t="shared" si="25"/>
        <v>3.125E-2</v>
      </c>
      <c r="K42" s="16">
        <f t="shared" si="25"/>
        <v>3.125E-2</v>
      </c>
      <c r="L42" s="16">
        <f t="shared" si="25"/>
        <v>3.125E-2</v>
      </c>
      <c r="M42" s="16">
        <f t="shared" si="25"/>
        <v>3.125E-2</v>
      </c>
      <c r="N42" s="16">
        <f t="shared" si="25"/>
        <v>3.125E-2</v>
      </c>
      <c r="O42" s="16">
        <f t="shared" si="25"/>
        <v>6.25E-2</v>
      </c>
      <c r="P42" s="16">
        <f t="shared" si="25"/>
        <v>3.125E-2</v>
      </c>
      <c r="Q42" s="16">
        <f t="shared" si="25"/>
        <v>3.125E-2</v>
      </c>
      <c r="R42" s="16">
        <f t="shared" si="25"/>
        <v>3.125E-2</v>
      </c>
      <c r="S42" s="16">
        <f t="shared" si="25"/>
        <v>3.125E-2</v>
      </c>
      <c r="T42" s="16">
        <f t="shared" si="25"/>
        <v>0.15625</v>
      </c>
      <c r="U42" s="16">
        <f t="shared" si="25"/>
        <v>0.40625</v>
      </c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6:31" x14ac:dyDescent="0.2">
      <c r="F43" s="16">
        <f>SUM($G43:$AA43)</f>
        <v>1.0000000000000002</v>
      </c>
      <c r="G43" s="16">
        <f t="shared" ref="G43:U43" si="26">G21/$C21</f>
        <v>2.564102564102564E-2</v>
      </c>
      <c r="H43" s="16">
        <f t="shared" si="26"/>
        <v>2.564102564102564E-2</v>
      </c>
      <c r="I43" s="16">
        <f t="shared" si="26"/>
        <v>2.564102564102564E-2</v>
      </c>
      <c r="J43" s="16">
        <f t="shared" si="26"/>
        <v>2.564102564102564E-2</v>
      </c>
      <c r="K43" s="16">
        <f t="shared" si="26"/>
        <v>2.564102564102564E-2</v>
      </c>
      <c r="L43" s="16">
        <f t="shared" si="26"/>
        <v>5.128205128205128E-2</v>
      </c>
      <c r="M43" s="16">
        <f t="shared" si="26"/>
        <v>2.564102564102564E-2</v>
      </c>
      <c r="N43" s="16">
        <f t="shared" si="26"/>
        <v>2.564102564102564E-2</v>
      </c>
      <c r="O43" s="16">
        <f t="shared" si="26"/>
        <v>2.564102564102564E-2</v>
      </c>
      <c r="P43" s="16">
        <f t="shared" si="26"/>
        <v>2.564102564102564E-2</v>
      </c>
      <c r="Q43" s="16">
        <f t="shared" si="26"/>
        <v>5.128205128205128E-2</v>
      </c>
      <c r="R43" s="16">
        <f t="shared" si="26"/>
        <v>5.128205128205128E-2</v>
      </c>
      <c r="S43" s="16">
        <f t="shared" si="26"/>
        <v>2.564102564102564E-2</v>
      </c>
      <c r="T43" s="16">
        <f t="shared" si="26"/>
        <v>2.564102564102564E-2</v>
      </c>
      <c r="U43" s="16">
        <f t="shared" si="26"/>
        <v>2.564102564102564E-2</v>
      </c>
      <c r="V43" s="16">
        <f t="shared" ref="V43:AA43" si="27">V21/$C21</f>
        <v>5.128205128205128E-2</v>
      </c>
      <c r="W43" s="16">
        <f t="shared" si="27"/>
        <v>5.128205128205128E-2</v>
      </c>
      <c r="X43" s="16">
        <f t="shared" si="27"/>
        <v>5.128205128205128E-2</v>
      </c>
      <c r="Y43" s="16">
        <f t="shared" si="27"/>
        <v>2.564102564102564E-2</v>
      </c>
      <c r="Z43" s="16">
        <f t="shared" si="27"/>
        <v>2.564102564102564E-2</v>
      </c>
      <c r="AA43" s="16">
        <f t="shared" si="27"/>
        <v>0.33333333333333331</v>
      </c>
      <c r="AB43" s="16"/>
      <c r="AC43" s="16"/>
      <c r="AD43" s="16"/>
      <c r="AE43" s="16"/>
    </row>
    <row r="45" spans="6:31" x14ac:dyDescent="0.2">
      <c r="F45" s="16" t="s">
        <v>113</v>
      </c>
      <c r="G45" s="32" t="s">
        <v>117</v>
      </c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</row>
    <row r="46" spans="6:31" x14ac:dyDescent="0.2">
      <c r="F46" s="16">
        <f>SUM($G46:$P46)</f>
        <v>0.13313609467455623</v>
      </c>
      <c r="G46" s="16">
        <f>G24^2</f>
        <v>1.4792899408284025E-3</v>
      </c>
      <c r="H46" s="16">
        <f t="shared" ref="H46:Z57" si="28">H24^2</f>
        <v>1.4792899408284025E-3</v>
      </c>
      <c r="I46" s="16">
        <f>I24^2</f>
        <v>5.9171597633136102E-3</v>
      </c>
      <c r="J46" s="16">
        <f t="shared" si="28"/>
        <v>5.9171597633136102E-3</v>
      </c>
      <c r="K46" s="16">
        <f t="shared" si="28"/>
        <v>2.3668639053254441E-2</v>
      </c>
      <c r="L46" s="16">
        <f t="shared" si="28"/>
        <v>1.4792899408284025E-3</v>
      </c>
      <c r="M46" s="16">
        <f t="shared" si="28"/>
        <v>1.3313609467455623E-2</v>
      </c>
      <c r="N46" s="16">
        <f t="shared" si="28"/>
        <v>5.9171597633136102E-3</v>
      </c>
      <c r="O46" s="16">
        <f t="shared" si="28"/>
        <v>3.6982248520710061E-2</v>
      </c>
      <c r="P46" s="16">
        <f t="shared" si="28"/>
        <v>3.6982248520710061E-2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spans="6:31" x14ac:dyDescent="0.2">
      <c r="F47" s="16">
        <f>SUM($G47:$T47)</f>
        <v>0.2033293697978597</v>
      </c>
      <c r="G47" s="16">
        <f t="shared" ref="G47:T65" si="29">G25^2</f>
        <v>1.1890606420927466E-3</v>
      </c>
      <c r="H47" s="16">
        <f t="shared" si="29"/>
        <v>1.1890606420927466E-3</v>
      </c>
      <c r="I47" s="16">
        <f t="shared" si="29"/>
        <v>1.1890606420927466E-3</v>
      </c>
      <c r="J47" s="16">
        <f t="shared" si="29"/>
        <v>1.1890606420927466E-3</v>
      </c>
      <c r="K47" s="16">
        <f t="shared" si="29"/>
        <v>1.1890606420927466E-3</v>
      </c>
      <c r="L47" s="16">
        <f t="shared" si="29"/>
        <v>1.1890606420927466E-3</v>
      </c>
      <c r="M47" s="16">
        <f t="shared" si="29"/>
        <v>1.1890606420927466E-3</v>
      </c>
      <c r="N47" s="16">
        <f t="shared" si="29"/>
        <v>1.1890606420927466E-3</v>
      </c>
      <c r="O47" s="16">
        <f t="shared" si="29"/>
        <v>1.1890606420927466E-3</v>
      </c>
      <c r="P47" s="16">
        <f t="shared" si="29"/>
        <v>4.7562425683709865E-3</v>
      </c>
      <c r="Q47" s="16">
        <f t="shared" si="29"/>
        <v>1.070154577883472E-2</v>
      </c>
      <c r="R47" s="16">
        <f t="shared" si="29"/>
        <v>4.7562425683709865E-3</v>
      </c>
      <c r="S47" s="16">
        <f t="shared" si="29"/>
        <v>1.1890606420927466E-3</v>
      </c>
      <c r="T47" s="16">
        <f t="shared" si="29"/>
        <v>0.17122473246135553</v>
      </c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spans="6:31" x14ac:dyDescent="0.2">
      <c r="F48" s="16">
        <f>SUM($G48:$R48)</f>
        <v>0.11533888228299644</v>
      </c>
      <c r="G48" s="16">
        <f t="shared" si="29"/>
        <v>1.1890606420927466E-3</v>
      </c>
      <c r="H48" s="16">
        <f t="shared" si="28"/>
        <v>1.1890606420927466E-3</v>
      </c>
      <c r="I48" s="16">
        <f t="shared" si="28"/>
        <v>1.1890606420927466E-3</v>
      </c>
      <c r="J48" s="16">
        <f t="shared" si="28"/>
        <v>1.1890606420927466E-3</v>
      </c>
      <c r="K48" s="16">
        <f t="shared" si="28"/>
        <v>4.7562425683709865E-3</v>
      </c>
      <c r="L48" s="16">
        <f t="shared" si="28"/>
        <v>1.070154577883472E-2</v>
      </c>
      <c r="M48" s="16">
        <f t="shared" si="28"/>
        <v>2.9726516052318672E-2</v>
      </c>
      <c r="N48" s="16">
        <f t="shared" si="28"/>
        <v>1.1890606420927466E-3</v>
      </c>
      <c r="O48" s="16">
        <f t="shared" si="28"/>
        <v>4.7562425683709865E-3</v>
      </c>
      <c r="P48" s="16">
        <f t="shared" si="28"/>
        <v>1.070154577883472E-2</v>
      </c>
      <c r="Q48" s="16">
        <f t="shared" si="28"/>
        <v>1.9024970273483946E-2</v>
      </c>
      <c r="R48" s="16">
        <f t="shared" si="28"/>
        <v>2.9726516052318672E-2</v>
      </c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 spans="6:31" x14ac:dyDescent="0.2">
      <c r="F49" s="16">
        <f>SUM($G49:$T49)</f>
        <v>0.16581632653061223</v>
      </c>
      <c r="G49" s="16">
        <f t="shared" si="29"/>
        <v>1.2755102040816326E-3</v>
      </c>
      <c r="H49" s="16">
        <f t="shared" si="28"/>
        <v>1.2755102040816326E-3</v>
      </c>
      <c r="I49" s="16">
        <f t="shared" si="28"/>
        <v>1.2755102040816326E-3</v>
      </c>
      <c r="J49" s="16">
        <f t="shared" si="28"/>
        <v>1.2755102040816326E-3</v>
      </c>
      <c r="K49" s="16">
        <f t="shared" si="28"/>
        <v>1.2755102040816326E-3</v>
      </c>
      <c r="L49" s="16">
        <f t="shared" si="28"/>
        <v>1.2755102040816326E-3</v>
      </c>
      <c r="M49" s="16">
        <f t="shared" si="28"/>
        <v>1.2755102040816326E-3</v>
      </c>
      <c r="N49" s="16">
        <f t="shared" si="28"/>
        <v>5.1020408163265302E-3</v>
      </c>
      <c r="O49" s="16">
        <f t="shared" si="28"/>
        <v>1.1479591836734693E-2</v>
      </c>
      <c r="P49" s="16">
        <f t="shared" si="28"/>
        <v>5.1020408163265302E-3</v>
      </c>
      <c r="Q49" s="16">
        <f t="shared" si="28"/>
        <v>1.2755102040816326E-3</v>
      </c>
      <c r="R49" s="16">
        <f t="shared" si="28"/>
        <v>5.1020408163265302E-3</v>
      </c>
      <c r="S49" s="16">
        <f t="shared" si="28"/>
        <v>1.2755102040816326E-3</v>
      </c>
      <c r="T49" s="16">
        <f t="shared" si="28"/>
        <v>0.12755102040816327</v>
      </c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 spans="6:31" x14ac:dyDescent="0.2">
      <c r="F50" s="16">
        <f>SUM($G50:$R50)</f>
        <v>0.186264308012487</v>
      </c>
      <c r="G50" s="16">
        <f t="shared" si="29"/>
        <v>1.0405827263267429E-3</v>
      </c>
      <c r="H50" s="16">
        <f t="shared" si="28"/>
        <v>1.0405827263267429E-3</v>
      </c>
      <c r="I50" s="16">
        <f t="shared" si="28"/>
        <v>1.0405827263267429E-3</v>
      </c>
      <c r="J50" s="16">
        <f t="shared" si="28"/>
        <v>1.0405827263267429E-3</v>
      </c>
      <c r="K50" s="16">
        <f t="shared" si="28"/>
        <v>1.0405827263267429E-3</v>
      </c>
      <c r="L50" s="16">
        <f t="shared" si="28"/>
        <v>9.3652445369406864E-3</v>
      </c>
      <c r="M50" s="16">
        <f t="shared" si="28"/>
        <v>1.0405827263267429E-3</v>
      </c>
      <c r="N50" s="16">
        <f t="shared" si="28"/>
        <v>1.0405827263267429E-3</v>
      </c>
      <c r="O50" s="16">
        <f t="shared" si="28"/>
        <v>1.0405827263267429E-3</v>
      </c>
      <c r="P50" s="16">
        <f t="shared" si="28"/>
        <v>2.6014568158168574E-2</v>
      </c>
      <c r="Q50" s="16">
        <f t="shared" si="28"/>
        <v>1.6649323621227886E-2</v>
      </c>
      <c r="R50" s="16">
        <f t="shared" si="28"/>
        <v>0.12591050988553593</v>
      </c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 spans="6:31" x14ac:dyDescent="0.2">
      <c r="F51" s="16">
        <f>SUM($G51:$W51)</f>
        <v>0.15265306122448979</v>
      </c>
      <c r="G51" s="16">
        <f t="shared" si="29"/>
        <v>8.1632653061224482E-4</v>
      </c>
      <c r="H51" s="16">
        <f t="shared" si="28"/>
        <v>8.1632653061224482E-4</v>
      </c>
      <c r="I51" s="16">
        <f t="shared" si="28"/>
        <v>8.1632653061224482E-4</v>
      </c>
      <c r="J51" s="16">
        <f t="shared" si="28"/>
        <v>8.1632653061224482E-4</v>
      </c>
      <c r="K51" s="16">
        <f t="shared" si="28"/>
        <v>8.1632653061224482E-4</v>
      </c>
      <c r="L51" s="16">
        <f t="shared" si="28"/>
        <v>8.1632653061224482E-4</v>
      </c>
      <c r="M51" s="16">
        <f t="shared" si="28"/>
        <v>8.1632653061224482E-4</v>
      </c>
      <c r="N51" s="16">
        <f t="shared" si="28"/>
        <v>8.1632653061224482E-4</v>
      </c>
      <c r="O51" s="16">
        <f t="shared" si="28"/>
        <v>8.1632653061224482E-4</v>
      </c>
      <c r="P51" s="16">
        <f t="shared" si="28"/>
        <v>3.2653061224489793E-3</v>
      </c>
      <c r="Q51" s="16">
        <f t="shared" si="28"/>
        <v>8.1632653061224482E-4</v>
      </c>
      <c r="R51" s="16">
        <f t="shared" si="28"/>
        <v>7.3469387755102046E-3</v>
      </c>
      <c r="S51" s="16">
        <f t="shared" si="28"/>
        <v>8.1632653061224482E-4</v>
      </c>
      <c r="T51" s="16">
        <f t="shared" si="28"/>
        <v>8.1632653061224482E-4</v>
      </c>
      <c r="U51" s="16">
        <f t="shared" si="28"/>
        <v>7.3469387755102046E-3</v>
      </c>
      <c r="V51" s="16">
        <f t="shared" si="28"/>
        <v>7.3469387755102046E-3</v>
      </c>
      <c r="W51" s="16">
        <f t="shared" si="28"/>
        <v>0.11755102040816327</v>
      </c>
      <c r="X51" s="16"/>
      <c r="Y51" s="16"/>
      <c r="Z51" s="16"/>
      <c r="AA51" s="16"/>
      <c r="AB51" s="16"/>
      <c r="AC51" s="16"/>
      <c r="AD51" s="16"/>
      <c r="AE51" s="16"/>
    </row>
    <row r="52" spans="6:31" x14ac:dyDescent="0.2">
      <c r="F52" s="16">
        <f>SUM($G52:$X52)</f>
        <v>0.15296566077003124</v>
      </c>
      <c r="G52" s="16">
        <f t="shared" si="29"/>
        <v>1.0405827263267429E-3</v>
      </c>
      <c r="H52" s="16">
        <f t="shared" si="28"/>
        <v>1.0405827263267429E-3</v>
      </c>
      <c r="I52" s="16">
        <f t="shared" si="28"/>
        <v>1.0405827263267429E-3</v>
      </c>
      <c r="J52" s="16">
        <f t="shared" si="28"/>
        <v>1.0405827263267429E-3</v>
      </c>
      <c r="K52" s="16">
        <f t="shared" si="28"/>
        <v>1.0405827263267429E-3</v>
      </c>
      <c r="L52" s="16">
        <f t="shared" si="28"/>
        <v>1.0405827263267429E-3</v>
      </c>
      <c r="M52" s="16">
        <f t="shared" si="28"/>
        <v>1.0405827263267429E-3</v>
      </c>
      <c r="N52" s="16">
        <f t="shared" si="28"/>
        <v>1.0405827263267429E-3</v>
      </c>
      <c r="O52" s="16">
        <f t="shared" si="28"/>
        <v>1.0405827263267429E-3</v>
      </c>
      <c r="P52" s="16">
        <f t="shared" si="28"/>
        <v>1.0405827263267429E-3</v>
      </c>
      <c r="Q52" s="16">
        <f t="shared" si="28"/>
        <v>1.0405827263267429E-3</v>
      </c>
      <c r="R52" s="16">
        <f t="shared" si="28"/>
        <v>1.0405827263267429E-3</v>
      </c>
      <c r="S52" s="16">
        <f t="shared" si="28"/>
        <v>1.0405827263267429E-3</v>
      </c>
      <c r="T52" s="16">
        <f t="shared" si="28"/>
        <v>4.1623309053069714E-3</v>
      </c>
      <c r="U52" s="16">
        <f t="shared" si="28"/>
        <v>4.1623309053069714E-3</v>
      </c>
      <c r="V52" s="16">
        <f t="shared" si="28"/>
        <v>1.0405827263267429E-3</v>
      </c>
      <c r="W52" s="16">
        <f t="shared" si="28"/>
        <v>4.1623309053069714E-3</v>
      </c>
      <c r="X52" s="16">
        <f t="shared" si="28"/>
        <v>0.12591050988553593</v>
      </c>
      <c r="Y52" s="16"/>
      <c r="Z52" s="16"/>
      <c r="AA52" s="16"/>
      <c r="AB52" s="16"/>
      <c r="AC52" s="16"/>
      <c r="AD52" s="16"/>
      <c r="AE52" s="16"/>
    </row>
    <row r="53" spans="6:31" x14ac:dyDescent="0.2">
      <c r="F53" s="16">
        <f>SUM($G53:$W53)</f>
        <v>0.24048442906574394</v>
      </c>
      <c r="G53" s="16">
        <f t="shared" si="29"/>
        <v>8.6505190311418688E-4</v>
      </c>
      <c r="H53" s="16">
        <f t="shared" si="28"/>
        <v>8.6505190311418688E-4</v>
      </c>
      <c r="I53" s="16">
        <f t="shared" si="28"/>
        <v>8.6505190311418688E-4</v>
      </c>
      <c r="J53" s="16">
        <f t="shared" si="28"/>
        <v>8.6505190311418688E-4</v>
      </c>
      <c r="K53" s="16">
        <f t="shared" si="28"/>
        <v>8.6505190311418688E-4</v>
      </c>
      <c r="L53" s="16">
        <f t="shared" si="28"/>
        <v>8.6505190311418688E-4</v>
      </c>
      <c r="M53" s="16">
        <f t="shared" si="28"/>
        <v>8.6505190311418688E-4</v>
      </c>
      <c r="N53" s="16">
        <f t="shared" si="28"/>
        <v>3.4602076124567475E-3</v>
      </c>
      <c r="O53" s="16">
        <f t="shared" si="28"/>
        <v>8.6505190311418688E-4</v>
      </c>
      <c r="P53" s="16">
        <f t="shared" si="28"/>
        <v>8.6505190311418688E-4</v>
      </c>
      <c r="Q53" s="16">
        <f t="shared" si="28"/>
        <v>8.6505190311418688E-4</v>
      </c>
      <c r="R53" s="16">
        <f t="shared" si="28"/>
        <v>8.6505190311418688E-4</v>
      </c>
      <c r="S53" s="16">
        <f t="shared" si="28"/>
        <v>3.4602076124567475E-3</v>
      </c>
      <c r="T53" s="16">
        <f t="shared" si="28"/>
        <v>8.6505190311418688E-4</v>
      </c>
      <c r="U53" s="16">
        <f t="shared" si="28"/>
        <v>8.6505190311418688E-4</v>
      </c>
      <c r="V53" s="16">
        <f t="shared" si="28"/>
        <v>8.6505190311418688E-4</v>
      </c>
      <c r="W53" s="16">
        <f t="shared" si="28"/>
        <v>0.22145328719723184</v>
      </c>
      <c r="X53" s="16"/>
      <c r="Y53" s="16"/>
      <c r="Z53" s="16"/>
      <c r="AA53" s="16"/>
      <c r="AB53" s="16"/>
      <c r="AC53" s="16"/>
      <c r="AD53" s="16"/>
      <c r="AE53" s="16"/>
    </row>
    <row r="54" spans="6:31" x14ac:dyDescent="0.2">
      <c r="F54" s="16">
        <f>SUM($G54:$Q54)</f>
        <v>0.37777777777777777</v>
      </c>
      <c r="G54" s="16">
        <f t="shared" si="29"/>
        <v>4.4444444444444444E-3</v>
      </c>
      <c r="H54" s="16">
        <f t="shared" si="28"/>
        <v>1.1111111111111111E-3</v>
      </c>
      <c r="I54" s="16">
        <f t="shared" si="28"/>
        <v>1.1111111111111111E-3</v>
      </c>
      <c r="J54" s="16">
        <f t="shared" si="28"/>
        <v>1.1111111111111111E-3</v>
      </c>
      <c r="K54" s="16">
        <f t="shared" si="28"/>
        <v>1.1111111111111111E-3</v>
      </c>
      <c r="L54" s="16">
        <f t="shared" si="28"/>
        <v>1.1111111111111111E-3</v>
      </c>
      <c r="M54" s="16">
        <f t="shared" si="28"/>
        <v>1.1111111111111111E-3</v>
      </c>
      <c r="N54" s="16">
        <f t="shared" si="28"/>
        <v>1.1111111111111111E-3</v>
      </c>
      <c r="O54" s="16">
        <f t="shared" si="28"/>
        <v>4.4444444444444444E-3</v>
      </c>
      <c r="P54" s="16">
        <f t="shared" si="28"/>
        <v>1.1111111111111111E-3</v>
      </c>
      <c r="Q54" s="16">
        <f t="shared" si="28"/>
        <v>0.36</v>
      </c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6:31" x14ac:dyDescent="0.2">
      <c r="F55" s="16">
        <f>SUM($G55:$R55)</f>
        <v>0.19642857142857142</v>
      </c>
      <c r="G55" s="16">
        <f t="shared" si="29"/>
        <v>1.2755102040816326E-3</v>
      </c>
      <c r="H55" s="16">
        <f t="shared" si="28"/>
        <v>1.2755102040816326E-3</v>
      </c>
      <c r="I55" s="16">
        <f t="shared" si="28"/>
        <v>1.2755102040816326E-3</v>
      </c>
      <c r="J55" s="16">
        <f t="shared" si="28"/>
        <v>1.2755102040816326E-3</v>
      </c>
      <c r="K55" s="16">
        <f t="shared" si="28"/>
        <v>1.2755102040816326E-3</v>
      </c>
      <c r="L55" s="16">
        <f t="shared" si="28"/>
        <v>1.1479591836734693E-2</v>
      </c>
      <c r="M55" s="16">
        <f t="shared" si="28"/>
        <v>5.1020408163265302E-3</v>
      </c>
      <c r="N55" s="16">
        <f t="shared" si="28"/>
        <v>1.2755102040816326E-3</v>
      </c>
      <c r="O55" s="16">
        <f t="shared" si="28"/>
        <v>1.1479591836734693E-2</v>
      </c>
      <c r="P55" s="16">
        <f t="shared" si="28"/>
        <v>5.1020408163265302E-3</v>
      </c>
      <c r="Q55" s="16">
        <f t="shared" si="28"/>
        <v>1.2755102040816326E-3</v>
      </c>
      <c r="R55" s="16">
        <f t="shared" si="28"/>
        <v>0.15433673469387754</v>
      </c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spans="6:31" x14ac:dyDescent="0.2">
      <c r="F56" s="16">
        <f>SUM($G56:$Z56)</f>
        <v>0.14265927977839335</v>
      </c>
      <c r="G56" s="16">
        <f t="shared" si="29"/>
        <v>6.9252077562326859E-4</v>
      </c>
      <c r="H56" s="16">
        <f t="shared" si="28"/>
        <v>6.9252077562326859E-4</v>
      </c>
      <c r="I56" s="16">
        <f t="shared" si="28"/>
        <v>6.9252077562326859E-4</v>
      </c>
      <c r="J56" s="16">
        <f t="shared" si="28"/>
        <v>6.9252077562326859E-4</v>
      </c>
      <c r="K56" s="16">
        <f t="shared" si="28"/>
        <v>6.9252077562326859E-4</v>
      </c>
      <c r="L56" s="16">
        <f t="shared" si="28"/>
        <v>6.9252077562326859E-4</v>
      </c>
      <c r="M56" s="16">
        <f t="shared" si="28"/>
        <v>2.7700831024930744E-3</v>
      </c>
      <c r="N56" s="16">
        <f t="shared" si="28"/>
        <v>6.9252077562326859E-4</v>
      </c>
      <c r="O56" s="16">
        <f t="shared" si="28"/>
        <v>2.7700831024930744E-3</v>
      </c>
      <c r="P56" s="16">
        <f t="shared" si="28"/>
        <v>6.9252077562326859E-4</v>
      </c>
      <c r="Q56" s="16">
        <f t="shared" si="28"/>
        <v>2.7700831024930744E-3</v>
      </c>
      <c r="R56" s="16">
        <f t="shared" si="28"/>
        <v>6.9252077562326859E-4</v>
      </c>
      <c r="S56" s="16">
        <f t="shared" si="28"/>
        <v>2.7700831024930744E-3</v>
      </c>
      <c r="T56" s="16">
        <f t="shared" si="28"/>
        <v>6.9252077562326859E-4</v>
      </c>
      <c r="U56" s="16">
        <f t="shared" si="28"/>
        <v>2.7700831024930744E-3</v>
      </c>
      <c r="V56" s="16">
        <f t="shared" si="28"/>
        <v>6.9252077562326859E-4</v>
      </c>
      <c r="W56" s="16">
        <f t="shared" si="28"/>
        <v>6.9252077562326859E-4</v>
      </c>
      <c r="X56" s="16">
        <f t="shared" si="28"/>
        <v>6.9252077562326859E-4</v>
      </c>
      <c r="Y56" s="16">
        <f t="shared" si="28"/>
        <v>2.7700831024930744E-3</v>
      </c>
      <c r="Z56" s="16">
        <f t="shared" si="28"/>
        <v>0.11703601108033242</v>
      </c>
      <c r="AA56" s="16"/>
      <c r="AB56" s="16"/>
      <c r="AC56" s="16"/>
      <c r="AD56" s="16"/>
      <c r="AE56" s="16"/>
    </row>
    <row r="57" spans="6:31" x14ac:dyDescent="0.2">
      <c r="F57" s="16">
        <f>SUM($G57:$U57)</f>
        <v>0.12244897959183673</v>
      </c>
      <c r="G57" s="16">
        <f t="shared" si="29"/>
        <v>1.2755102040816326E-3</v>
      </c>
      <c r="H57" s="16">
        <f t="shared" si="28"/>
        <v>1.2755102040816326E-3</v>
      </c>
      <c r="I57" s="16">
        <f t="shared" si="28"/>
        <v>5.1020408163265302E-3</v>
      </c>
      <c r="J57" s="16">
        <f t="shared" si="28"/>
        <v>1.2755102040816326E-3</v>
      </c>
      <c r="K57" s="16">
        <f t="shared" si="28"/>
        <v>5.1020408163265302E-3</v>
      </c>
      <c r="L57" s="16">
        <f t="shared" si="28"/>
        <v>1.2755102040816326E-3</v>
      </c>
      <c r="M57" s="16">
        <f t="shared" si="28"/>
        <v>5.1020408163265302E-3</v>
      </c>
      <c r="N57" s="16">
        <f t="shared" ref="H57:AE65" si="30">N35^2</f>
        <v>5.1020408163265302E-3</v>
      </c>
      <c r="O57" s="16">
        <f t="shared" si="30"/>
        <v>5.1020408163265302E-3</v>
      </c>
      <c r="P57" s="16">
        <f t="shared" si="30"/>
        <v>1.2755102040816326E-3</v>
      </c>
      <c r="Q57" s="16">
        <f t="shared" si="30"/>
        <v>5.1020408163265302E-3</v>
      </c>
      <c r="R57" s="16">
        <f t="shared" si="30"/>
        <v>1.2755102040816326E-3</v>
      </c>
      <c r="S57" s="16">
        <f t="shared" si="30"/>
        <v>1.2755102040816326E-3</v>
      </c>
      <c r="T57" s="16">
        <f t="shared" si="30"/>
        <v>1.2755102040816326E-3</v>
      </c>
      <c r="U57" s="16">
        <f t="shared" si="30"/>
        <v>8.1632653061224483E-2</v>
      </c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 spans="6:31" x14ac:dyDescent="0.2">
      <c r="F58" s="16">
        <f>SUM($G58:$W58)</f>
        <v>0.1</v>
      </c>
      <c r="G58" s="16">
        <f t="shared" si="29"/>
        <v>1.1111111111111111E-3</v>
      </c>
      <c r="H58" s="16">
        <f t="shared" si="30"/>
        <v>1.1111111111111111E-3</v>
      </c>
      <c r="I58" s="16">
        <f t="shared" si="30"/>
        <v>1.1111111111111111E-3</v>
      </c>
      <c r="J58" s="16">
        <f t="shared" si="30"/>
        <v>1.1111111111111111E-3</v>
      </c>
      <c r="K58" s="16">
        <f t="shared" si="30"/>
        <v>1.1111111111111111E-3</v>
      </c>
      <c r="L58" s="16">
        <f t="shared" si="30"/>
        <v>1.1111111111111111E-3</v>
      </c>
      <c r="M58" s="16">
        <f t="shared" si="30"/>
        <v>1.1111111111111111E-3</v>
      </c>
      <c r="N58" s="16">
        <f t="shared" si="30"/>
        <v>1.1111111111111111E-3</v>
      </c>
      <c r="O58" s="16">
        <f t="shared" si="30"/>
        <v>1.1111111111111111E-3</v>
      </c>
      <c r="P58" s="16">
        <f t="shared" si="30"/>
        <v>1.1111111111111111E-3</v>
      </c>
      <c r="Q58" s="16">
        <f t="shared" si="30"/>
        <v>1.1111111111111111E-3</v>
      </c>
      <c r="R58" s="16">
        <f t="shared" si="30"/>
        <v>4.4444444444444444E-3</v>
      </c>
      <c r="S58" s="16">
        <f t="shared" si="30"/>
        <v>1.0000000000000002E-2</v>
      </c>
      <c r="T58" s="16">
        <f t="shared" si="30"/>
        <v>1.0000000000000002E-2</v>
      </c>
      <c r="U58" s="16">
        <f t="shared" si="30"/>
        <v>4.4444444444444444E-3</v>
      </c>
      <c r="V58" s="16">
        <f t="shared" si="30"/>
        <v>4.4444444444444444E-3</v>
      </c>
      <c r="W58" s="16">
        <f t="shared" si="30"/>
        <v>5.4444444444444448E-2</v>
      </c>
      <c r="X58" s="16"/>
      <c r="Y58" s="16"/>
      <c r="Z58" s="16"/>
      <c r="AA58" s="16"/>
      <c r="AB58" s="16"/>
      <c r="AC58" s="16"/>
      <c r="AD58" s="16"/>
      <c r="AE58" s="16"/>
    </row>
    <row r="59" spans="6:31" x14ac:dyDescent="0.2">
      <c r="F59" s="16">
        <f>SUM($G59:$X59)</f>
        <v>0.19125000000000003</v>
      </c>
      <c r="G59" s="16">
        <f t="shared" si="29"/>
        <v>6.2500000000000012E-4</v>
      </c>
      <c r="H59" s="16">
        <f t="shared" si="30"/>
        <v>6.2500000000000012E-4</v>
      </c>
      <c r="I59" s="16">
        <f t="shared" si="30"/>
        <v>6.2500000000000012E-4</v>
      </c>
      <c r="J59" s="16">
        <f t="shared" si="30"/>
        <v>6.2500000000000012E-4</v>
      </c>
      <c r="K59" s="16">
        <f t="shared" si="30"/>
        <v>6.2500000000000012E-4</v>
      </c>
      <c r="L59" s="16">
        <f t="shared" si="30"/>
        <v>6.2500000000000012E-4</v>
      </c>
      <c r="M59" s="16">
        <f t="shared" si="30"/>
        <v>6.2500000000000012E-4</v>
      </c>
      <c r="N59" s="16">
        <f t="shared" si="30"/>
        <v>2.5000000000000005E-3</v>
      </c>
      <c r="O59" s="16">
        <f t="shared" si="30"/>
        <v>6.2500000000000012E-4</v>
      </c>
      <c r="P59" s="16">
        <f t="shared" si="30"/>
        <v>6.2500000000000012E-4</v>
      </c>
      <c r="Q59" s="16">
        <f t="shared" si="30"/>
        <v>2.5000000000000005E-3</v>
      </c>
      <c r="R59" s="16">
        <f t="shared" si="30"/>
        <v>6.2500000000000012E-4</v>
      </c>
      <c r="S59" s="16">
        <f t="shared" si="30"/>
        <v>6.2500000000000012E-4</v>
      </c>
      <c r="T59" s="16">
        <f t="shared" si="30"/>
        <v>6.2500000000000012E-4</v>
      </c>
      <c r="U59" s="16">
        <f t="shared" si="30"/>
        <v>6.2500000000000012E-4</v>
      </c>
      <c r="V59" s="16">
        <f t="shared" si="30"/>
        <v>2.5000000000000005E-3</v>
      </c>
      <c r="W59" s="16">
        <f t="shared" si="30"/>
        <v>1.5625E-2</v>
      </c>
      <c r="X59" s="16">
        <f t="shared" si="30"/>
        <v>0.16000000000000003</v>
      </c>
      <c r="Y59" s="16"/>
      <c r="Z59" s="16"/>
      <c r="AA59" s="16"/>
      <c r="AB59" s="16"/>
      <c r="AC59" s="16"/>
      <c r="AD59" s="16"/>
      <c r="AE59" s="16"/>
    </row>
    <row r="60" spans="6:31" x14ac:dyDescent="0.2">
      <c r="F60" s="16">
        <f>SUM($G60:$U60)</f>
        <v>0.1088888888888889</v>
      </c>
      <c r="G60" s="16">
        <f t="shared" si="29"/>
        <v>1.1111111111111111E-3</v>
      </c>
      <c r="H60" s="16">
        <f t="shared" si="30"/>
        <v>1.1111111111111111E-3</v>
      </c>
      <c r="I60" s="16">
        <f t="shared" si="30"/>
        <v>1.1111111111111111E-3</v>
      </c>
      <c r="J60" s="16">
        <f t="shared" si="30"/>
        <v>1.1111111111111111E-3</v>
      </c>
      <c r="K60" s="16">
        <f t="shared" si="30"/>
        <v>1.1111111111111111E-3</v>
      </c>
      <c r="L60" s="16">
        <f t="shared" si="30"/>
        <v>1.1111111111111111E-3</v>
      </c>
      <c r="M60" s="16">
        <f t="shared" si="30"/>
        <v>4.4444444444444444E-3</v>
      </c>
      <c r="N60" s="16">
        <f t="shared" si="30"/>
        <v>1.1111111111111111E-3</v>
      </c>
      <c r="O60" s="16">
        <f t="shared" si="30"/>
        <v>1.1111111111111111E-3</v>
      </c>
      <c r="P60" s="16">
        <f t="shared" si="30"/>
        <v>1.0000000000000002E-2</v>
      </c>
      <c r="Q60" s="16">
        <f t="shared" si="30"/>
        <v>1.1111111111111111E-3</v>
      </c>
      <c r="R60" s="16">
        <f t="shared" si="30"/>
        <v>1.0000000000000002E-2</v>
      </c>
      <c r="S60" s="16">
        <f t="shared" si="30"/>
        <v>1.0000000000000002E-2</v>
      </c>
      <c r="T60" s="16">
        <f t="shared" si="30"/>
        <v>1.0000000000000002E-2</v>
      </c>
      <c r="U60" s="16">
        <f t="shared" si="30"/>
        <v>5.4444444444444448E-2</v>
      </c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 spans="6:31" x14ac:dyDescent="0.2">
      <c r="F61" s="16">
        <f>SUM($G61:$Q61)</f>
        <v>0.34888888888888886</v>
      </c>
      <c r="G61" s="16">
        <f t="shared" si="29"/>
        <v>1.1111111111111111E-3</v>
      </c>
      <c r="H61" s="16">
        <f t="shared" si="30"/>
        <v>1.1111111111111111E-3</v>
      </c>
      <c r="I61" s="16">
        <f t="shared" si="30"/>
        <v>1.1111111111111111E-3</v>
      </c>
      <c r="J61" s="16">
        <f t="shared" si="30"/>
        <v>1.1111111111111111E-3</v>
      </c>
      <c r="K61" s="16">
        <f t="shared" si="30"/>
        <v>1.1111111111111111E-3</v>
      </c>
      <c r="L61" s="16">
        <f t="shared" si="30"/>
        <v>1.1111111111111111E-3</v>
      </c>
      <c r="M61" s="16">
        <f t="shared" si="30"/>
        <v>1.1111111111111111E-3</v>
      </c>
      <c r="N61" s="16">
        <f t="shared" si="30"/>
        <v>1.1111111111111111E-3</v>
      </c>
      <c r="O61" s="16">
        <f t="shared" si="30"/>
        <v>1.7777777777777778E-2</v>
      </c>
      <c r="P61" s="16">
        <f t="shared" si="30"/>
        <v>1.1111111111111111E-3</v>
      </c>
      <c r="Q61" s="16">
        <f t="shared" si="30"/>
        <v>0.32111111111111107</v>
      </c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 spans="6:31" x14ac:dyDescent="0.2">
      <c r="F62" s="16">
        <f>SUM($G62:$AE62)</f>
        <v>8.3102493074792241E-2</v>
      </c>
      <c r="G62" s="16">
        <f t="shared" si="29"/>
        <v>6.9252077562326859E-4</v>
      </c>
      <c r="H62" s="16">
        <f t="shared" si="30"/>
        <v>6.9252077562326859E-4</v>
      </c>
      <c r="I62" s="16">
        <f t="shared" si="30"/>
        <v>6.9252077562326859E-4</v>
      </c>
      <c r="J62" s="16">
        <f t="shared" si="30"/>
        <v>6.9252077562326859E-4</v>
      </c>
      <c r="K62" s="16">
        <f t="shared" si="30"/>
        <v>6.9252077562326859E-4</v>
      </c>
      <c r="L62" s="16">
        <f t="shared" si="30"/>
        <v>6.9252077562326859E-4</v>
      </c>
      <c r="M62" s="16">
        <f t="shared" si="30"/>
        <v>6.9252077562326859E-4</v>
      </c>
      <c r="N62" s="16">
        <f t="shared" si="30"/>
        <v>6.9252077562326859E-4</v>
      </c>
      <c r="O62" s="16">
        <f t="shared" si="30"/>
        <v>6.9252077562326859E-4</v>
      </c>
      <c r="P62" s="16">
        <f t="shared" si="30"/>
        <v>6.9252077562326859E-4</v>
      </c>
      <c r="Q62" s="16">
        <f t="shared" si="30"/>
        <v>6.9252077562326859E-4</v>
      </c>
      <c r="R62" s="16">
        <f t="shared" si="30"/>
        <v>6.9252077562326859E-4</v>
      </c>
      <c r="S62" s="16">
        <f t="shared" si="30"/>
        <v>6.9252077562326859E-4</v>
      </c>
      <c r="T62" s="16">
        <f t="shared" si="30"/>
        <v>6.9252077562326859E-4</v>
      </c>
      <c r="U62" s="16">
        <f t="shared" si="30"/>
        <v>6.9252077562326859E-4</v>
      </c>
      <c r="V62" s="16">
        <f t="shared" si="30"/>
        <v>2.7700831024930744E-3</v>
      </c>
      <c r="W62" s="16">
        <f t="shared" si="30"/>
        <v>6.9252077562326859E-4</v>
      </c>
      <c r="X62" s="16">
        <f t="shared" si="30"/>
        <v>2.7700831024930744E-3</v>
      </c>
      <c r="Y62" s="16">
        <f t="shared" si="30"/>
        <v>2.7700831024930744E-3</v>
      </c>
      <c r="Z62" s="16">
        <f t="shared" si="30"/>
        <v>6.9252077562326859E-4</v>
      </c>
      <c r="AA62" s="16">
        <f t="shared" si="30"/>
        <v>6.9252077562326859E-4</v>
      </c>
      <c r="AB62" s="16">
        <f t="shared" si="30"/>
        <v>2.7700831024930744E-3</v>
      </c>
      <c r="AC62" s="16">
        <f t="shared" si="30"/>
        <v>6.9252077562326859E-4</v>
      </c>
      <c r="AD62" s="16">
        <f t="shared" si="30"/>
        <v>2.7700831024930744E-3</v>
      </c>
      <c r="AE62" s="16">
        <f t="shared" si="30"/>
        <v>5.6094182825484756E-2</v>
      </c>
    </row>
    <row r="63" spans="6:31" x14ac:dyDescent="0.2">
      <c r="F63" s="16">
        <f>SUM($G63:$U63)</f>
        <v>0.18339100346020759</v>
      </c>
      <c r="G63" s="16">
        <f t="shared" si="29"/>
        <v>8.6505190311418688E-4</v>
      </c>
      <c r="H63" s="16">
        <f t="shared" si="30"/>
        <v>8.6505190311418688E-4</v>
      </c>
      <c r="I63" s="16">
        <f t="shared" si="30"/>
        <v>8.6505190311418688E-4</v>
      </c>
      <c r="J63" s="16">
        <f t="shared" si="30"/>
        <v>8.6505190311418688E-4</v>
      </c>
      <c r="K63" s="16">
        <f t="shared" si="30"/>
        <v>7.785467128027683E-3</v>
      </c>
      <c r="L63" s="16">
        <f t="shared" si="30"/>
        <v>8.6505190311418688E-4</v>
      </c>
      <c r="M63" s="16">
        <f t="shared" si="30"/>
        <v>8.6505190311418688E-4</v>
      </c>
      <c r="N63" s="16">
        <f t="shared" si="30"/>
        <v>8.6505190311418688E-4</v>
      </c>
      <c r="O63" s="16">
        <f t="shared" si="30"/>
        <v>8.6505190311418688E-4</v>
      </c>
      <c r="P63" s="16">
        <f t="shared" si="30"/>
        <v>8.6505190311418688E-4</v>
      </c>
      <c r="Q63" s="16">
        <f t="shared" si="30"/>
        <v>3.4602076124567475E-3</v>
      </c>
      <c r="R63" s="16">
        <f t="shared" si="30"/>
        <v>8.6505190311418688E-4</v>
      </c>
      <c r="S63" s="16">
        <f t="shared" si="30"/>
        <v>1.384083044982699E-2</v>
      </c>
      <c r="T63" s="16">
        <f t="shared" si="30"/>
        <v>3.4602076124567475E-3</v>
      </c>
      <c r="U63" s="16">
        <f t="shared" si="30"/>
        <v>0.14619377162629757</v>
      </c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 spans="6:31" x14ac:dyDescent="0.2">
      <c r="F64" s="16">
        <f>SUM($G64:$U64)</f>
        <v>0.205078125</v>
      </c>
      <c r="G64" s="16">
        <f t="shared" si="29"/>
        <v>9.765625E-4</v>
      </c>
      <c r="H64" s="16">
        <f t="shared" si="30"/>
        <v>9.765625E-4</v>
      </c>
      <c r="I64" s="16">
        <f t="shared" si="30"/>
        <v>9.765625E-4</v>
      </c>
      <c r="J64" s="16">
        <f t="shared" si="30"/>
        <v>9.765625E-4</v>
      </c>
      <c r="K64" s="16">
        <f t="shared" si="30"/>
        <v>9.765625E-4</v>
      </c>
      <c r="L64" s="16">
        <f t="shared" si="30"/>
        <v>9.765625E-4</v>
      </c>
      <c r="M64" s="16">
        <f t="shared" si="30"/>
        <v>9.765625E-4</v>
      </c>
      <c r="N64" s="16">
        <f t="shared" si="30"/>
        <v>9.765625E-4</v>
      </c>
      <c r="O64" s="16">
        <f t="shared" si="30"/>
        <v>3.90625E-3</v>
      </c>
      <c r="P64" s="16">
        <f t="shared" si="30"/>
        <v>9.765625E-4</v>
      </c>
      <c r="Q64" s="16">
        <f t="shared" si="30"/>
        <v>9.765625E-4</v>
      </c>
      <c r="R64" s="16">
        <f t="shared" si="30"/>
        <v>9.765625E-4</v>
      </c>
      <c r="S64" s="16">
        <f t="shared" si="30"/>
        <v>9.765625E-4</v>
      </c>
      <c r="T64" s="16">
        <f t="shared" si="30"/>
        <v>2.44140625E-2</v>
      </c>
      <c r="U64" s="16">
        <f t="shared" si="30"/>
        <v>0.1650390625</v>
      </c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 spans="6:31" x14ac:dyDescent="0.2">
      <c r="F65" s="16">
        <f>SUM($G65:$AA65)</f>
        <v>0.13609467455621299</v>
      </c>
      <c r="G65" s="16">
        <f t="shared" si="29"/>
        <v>6.5746219592373431E-4</v>
      </c>
      <c r="H65" s="16">
        <f t="shared" si="30"/>
        <v>6.5746219592373431E-4</v>
      </c>
      <c r="I65" s="16">
        <f t="shared" si="30"/>
        <v>6.5746219592373431E-4</v>
      </c>
      <c r="J65" s="16">
        <f t="shared" si="30"/>
        <v>6.5746219592373431E-4</v>
      </c>
      <c r="K65" s="16">
        <f t="shared" si="30"/>
        <v>6.5746219592373431E-4</v>
      </c>
      <c r="L65" s="16">
        <f t="shared" si="30"/>
        <v>2.6298487836949372E-3</v>
      </c>
      <c r="M65" s="16">
        <f t="shared" si="30"/>
        <v>6.5746219592373431E-4</v>
      </c>
      <c r="N65" s="16">
        <f t="shared" si="30"/>
        <v>6.5746219592373431E-4</v>
      </c>
      <c r="O65" s="16">
        <f t="shared" si="30"/>
        <v>6.5746219592373431E-4</v>
      </c>
      <c r="P65" s="16">
        <f t="shared" si="30"/>
        <v>6.5746219592373431E-4</v>
      </c>
      <c r="Q65" s="16">
        <f t="shared" si="30"/>
        <v>2.6298487836949372E-3</v>
      </c>
      <c r="R65" s="16">
        <f t="shared" si="30"/>
        <v>2.6298487836949372E-3</v>
      </c>
      <c r="S65" s="16">
        <f t="shared" si="30"/>
        <v>6.5746219592373431E-4</v>
      </c>
      <c r="T65" s="16">
        <f t="shared" si="30"/>
        <v>6.5746219592373431E-4</v>
      </c>
      <c r="U65" s="16">
        <f t="shared" si="30"/>
        <v>6.5746219592373431E-4</v>
      </c>
      <c r="V65" s="16">
        <f t="shared" si="30"/>
        <v>2.6298487836949372E-3</v>
      </c>
      <c r="W65" s="16">
        <f t="shared" si="30"/>
        <v>2.6298487836949372E-3</v>
      </c>
      <c r="X65" s="16">
        <f t="shared" si="30"/>
        <v>2.6298487836949372E-3</v>
      </c>
      <c r="Y65" s="16">
        <f t="shared" si="30"/>
        <v>6.5746219592373431E-4</v>
      </c>
      <c r="Z65" s="16">
        <f t="shared" si="30"/>
        <v>6.5746219592373431E-4</v>
      </c>
      <c r="AA65" s="16">
        <f t="shared" si="30"/>
        <v>0.1111111111111111</v>
      </c>
      <c r="AB65" s="16"/>
      <c r="AC65" s="16"/>
      <c r="AD65" s="16"/>
      <c r="AE65" s="16"/>
    </row>
  </sheetData>
  <mergeCells count="3">
    <mergeCell ref="G1:AE1"/>
    <mergeCell ref="G23:AE23"/>
    <mergeCell ref="G45:AE45"/>
  </mergeCells>
  <pageMargins left="0.7" right="0.7" top="0.75" bottom="0.75" header="0.3" footer="0.3"/>
  <ignoredErrors>
    <ignoredError sqref="C4:C5 C8 F26:F27 F30 F52 F48:F49 AG8 AG4:AG5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A056-C19E-0741-B15B-68F1991D13A5}">
  <dimension ref="A1:AD65"/>
  <sheetViews>
    <sheetView workbookViewId="0">
      <selection activeCell="A22" sqref="A22"/>
    </sheetView>
  </sheetViews>
  <sheetFormatPr baseColWidth="10" defaultRowHeight="16" x14ac:dyDescent="0.2"/>
  <cols>
    <col min="1" max="1" width="20.1640625" bestFit="1" customWidth="1"/>
    <col min="2" max="2" width="13.6640625" bestFit="1" customWidth="1"/>
    <col min="3" max="3" width="22.1640625" bestFit="1" customWidth="1"/>
    <col min="4" max="4" width="13.6640625" bestFit="1" customWidth="1"/>
    <col min="6" max="6" width="20.1640625" bestFit="1" customWidth="1"/>
    <col min="7" max="26" width="12.1640625" bestFit="1" customWidth="1"/>
    <col min="29" max="29" width="37.5" bestFit="1" customWidth="1"/>
    <col min="30" max="30" width="44" bestFit="1" customWidth="1"/>
  </cols>
  <sheetData>
    <row r="1" spans="1:30" x14ac:dyDescent="0.2">
      <c r="A1" s="16" t="s">
        <v>0</v>
      </c>
      <c r="B1" s="16" t="s">
        <v>114</v>
      </c>
      <c r="C1" s="16" t="s">
        <v>115</v>
      </c>
      <c r="D1" s="16" t="s">
        <v>116</v>
      </c>
      <c r="F1" s="16" t="s">
        <v>0</v>
      </c>
      <c r="G1" s="32" t="s">
        <v>111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C1" s="16" t="s">
        <v>122</v>
      </c>
      <c r="AD1" s="16" t="s">
        <v>123</v>
      </c>
    </row>
    <row r="2" spans="1:30" x14ac:dyDescent="0.2">
      <c r="A2" s="16" t="s">
        <v>1</v>
      </c>
      <c r="B2" s="16">
        <v>32</v>
      </c>
      <c r="C2" s="16">
        <f>SUM($G2:$R2)</f>
        <v>26</v>
      </c>
      <c r="D2" s="16">
        <v>0.12130177514792902</v>
      </c>
      <c r="F2" s="16" t="s">
        <v>1</v>
      </c>
      <c r="G2" s="16">
        <v>6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4</v>
      </c>
      <c r="N2" s="16">
        <v>3</v>
      </c>
      <c r="O2" s="16">
        <v>2</v>
      </c>
      <c r="P2" s="16">
        <v>2</v>
      </c>
      <c r="Q2" s="16">
        <v>2</v>
      </c>
      <c r="R2" s="16">
        <v>2</v>
      </c>
      <c r="S2" s="16"/>
      <c r="T2" s="16"/>
      <c r="U2" s="16"/>
      <c r="V2" s="16"/>
      <c r="W2" s="16"/>
      <c r="X2" s="16"/>
      <c r="Y2" s="16"/>
      <c r="Z2" s="16"/>
      <c r="AC2" s="16">
        <f>G2</f>
        <v>6</v>
      </c>
      <c r="AD2" s="16">
        <f>AC2/C2</f>
        <v>0.23076923076923078</v>
      </c>
    </row>
    <row r="3" spans="1:30" x14ac:dyDescent="0.2">
      <c r="A3" s="16" t="s">
        <v>19</v>
      </c>
      <c r="B3" s="16">
        <v>35</v>
      </c>
      <c r="C3" s="16">
        <f>SUM($G3:$V3)</f>
        <v>28</v>
      </c>
      <c r="D3" s="16">
        <v>0.10714285714285718</v>
      </c>
      <c r="F3" s="16" t="s">
        <v>19</v>
      </c>
      <c r="G3" s="16">
        <v>7</v>
      </c>
      <c r="H3" s="16">
        <v>1</v>
      </c>
      <c r="I3" s="16">
        <v>1</v>
      </c>
      <c r="J3" s="16">
        <v>1</v>
      </c>
      <c r="K3" s="16">
        <v>2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  <c r="R3" s="16">
        <v>2</v>
      </c>
      <c r="S3" s="16">
        <v>2</v>
      </c>
      <c r="T3" s="16">
        <v>2</v>
      </c>
      <c r="U3" s="16">
        <v>1</v>
      </c>
      <c r="V3" s="16">
        <v>3</v>
      </c>
      <c r="W3" s="16"/>
      <c r="X3" s="16"/>
      <c r="Y3" s="16"/>
      <c r="Z3" s="16"/>
      <c r="AC3" s="16">
        <f t="shared" ref="AC3:AC21" si="0">G3</f>
        <v>7</v>
      </c>
      <c r="AD3" s="16">
        <f t="shared" ref="AD3:AD21" si="1">AC3/C3</f>
        <v>0.25</v>
      </c>
    </row>
    <row r="4" spans="1:30" x14ac:dyDescent="0.2">
      <c r="A4" s="16" t="s">
        <v>4</v>
      </c>
      <c r="B4" s="16">
        <v>34</v>
      </c>
      <c r="C4" s="16">
        <f>SUM($G4:$V4)</f>
        <v>31</v>
      </c>
      <c r="D4" s="16">
        <v>0.14255983350676379</v>
      </c>
      <c r="F4" s="16" t="s">
        <v>4</v>
      </c>
      <c r="G4" s="16">
        <v>10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3</v>
      </c>
      <c r="R4" s="16">
        <v>1</v>
      </c>
      <c r="S4" s="16">
        <v>3</v>
      </c>
      <c r="T4" s="16">
        <v>2</v>
      </c>
      <c r="U4" s="16">
        <v>2</v>
      </c>
      <c r="V4" s="16">
        <v>1</v>
      </c>
      <c r="W4" s="16"/>
      <c r="X4" s="16"/>
      <c r="Y4" s="16"/>
      <c r="Z4" s="16"/>
      <c r="AC4" s="16">
        <f t="shared" si="0"/>
        <v>10</v>
      </c>
      <c r="AD4" s="16">
        <f t="shared" si="1"/>
        <v>0.32258064516129031</v>
      </c>
    </row>
    <row r="5" spans="1:30" x14ac:dyDescent="0.2">
      <c r="A5" s="16" t="s">
        <v>3</v>
      </c>
      <c r="B5" s="16">
        <v>35</v>
      </c>
      <c r="C5" s="16">
        <f>SUM($G5:$U5)</f>
        <v>31</v>
      </c>
      <c r="D5" s="16">
        <v>0.18002081165452638</v>
      </c>
      <c r="F5" s="16" t="s">
        <v>3</v>
      </c>
      <c r="G5" s="16">
        <v>12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2</v>
      </c>
      <c r="O5" s="16">
        <v>1</v>
      </c>
      <c r="P5" s="16">
        <v>2</v>
      </c>
      <c r="Q5" s="16">
        <v>2</v>
      </c>
      <c r="R5" s="16">
        <v>1</v>
      </c>
      <c r="S5" s="16">
        <v>2</v>
      </c>
      <c r="T5" s="16">
        <v>2</v>
      </c>
      <c r="U5" s="16">
        <v>1</v>
      </c>
      <c r="V5" s="16"/>
      <c r="W5" s="16"/>
      <c r="X5" s="16"/>
      <c r="Y5" s="16"/>
      <c r="Z5" s="16"/>
      <c r="AC5" s="16">
        <f t="shared" si="0"/>
        <v>12</v>
      </c>
      <c r="AD5" s="16">
        <f t="shared" si="1"/>
        <v>0.38709677419354838</v>
      </c>
    </row>
    <row r="6" spans="1:30" x14ac:dyDescent="0.2">
      <c r="A6" s="16" t="s">
        <v>18</v>
      </c>
      <c r="B6" s="16">
        <v>46</v>
      </c>
      <c r="C6" s="16">
        <f>SUM($G6:$T6)</f>
        <v>32</v>
      </c>
      <c r="D6" s="16">
        <v>0.1171875</v>
      </c>
      <c r="F6" s="16" t="s">
        <v>18</v>
      </c>
      <c r="G6" s="16">
        <v>7</v>
      </c>
      <c r="H6" s="16">
        <v>1</v>
      </c>
      <c r="I6" s="16">
        <v>1</v>
      </c>
      <c r="J6" s="16">
        <v>2</v>
      </c>
      <c r="K6" s="16">
        <v>1</v>
      </c>
      <c r="L6" s="16">
        <v>1</v>
      </c>
      <c r="M6" s="16">
        <v>1</v>
      </c>
      <c r="N6" s="16">
        <v>3</v>
      </c>
      <c r="O6" s="16">
        <v>1</v>
      </c>
      <c r="P6" s="16">
        <v>1</v>
      </c>
      <c r="Q6" s="16">
        <v>1</v>
      </c>
      <c r="R6" s="16">
        <v>4</v>
      </c>
      <c r="S6" s="16">
        <v>3</v>
      </c>
      <c r="T6" s="16">
        <v>5</v>
      </c>
      <c r="U6" s="16"/>
      <c r="V6" s="16"/>
      <c r="W6" s="16"/>
      <c r="X6" s="16"/>
      <c r="Y6" s="16"/>
      <c r="Z6" s="16"/>
      <c r="AC6" s="16">
        <f t="shared" si="0"/>
        <v>7</v>
      </c>
      <c r="AD6" s="16">
        <f t="shared" si="1"/>
        <v>0.21875</v>
      </c>
    </row>
    <row r="7" spans="1:30" x14ac:dyDescent="0.2">
      <c r="A7" s="16" t="s">
        <v>31</v>
      </c>
      <c r="B7" s="16">
        <v>45</v>
      </c>
      <c r="C7" s="16">
        <f>SUM($G7:$U7)</f>
        <v>33</v>
      </c>
      <c r="D7" s="16">
        <v>0.17722681359044984</v>
      </c>
      <c r="F7" s="16" t="s">
        <v>31</v>
      </c>
      <c r="G7" s="16">
        <v>12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3</v>
      </c>
      <c r="S7" s="16">
        <v>1</v>
      </c>
      <c r="T7" s="16">
        <v>5</v>
      </c>
      <c r="U7" s="16">
        <v>2</v>
      </c>
      <c r="V7" s="16"/>
      <c r="W7" s="16"/>
      <c r="X7" s="16"/>
      <c r="Y7" s="16"/>
      <c r="Z7" s="16"/>
      <c r="AC7" s="16">
        <f t="shared" si="0"/>
        <v>12</v>
      </c>
      <c r="AD7" s="16">
        <f t="shared" si="1"/>
        <v>0.36363636363636365</v>
      </c>
    </row>
    <row r="8" spans="1:30" x14ac:dyDescent="0.2">
      <c r="A8" s="16" t="s">
        <v>41</v>
      </c>
      <c r="B8" s="16">
        <v>30</v>
      </c>
      <c r="C8" s="16">
        <f>SUM($G8:$S8)</f>
        <v>29</v>
      </c>
      <c r="D8" s="16">
        <v>0.24375743162901323</v>
      </c>
      <c r="F8" s="16" t="s">
        <v>41</v>
      </c>
      <c r="G8" s="16">
        <v>13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5</v>
      </c>
      <c r="S8" s="16">
        <v>1</v>
      </c>
      <c r="T8" s="16"/>
      <c r="U8" s="16"/>
      <c r="V8" s="16"/>
      <c r="W8" s="16"/>
      <c r="X8" s="16"/>
      <c r="Y8" s="16"/>
      <c r="Z8" s="16"/>
      <c r="AC8" s="16">
        <f t="shared" si="0"/>
        <v>13</v>
      </c>
      <c r="AD8" s="16">
        <f t="shared" si="1"/>
        <v>0.44827586206896552</v>
      </c>
    </row>
    <row r="9" spans="1:30" x14ac:dyDescent="0.2">
      <c r="A9" s="16" t="s">
        <v>5</v>
      </c>
      <c r="B9" s="16">
        <v>48</v>
      </c>
      <c r="C9" s="16">
        <f>SUM($G9:$W9)</f>
        <v>33</v>
      </c>
      <c r="D9" s="16">
        <v>0.14233241505968777</v>
      </c>
      <c r="F9" s="16" t="s">
        <v>5</v>
      </c>
      <c r="G9" s="16">
        <v>11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2</v>
      </c>
      <c r="P9" s="16">
        <v>2</v>
      </c>
      <c r="Q9" s="16">
        <v>1</v>
      </c>
      <c r="R9" s="16">
        <v>1</v>
      </c>
      <c r="S9" s="16">
        <v>2</v>
      </c>
      <c r="T9" s="16">
        <v>1</v>
      </c>
      <c r="U9" s="16">
        <v>2</v>
      </c>
      <c r="V9" s="16">
        <v>2</v>
      </c>
      <c r="W9" s="16">
        <v>2</v>
      </c>
      <c r="X9" s="16"/>
      <c r="Y9" s="16"/>
      <c r="Z9" s="16"/>
      <c r="AC9" s="16">
        <f t="shared" si="0"/>
        <v>11</v>
      </c>
      <c r="AD9" s="16">
        <f t="shared" si="1"/>
        <v>0.33333333333333331</v>
      </c>
    </row>
    <row r="10" spans="1:30" x14ac:dyDescent="0.2">
      <c r="A10" s="16" t="s">
        <v>33</v>
      </c>
      <c r="B10" s="16">
        <v>34</v>
      </c>
      <c r="C10" s="16">
        <f>SUM($G10:$V10)</f>
        <v>31</v>
      </c>
      <c r="D10" s="16">
        <v>0.14047866805411025</v>
      </c>
      <c r="F10" s="16" t="s">
        <v>33</v>
      </c>
      <c r="G10" s="16">
        <v>10</v>
      </c>
      <c r="H10" s="16">
        <v>1</v>
      </c>
      <c r="I10" s="16">
        <v>1</v>
      </c>
      <c r="J10" s="16">
        <v>1</v>
      </c>
      <c r="K10" s="16">
        <v>2</v>
      </c>
      <c r="L10" s="16">
        <v>1</v>
      </c>
      <c r="M10" s="16">
        <v>1</v>
      </c>
      <c r="N10" s="16">
        <v>1</v>
      </c>
      <c r="O10" s="16">
        <v>3</v>
      </c>
      <c r="P10" s="16">
        <v>2</v>
      </c>
      <c r="Q10" s="16">
        <v>2</v>
      </c>
      <c r="R10" s="16">
        <v>1</v>
      </c>
      <c r="S10" s="16">
        <v>1</v>
      </c>
      <c r="T10" s="16">
        <v>1</v>
      </c>
      <c r="U10" s="16">
        <v>2</v>
      </c>
      <c r="V10" s="16">
        <v>1</v>
      </c>
      <c r="W10" s="16"/>
      <c r="X10" s="16"/>
      <c r="Y10" s="16"/>
      <c r="Z10" s="16"/>
      <c r="AC10" s="16">
        <f t="shared" si="0"/>
        <v>10</v>
      </c>
      <c r="AD10" s="16">
        <f t="shared" si="1"/>
        <v>0.32258064516129031</v>
      </c>
    </row>
    <row r="11" spans="1:30" x14ac:dyDescent="0.2">
      <c r="A11" s="16" t="s">
        <v>44</v>
      </c>
      <c r="B11" s="16">
        <v>37</v>
      </c>
      <c r="C11" s="16">
        <f>SUM($G11:$V11)</f>
        <v>28</v>
      </c>
      <c r="D11" s="16">
        <v>9.6938775510204106E-2</v>
      </c>
      <c r="F11" s="16" t="s">
        <v>44</v>
      </c>
      <c r="G11" s="16">
        <v>5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2</v>
      </c>
      <c r="O11" s="16">
        <v>1</v>
      </c>
      <c r="P11" s="16">
        <v>2</v>
      </c>
      <c r="Q11" s="16">
        <v>1</v>
      </c>
      <c r="R11" s="16">
        <v>1</v>
      </c>
      <c r="S11" s="16">
        <v>2</v>
      </c>
      <c r="T11" s="16">
        <v>2</v>
      </c>
      <c r="U11" s="16">
        <v>1</v>
      </c>
      <c r="V11" s="16">
        <v>5</v>
      </c>
      <c r="W11" s="16"/>
      <c r="X11" s="16"/>
      <c r="Y11" s="16"/>
      <c r="Z11" s="16"/>
      <c r="AC11" s="16">
        <f t="shared" si="0"/>
        <v>5</v>
      </c>
      <c r="AD11" s="16">
        <f t="shared" si="1"/>
        <v>0.17857142857142858</v>
      </c>
    </row>
    <row r="12" spans="1:30" x14ac:dyDescent="0.2">
      <c r="A12" s="16" t="s">
        <v>28</v>
      </c>
      <c r="B12" s="16">
        <v>41</v>
      </c>
      <c r="C12" s="16">
        <f>SUM($G12:$Z12)</f>
        <v>37</v>
      </c>
      <c r="D12" s="16">
        <v>0.16727538349159976</v>
      </c>
      <c r="F12" s="16" t="s">
        <v>28</v>
      </c>
      <c r="G12" s="16">
        <v>14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2</v>
      </c>
      <c r="R12" s="16">
        <v>1</v>
      </c>
      <c r="S12" s="16">
        <v>1</v>
      </c>
      <c r="T12" s="16">
        <v>1</v>
      </c>
      <c r="U12" s="16">
        <v>1</v>
      </c>
      <c r="V12" s="16">
        <v>1</v>
      </c>
      <c r="W12" s="16">
        <v>1</v>
      </c>
      <c r="X12" s="16">
        <v>1</v>
      </c>
      <c r="Y12" s="16">
        <v>2</v>
      </c>
      <c r="Z12" s="16">
        <v>3</v>
      </c>
      <c r="AC12" s="16">
        <f t="shared" si="0"/>
        <v>14</v>
      </c>
      <c r="AD12" s="16">
        <f t="shared" si="1"/>
        <v>0.3783783783783784</v>
      </c>
    </row>
    <row r="13" spans="1:30" x14ac:dyDescent="0.2">
      <c r="A13" s="16" t="s">
        <v>38</v>
      </c>
      <c r="B13" s="16">
        <v>35</v>
      </c>
      <c r="C13" s="16">
        <f>SUM($G13:$R13)</f>
        <v>28</v>
      </c>
      <c r="D13" s="16">
        <v>0.38265306122448961</v>
      </c>
      <c r="F13" s="16" t="s">
        <v>38</v>
      </c>
      <c r="G13" s="16">
        <v>17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  <c r="R13" s="16">
        <v>1</v>
      </c>
      <c r="S13" s="16"/>
      <c r="T13" s="16"/>
      <c r="U13" s="16"/>
      <c r="V13" s="16"/>
      <c r="W13" s="16"/>
      <c r="X13" s="16"/>
      <c r="Y13" s="16"/>
      <c r="Z13" s="16"/>
      <c r="AC13" s="16">
        <f t="shared" si="0"/>
        <v>17</v>
      </c>
      <c r="AD13" s="16">
        <f t="shared" si="1"/>
        <v>0.6071428571428571</v>
      </c>
    </row>
    <row r="14" spans="1:30" x14ac:dyDescent="0.2">
      <c r="A14" s="16" t="s">
        <v>11</v>
      </c>
      <c r="B14" s="16">
        <v>41</v>
      </c>
      <c r="C14" s="16">
        <f>SUM($G14:$X14)</f>
        <v>37</v>
      </c>
      <c r="D14" s="16">
        <v>0.17019722425127837</v>
      </c>
      <c r="F14" s="16" t="s">
        <v>11</v>
      </c>
      <c r="G14" s="16">
        <v>14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3</v>
      </c>
      <c r="R14" s="16">
        <v>2</v>
      </c>
      <c r="S14" s="16">
        <v>2</v>
      </c>
      <c r="T14" s="16">
        <v>2</v>
      </c>
      <c r="U14" s="16">
        <v>1</v>
      </c>
      <c r="V14" s="16">
        <v>1</v>
      </c>
      <c r="W14" s="16">
        <v>1</v>
      </c>
      <c r="X14" s="16">
        <v>2</v>
      </c>
      <c r="Y14" s="16"/>
      <c r="Z14" s="16"/>
      <c r="AC14" s="16">
        <f t="shared" si="0"/>
        <v>14</v>
      </c>
      <c r="AD14" s="16">
        <f t="shared" si="1"/>
        <v>0.3783783783783784</v>
      </c>
    </row>
    <row r="15" spans="1:30" x14ac:dyDescent="0.2">
      <c r="A15" s="16" t="s">
        <v>37</v>
      </c>
      <c r="B15" s="16">
        <v>37</v>
      </c>
      <c r="C15" s="16">
        <f>SUM($G15:$Y15)</f>
        <v>36</v>
      </c>
      <c r="D15" s="16">
        <v>9.7222222222222252E-2</v>
      </c>
      <c r="F15" s="16" t="s">
        <v>37</v>
      </c>
      <c r="G15" s="16">
        <v>9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2</v>
      </c>
      <c r="N15" s="16">
        <v>1</v>
      </c>
      <c r="O15" s="16">
        <v>2</v>
      </c>
      <c r="P15" s="16">
        <v>1</v>
      </c>
      <c r="Q15" s="16">
        <v>1</v>
      </c>
      <c r="R15" s="16">
        <v>2</v>
      </c>
      <c r="S15" s="16">
        <v>2</v>
      </c>
      <c r="T15" s="16">
        <v>2</v>
      </c>
      <c r="U15" s="16">
        <v>1</v>
      </c>
      <c r="V15" s="16">
        <v>2</v>
      </c>
      <c r="W15" s="16">
        <v>2</v>
      </c>
      <c r="X15" s="16">
        <v>2</v>
      </c>
      <c r="Y15" s="16">
        <v>2</v>
      </c>
      <c r="Z15" s="16"/>
      <c r="AC15" s="16">
        <f t="shared" si="0"/>
        <v>9</v>
      </c>
      <c r="AD15" s="16">
        <f t="shared" si="1"/>
        <v>0.25</v>
      </c>
    </row>
    <row r="16" spans="1:30" x14ac:dyDescent="0.2">
      <c r="A16" s="16" t="s">
        <v>42</v>
      </c>
      <c r="B16" s="16">
        <v>39</v>
      </c>
      <c r="C16" s="16">
        <f>SUM($G16:$W16)</f>
        <v>29</v>
      </c>
      <c r="D16" s="16">
        <v>0.12960760998810938</v>
      </c>
      <c r="F16" s="16" t="s">
        <v>42</v>
      </c>
      <c r="G16" s="16">
        <v>9</v>
      </c>
      <c r="H16" s="16">
        <v>1</v>
      </c>
      <c r="I16" s="16">
        <v>2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  <c r="R16" s="16">
        <v>2</v>
      </c>
      <c r="S16" s="16">
        <v>1</v>
      </c>
      <c r="T16" s="16">
        <v>2</v>
      </c>
      <c r="U16" s="16">
        <v>1</v>
      </c>
      <c r="V16" s="16">
        <v>2</v>
      </c>
      <c r="W16" s="16">
        <v>1</v>
      </c>
      <c r="X16" s="16"/>
      <c r="Y16" s="16"/>
      <c r="Z16" s="16"/>
      <c r="AC16" s="16">
        <f t="shared" si="0"/>
        <v>9</v>
      </c>
      <c r="AD16" s="16">
        <f t="shared" si="1"/>
        <v>0.31034482758620691</v>
      </c>
    </row>
    <row r="17" spans="1:30" x14ac:dyDescent="0.2">
      <c r="A17" s="16" t="s">
        <v>43</v>
      </c>
      <c r="B17" s="16">
        <v>35</v>
      </c>
      <c r="C17" s="16">
        <f>SUM($G17:$S17)</f>
        <v>28</v>
      </c>
      <c r="D17" s="16">
        <v>0.1760204081632652</v>
      </c>
      <c r="F17" s="16" t="s">
        <v>43</v>
      </c>
      <c r="G17" s="16">
        <v>10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3</v>
      </c>
      <c r="Q17" s="16">
        <v>4</v>
      </c>
      <c r="R17" s="16">
        <v>1</v>
      </c>
      <c r="S17" s="16">
        <v>2</v>
      </c>
      <c r="T17" s="16"/>
      <c r="U17" s="16"/>
      <c r="V17" s="16"/>
      <c r="W17" s="16"/>
      <c r="X17" s="16"/>
      <c r="Y17" s="16"/>
      <c r="Z17" s="16"/>
      <c r="AC17" s="16">
        <f t="shared" si="0"/>
        <v>10</v>
      </c>
      <c r="AD17" s="16">
        <f t="shared" si="1"/>
        <v>0.35714285714285715</v>
      </c>
    </row>
    <row r="18" spans="1:30" x14ac:dyDescent="0.2">
      <c r="A18" s="16" t="s">
        <v>7</v>
      </c>
      <c r="B18" s="16">
        <v>29</v>
      </c>
      <c r="C18" s="16">
        <f>SUM($G18:$U18)</f>
        <v>27</v>
      </c>
      <c r="D18" s="16">
        <v>0.19341563786008242</v>
      </c>
      <c r="F18" s="16" t="s">
        <v>7</v>
      </c>
      <c r="G18" s="16">
        <v>11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  <c r="R18" s="16">
        <v>2</v>
      </c>
      <c r="S18" s="16">
        <v>1</v>
      </c>
      <c r="T18" s="16">
        <v>2</v>
      </c>
      <c r="U18" s="16">
        <v>1</v>
      </c>
      <c r="V18" s="16"/>
      <c r="W18" s="16"/>
      <c r="X18" s="16"/>
      <c r="Y18" s="16"/>
      <c r="Z18" s="16"/>
      <c r="AC18" s="16">
        <f t="shared" si="0"/>
        <v>11</v>
      </c>
      <c r="AD18" s="16">
        <f t="shared" si="1"/>
        <v>0.40740740740740738</v>
      </c>
    </row>
    <row r="19" spans="1:30" x14ac:dyDescent="0.2">
      <c r="A19" s="16" t="s">
        <v>8</v>
      </c>
      <c r="B19" s="16">
        <v>36</v>
      </c>
      <c r="C19" s="16">
        <f>SUM($G19:$R19)</f>
        <v>29</v>
      </c>
      <c r="D19" s="16">
        <v>0.15101070154577884</v>
      </c>
      <c r="F19" s="16" t="s">
        <v>8</v>
      </c>
      <c r="G19" s="16">
        <v>9</v>
      </c>
      <c r="H19" s="16">
        <v>1</v>
      </c>
      <c r="I19" s="16">
        <v>2</v>
      </c>
      <c r="J19" s="16">
        <v>2</v>
      </c>
      <c r="K19" s="16">
        <v>1</v>
      </c>
      <c r="L19" s="16">
        <v>1</v>
      </c>
      <c r="M19" s="16">
        <v>1</v>
      </c>
      <c r="N19" s="16">
        <v>2</v>
      </c>
      <c r="O19" s="16">
        <v>1</v>
      </c>
      <c r="P19" s="16">
        <v>3</v>
      </c>
      <c r="Q19" s="16">
        <v>4</v>
      </c>
      <c r="R19" s="16">
        <v>2</v>
      </c>
      <c r="S19" s="16"/>
      <c r="T19" s="16"/>
      <c r="U19" s="16"/>
      <c r="V19" s="16"/>
      <c r="W19" s="16"/>
      <c r="X19" s="16"/>
      <c r="Y19" s="16"/>
      <c r="Z19" s="16"/>
      <c r="AC19" s="16">
        <f t="shared" si="0"/>
        <v>9</v>
      </c>
      <c r="AD19" s="16">
        <f t="shared" si="1"/>
        <v>0.31034482758620691</v>
      </c>
    </row>
    <row r="20" spans="1:30" x14ac:dyDescent="0.2">
      <c r="A20" s="16" t="s">
        <v>13</v>
      </c>
      <c r="B20" s="16">
        <v>35</v>
      </c>
      <c r="C20" s="16">
        <f>SUM($G20:$X20)</f>
        <v>32</v>
      </c>
      <c r="D20" s="16">
        <v>0.1015625</v>
      </c>
      <c r="F20" s="16" t="s">
        <v>13</v>
      </c>
      <c r="G20" s="16">
        <v>8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2</v>
      </c>
      <c r="P20" s="16">
        <v>2</v>
      </c>
      <c r="Q20" s="16">
        <v>2</v>
      </c>
      <c r="R20" s="16">
        <v>2</v>
      </c>
      <c r="S20" s="16">
        <v>1</v>
      </c>
      <c r="T20" s="16">
        <v>1</v>
      </c>
      <c r="U20" s="16">
        <v>1</v>
      </c>
      <c r="V20" s="16">
        <v>1</v>
      </c>
      <c r="W20" s="16">
        <v>3</v>
      </c>
      <c r="X20" s="16">
        <v>2</v>
      </c>
      <c r="Y20" s="16"/>
      <c r="Z20" s="16"/>
      <c r="AC20" s="16">
        <f t="shared" si="0"/>
        <v>8</v>
      </c>
      <c r="AD20" s="16">
        <f t="shared" si="1"/>
        <v>0.25</v>
      </c>
    </row>
    <row r="21" spans="1:30" x14ac:dyDescent="0.2">
      <c r="A21" s="16" t="s">
        <v>14</v>
      </c>
      <c r="B21" s="16">
        <v>33</v>
      </c>
      <c r="C21" s="16">
        <f>SUM($G21:$Q21)</f>
        <v>32</v>
      </c>
      <c r="D21" s="16">
        <v>0.28125</v>
      </c>
      <c r="F21" s="16" t="s">
        <v>14</v>
      </c>
      <c r="G21" s="16">
        <v>16</v>
      </c>
      <c r="H21" s="16">
        <v>1</v>
      </c>
      <c r="I21" s="16">
        <v>3</v>
      </c>
      <c r="J21" s="16">
        <v>1</v>
      </c>
      <c r="K21" s="16">
        <v>1</v>
      </c>
      <c r="L21" s="16">
        <v>2</v>
      </c>
      <c r="M21" s="16">
        <v>3</v>
      </c>
      <c r="N21" s="16">
        <v>1</v>
      </c>
      <c r="O21" s="16">
        <v>2</v>
      </c>
      <c r="P21" s="16">
        <v>1</v>
      </c>
      <c r="Q21" s="16">
        <v>1</v>
      </c>
      <c r="R21" s="16"/>
      <c r="S21" s="16"/>
      <c r="T21" s="16"/>
      <c r="U21" s="16"/>
      <c r="V21" s="16"/>
      <c r="W21" s="16"/>
      <c r="X21" s="16"/>
      <c r="Y21" s="16"/>
      <c r="Z21" s="16"/>
      <c r="AC21" s="16">
        <f t="shared" si="0"/>
        <v>16</v>
      </c>
      <c r="AD21" s="16">
        <f t="shared" si="1"/>
        <v>0.5</v>
      </c>
    </row>
    <row r="23" spans="1:30" x14ac:dyDescent="0.2">
      <c r="F23" s="16" t="s">
        <v>55</v>
      </c>
      <c r="G23" s="32" t="s">
        <v>112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30" x14ac:dyDescent="0.2">
      <c r="F24" s="16">
        <f>SUM($G24:$R24)</f>
        <v>0.99999999999999978</v>
      </c>
      <c r="G24" s="16">
        <f>G2/$C2</f>
        <v>0.23076923076923078</v>
      </c>
      <c r="H24" s="16">
        <f t="shared" ref="H24:Z38" si="2">H2/$C2</f>
        <v>3.8461538461538464E-2</v>
      </c>
      <c r="I24" s="16">
        <f t="shared" si="2"/>
        <v>3.8461538461538464E-2</v>
      </c>
      <c r="J24" s="16">
        <f t="shared" si="2"/>
        <v>3.8461538461538464E-2</v>
      </c>
      <c r="K24" s="16">
        <f t="shared" si="2"/>
        <v>3.8461538461538464E-2</v>
      </c>
      <c r="L24" s="16">
        <f t="shared" si="2"/>
        <v>3.8461538461538464E-2</v>
      </c>
      <c r="M24" s="16">
        <f t="shared" si="2"/>
        <v>0.15384615384615385</v>
      </c>
      <c r="N24" s="16">
        <f t="shared" si="2"/>
        <v>0.11538461538461539</v>
      </c>
      <c r="O24" s="16">
        <f t="shared" si="2"/>
        <v>7.6923076923076927E-2</v>
      </c>
      <c r="P24" s="16">
        <f t="shared" si="2"/>
        <v>7.6923076923076927E-2</v>
      </c>
      <c r="Q24" s="16">
        <f t="shared" si="2"/>
        <v>7.6923076923076927E-2</v>
      </c>
      <c r="R24" s="16">
        <f t="shared" si="2"/>
        <v>7.6923076923076927E-2</v>
      </c>
      <c r="S24" s="16"/>
      <c r="T24" s="16"/>
      <c r="U24" s="16"/>
      <c r="V24" s="16"/>
      <c r="W24" s="16"/>
      <c r="X24" s="16"/>
      <c r="Y24" s="16"/>
      <c r="Z24" s="16"/>
    </row>
    <row r="25" spans="1:30" x14ac:dyDescent="0.2">
      <c r="F25" s="16">
        <f>SUM($G25:$V25)</f>
        <v>0.99999999999999967</v>
      </c>
      <c r="G25" s="16">
        <f t="shared" ref="G25:V43" si="3">G3/$C3</f>
        <v>0.25</v>
      </c>
      <c r="H25" s="16">
        <f t="shared" si="3"/>
        <v>3.5714285714285712E-2</v>
      </c>
      <c r="I25" s="16">
        <f t="shared" si="3"/>
        <v>3.5714285714285712E-2</v>
      </c>
      <c r="J25" s="16">
        <f t="shared" si="3"/>
        <v>3.5714285714285712E-2</v>
      </c>
      <c r="K25" s="16">
        <f t="shared" si="3"/>
        <v>7.1428571428571425E-2</v>
      </c>
      <c r="L25" s="16">
        <f t="shared" si="3"/>
        <v>3.5714285714285712E-2</v>
      </c>
      <c r="M25" s="16">
        <f t="shared" si="3"/>
        <v>3.5714285714285712E-2</v>
      </c>
      <c r="N25" s="16">
        <f t="shared" si="3"/>
        <v>3.5714285714285712E-2</v>
      </c>
      <c r="O25" s="16">
        <f t="shared" si="3"/>
        <v>3.5714285714285712E-2</v>
      </c>
      <c r="P25" s="16">
        <f t="shared" si="3"/>
        <v>3.5714285714285712E-2</v>
      </c>
      <c r="Q25" s="16">
        <f t="shared" si="3"/>
        <v>3.5714285714285712E-2</v>
      </c>
      <c r="R25" s="16">
        <f t="shared" si="3"/>
        <v>7.1428571428571425E-2</v>
      </c>
      <c r="S25" s="16">
        <f t="shared" si="3"/>
        <v>7.1428571428571425E-2</v>
      </c>
      <c r="T25" s="16">
        <f t="shared" si="3"/>
        <v>7.1428571428571425E-2</v>
      </c>
      <c r="U25" s="16">
        <f t="shared" si="3"/>
        <v>3.5714285714285712E-2</v>
      </c>
      <c r="V25" s="16">
        <f t="shared" si="3"/>
        <v>0.10714285714285714</v>
      </c>
      <c r="W25" s="16"/>
      <c r="X25" s="16"/>
      <c r="Y25" s="16"/>
      <c r="Z25" s="16"/>
    </row>
    <row r="26" spans="1:30" x14ac:dyDescent="0.2">
      <c r="F26" s="16">
        <f>SUM($G26:$V26)</f>
        <v>0.99999999999999978</v>
      </c>
      <c r="G26" s="16">
        <f t="shared" si="3"/>
        <v>0.32258064516129031</v>
      </c>
      <c r="H26" s="16">
        <f t="shared" si="2"/>
        <v>3.2258064516129031E-2</v>
      </c>
      <c r="I26" s="16">
        <f t="shared" si="2"/>
        <v>3.2258064516129031E-2</v>
      </c>
      <c r="J26" s="16">
        <f t="shared" si="2"/>
        <v>3.2258064516129031E-2</v>
      </c>
      <c r="K26" s="16">
        <f t="shared" si="2"/>
        <v>3.2258064516129031E-2</v>
      </c>
      <c r="L26" s="16">
        <f t="shared" si="2"/>
        <v>3.2258064516129031E-2</v>
      </c>
      <c r="M26" s="16">
        <f t="shared" si="2"/>
        <v>3.2258064516129031E-2</v>
      </c>
      <c r="N26" s="16">
        <f t="shared" si="2"/>
        <v>3.2258064516129031E-2</v>
      </c>
      <c r="O26" s="16">
        <f t="shared" si="2"/>
        <v>3.2258064516129031E-2</v>
      </c>
      <c r="P26" s="16">
        <f t="shared" si="2"/>
        <v>3.2258064516129031E-2</v>
      </c>
      <c r="Q26" s="16">
        <f t="shared" si="2"/>
        <v>9.6774193548387094E-2</v>
      </c>
      <c r="R26" s="16">
        <f t="shared" si="2"/>
        <v>3.2258064516129031E-2</v>
      </c>
      <c r="S26" s="16">
        <f t="shared" si="2"/>
        <v>9.6774193548387094E-2</v>
      </c>
      <c r="T26" s="16">
        <f t="shared" si="2"/>
        <v>6.4516129032258063E-2</v>
      </c>
      <c r="U26" s="16">
        <f t="shared" si="2"/>
        <v>6.4516129032258063E-2</v>
      </c>
      <c r="V26" s="16">
        <f t="shared" si="2"/>
        <v>3.2258064516129031E-2</v>
      </c>
      <c r="W26" s="16"/>
      <c r="X26" s="16"/>
      <c r="Y26" s="16"/>
      <c r="Z26" s="16"/>
    </row>
    <row r="27" spans="1:30" x14ac:dyDescent="0.2">
      <c r="F27" s="16">
        <f>SUM($G27:$U27)</f>
        <v>0.99999999999999956</v>
      </c>
      <c r="G27" s="16">
        <f t="shared" si="3"/>
        <v>0.38709677419354838</v>
      </c>
      <c r="H27" s="16">
        <f t="shared" si="2"/>
        <v>3.2258064516129031E-2</v>
      </c>
      <c r="I27" s="16">
        <f t="shared" si="2"/>
        <v>3.2258064516129031E-2</v>
      </c>
      <c r="J27" s="16">
        <f t="shared" si="2"/>
        <v>3.2258064516129031E-2</v>
      </c>
      <c r="K27" s="16">
        <f t="shared" si="2"/>
        <v>3.2258064516129031E-2</v>
      </c>
      <c r="L27" s="16">
        <f t="shared" si="2"/>
        <v>3.2258064516129031E-2</v>
      </c>
      <c r="M27" s="16">
        <f t="shared" si="2"/>
        <v>3.2258064516129031E-2</v>
      </c>
      <c r="N27" s="16">
        <f t="shared" si="2"/>
        <v>6.4516129032258063E-2</v>
      </c>
      <c r="O27" s="16">
        <f t="shared" si="2"/>
        <v>3.2258064516129031E-2</v>
      </c>
      <c r="P27" s="16">
        <f t="shared" si="2"/>
        <v>6.4516129032258063E-2</v>
      </c>
      <c r="Q27" s="16">
        <f t="shared" si="2"/>
        <v>6.4516129032258063E-2</v>
      </c>
      <c r="R27" s="16">
        <f t="shared" si="2"/>
        <v>3.2258064516129031E-2</v>
      </c>
      <c r="S27" s="16">
        <f t="shared" si="2"/>
        <v>6.4516129032258063E-2</v>
      </c>
      <c r="T27" s="16">
        <f t="shared" si="2"/>
        <v>6.4516129032258063E-2</v>
      </c>
      <c r="U27" s="16">
        <f t="shared" si="2"/>
        <v>3.2258064516129031E-2</v>
      </c>
      <c r="V27" s="16"/>
      <c r="W27" s="16"/>
      <c r="X27" s="16"/>
      <c r="Y27" s="16"/>
      <c r="Z27" s="16"/>
    </row>
    <row r="28" spans="1:30" x14ac:dyDescent="0.2">
      <c r="F28" s="16">
        <f>SUM($G28:$T28)</f>
        <v>1</v>
      </c>
      <c r="G28" s="16">
        <f t="shared" si="3"/>
        <v>0.21875</v>
      </c>
      <c r="H28" s="16">
        <f t="shared" si="2"/>
        <v>3.125E-2</v>
      </c>
      <c r="I28" s="16">
        <f t="shared" si="2"/>
        <v>3.125E-2</v>
      </c>
      <c r="J28" s="16">
        <f t="shared" si="2"/>
        <v>6.25E-2</v>
      </c>
      <c r="K28" s="16">
        <f t="shared" si="2"/>
        <v>3.125E-2</v>
      </c>
      <c r="L28" s="16">
        <f t="shared" si="2"/>
        <v>3.125E-2</v>
      </c>
      <c r="M28" s="16">
        <f t="shared" si="2"/>
        <v>3.125E-2</v>
      </c>
      <c r="N28" s="16">
        <f t="shared" si="2"/>
        <v>9.375E-2</v>
      </c>
      <c r="O28" s="16">
        <f t="shared" si="2"/>
        <v>3.125E-2</v>
      </c>
      <c r="P28" s="16">
        <f t="shared" si="2"/>
        <v>3.125E-2</v>
      </c>
      <c r="Q28" s="16">
        <f t="shared" si="2"/>
        <v>3.125E-2</v>
      </c>
      <c r="R28" s="16">
        <f t="shared" si="2"/>
        <v>0.125</v>
      </c>
      <c r="S28" s="16">
        <f t="shared" si="2"/>
        <v>9.375E-2</v>
      </c>
      <c r="T28" s="16">
        <f t="shared" si="2"/>
        <v>0.15625</v>
      </c>
      <c r="U28" s="16"/>
      <c r="V28" s="16"/>
      <c r="W28" s="16"/>
      <c r="X28" s="16"/>
      <c r="Y28" s="16"/>
      <c r="Z28" s="16"/>
    </row>
    <row r="29" spans="1:30" x14ac:dyDescent="0.2">
      <c r="F29" s="16">
        <f>SUM($G29:$U29)</f>
        <v>0.99999999999999978</v>
      </c>
      <c r="G29" s="16">
        <f t="shared" si="3"/>
        <v>0.36363636363636365</v>
      </c>
      <c r="H29" s="16">
        <f t="shared" si="2"/>
        <v>3.0303030303030304E-2</v>
      </c>
      <c r="I29" s="16">
        <f t="shared" si="2"/>
        <v>3.0303030303030304E-2</v>
      </c>
      <c r="J29" s="16">
        <f t="shared" si="2"/>
        <v>3.0303030303030304E-2</v>
      </c>
      <c r="K29" s="16">
        <f t="shared" si="2"/>
        <v>3.0303030303030304E-2</v>
      </c>
      <c r="L29" s="16">
        <f t="shared" si="2"/>
        <v>3.0303030303030304E-2</v>
      </c>
      <c r="M29" s="16">
        <f t="shared" si="2"/>
        <v>3.0303030303030304E-2</v>
      </c>
      <c r="N29" s="16">
        <f t="shared" si="2"/>
        <v>3.0303030303030304E-2</v>
      </c>
      <c r="O29" s="16">
        <f t="shared" si="2"/>
        <v>3.0303030303030304E-2</v>
      </c>
      <c r="P29" s="16">
        <f t="shared" si="2"/>
        <v>3.0303030303030304E-2</v>
      </c>
      <c r="Q29" s="16">
        <f t="shared" si="2"/>
        <v>3.0303030303030304E-2</v>
      </c>
      <c r="R29" s="16">
        <f t="shared" si="2"/>
        <v>9.0909090909090912E-2</v>
      </c>
      <c r="S29" s="16">
        <f t="shared" si="2"/>
        <v>3.0303030303030304E-2</v>
      </c>
      <c r="T29" s="16">
        <f t="shared" si="2"/>
        <v>0.15151515151515152</v>
      </c>
      <c r="U29" s="16">
        <f t="shared" si="2"/>
        <v>6.0606060606060608E-2</v>
      </c>
      <c r="V29" s="16"/>
      <c r="W29" s="16"/>
      <c r="X29" s="16"/>
      <c r="Y29" s="16"/>
      <c r="Z29" s="16"/>
    </row>
    <row r="30" spans="1:30" x14ac:dyDescent="0.2">
      <c r="F30" s="16">
        <f>SUM($G30:$S30)</f>
        <v>0.99999999999999967</v>
      </c>
      <c r="G30" s="16">
        <f t="shared" si="3"/>
        <v>0.44827586206896552</v>
      </c>
      <c r="H30" s="16">
        <f t="shared" si="2"/>
        <v>3.4482758620689655E-2</v>
      </c>
      <c r="I30" s="16">
        <f t="shared" si="2"/>
        <v>3.4482758620689655E-2</v>
      </c>
      <c r="J30" s="16">
        <f t="shared" si="2"/>
        <v>3.4482758620689655E-2</v>
      </c>
      <c r="K30" s="16">
        <f t="shared" si="2"/>
        <v>3.4482758620689655E-2</v>
      </c>
      <c r="L30" s="16">
        <f t="shared" si="2"/>
        <v>3.4482758620689655E-2</v>
      </c>
      <c r="M30" s="16">
        <f t="shared" si="2"/>
        <v>3.4482758620689655E-2</v>
      </c>
      <c r="N30" s="16">
        <f t="shared" si="2"/>
        <v>3.4482758620689655E-2</v>
      </c>
      <c r="O30" s="16">
        <f t="shared" si="2"/>
        <v>3.4482758620689655E-2</v>
      </c>
      <c r="P30" s="16">
        <f t="shared" si="2"/>
        <v>3.4482758620689655E-2</v>
      </c>
      <c r="Q30" s="16">
        <f t="shared" si="2"/>
        <v>3.4482758620689655E-2</v>
      </c>
      <c r="R30" s="16">
        <f t="shared" si="2"/>
        <v>0.17241379310344829</v>
      </c>
      <c r="S30" s="16">
        <f t="shared" si="2"/>
        <v>3.4482758620689655E-2</v>
      </c>
      <c r="T30" s="16"/>
      <c r="U30" s="16"/>
      <c r="V30" s="16"/>
      <c r="W30" s="16"/>
      <c r="X30" s="16"/>
      <c r="Y30" s="16"/>
      <c r="Z30" s="16"/>
    </row>
    <row r="31" spans="1:30" x14ac:dyDescent="0.2">
      <c r="F31" s="16">
        <f>SUM($G31:$W31)</f>
        <v>0.99999999999999956</v>
      </c>
      <c r="G31" s="16">
        <f t="shared" si="3"/>
        <v>0.33333333333333331</v>
      </c>
      <c r="H31" s="16">
        <f t="shared" si="2"/>
        <v>3.0303030303030304E-2</v>
      </c>
      <c r="I31" s="16">
        <f t="shared" si="2"/>
        <v>3.0303030303030304E-2</v>
      </c>
      <c r="J31" s="16">
        <f t="shared" si="2"/>
        <v>3.0303030303030304E-2</v>
      </c>
      <c r="K31" s="16">
        <f t="shared" si="2"/>
        <v>3.0303030303030304E-2</v>
      </c>
      <c r="L31" s="16">
        <f t="shared" si="2"/>
        <v>3.0303030303030304E-2</v>
      </c>
      <c r="M31" s="16">
        <f t="shared" si="2"/>
        <v>3.0303030303030304E-2</v>
      </c>
      <c r="N31" s="16">
        <f t="shared" si="2"/>
        <v>3.0303030303030304E-2</v>
      </c>
      <c r="O31" s="16">
        <f t="shared" si="2"/>
        <v>6.0606060606060608E-2</v>
      </c>
      <c r="P31" s="16">
        <f t="shared" si="2"/>
        <v>6.0606060606060608E-2</v>
      </c>
      <c r="Q31" s="16">
        <f t="shared" si="2"/>
        <v>3.0303030303030304E-2</v>
      </c>
      <c r="R31" s="16">
        <f t="shared" si="2"/>
        <v>3.0303030303030304E-2</v>
      </c>
      <c r="S31" s="16">
        <f t="shared" si="2"/>
        <v>6.0606060606060608E-2</v>
      </c>
      <c r="T31" s="16">
        <f t="shared" si="2"/>
        <v>3.0303030303030304E-2</v>
      </c>
      <c r="U31" s="16">
        <f t="shared" si="2"/>
        <v>6.0606060606060608E-2</v>
      </c>
      <c r="V31" s="16">
        <f t="shared" si="2"/>
        <v>6.0606060606060608E-2</v>
      </c>
      <c r="W31" s="16">
        <f t="shared" si="2"/>
        <v>6.0606060606060608E-2</v>
      </c>
      <c r="X31" s="16"/>
      <c r="Y31" s="16"/>
      <c r="Z31" s="16"/>
    </row>
    <row r="32" spans="1:30" x14ac:dyDescent="0.2">
      <c r="F32" s="16">
        <f>SUM($G32:$V32)</f>
        <v>0.99999999999999978</v>
      </c>
      <c r="G32" s="16">
        <f t="shared" si="3"/>
        <v>0.32258064516129031</v>
      </c>
      <c r="H32" s="16">
        <f t="shared" si="2"/>
        <v>3.2258064516129031E-2</v>
      </c>
      <c r="I32" s="16">
        <f t="shared" si="2"/>
        <v>3.2258064516129031E-2</v>
      </c>
      <c r="J32" s="16">
        <f t="shared" si="2"/>
        <v>3.2258064516129031E-2</v>
      </c>
      <c r="K32" s="16">
        <f t="shared" si="2"/>
        <v>6.4516129032258063E-2</v>
      </c>
      <c r="L32" s="16">
        <f t="shared" si="2"/>
        <v>3.2258064516129031E-2</v>
      </c>
      <c r="M32" s="16">
        <f t="shared" si="2"/>
        <v>3.2258064516129031E-2</v>
      </c>
      <c r="N32" s="16">
        <f t="shared" si="2"/>
        <v>3.2258064516129031E-2</v>
      </c>
      <c r="O32" s="16">
        <f t="shared" si="2"/>
        <v>9.6774193548387094E-2</v>
      </c>
      <c r="P32" s="16">
        <f t="shared" si="2"/>
        <v>6.4516129032258063E-2</v>
      </c>
      <c r="Q32" s="16">
        <f t="shared" si="2"/>
        <v>6.4516129032258063E-2</v>
      </c>
      <c r="R32" s="16">
        <f t="shared" si="2"/>
        <v>3.2258064516129031E-2</v>
      </c>
      <c r="S32" s="16">
        <f t="shared" si="2"/>
        <v>3.2258064516129031E-2</v>
      </c>
      <c r="T32" s="16">
        <f t="shared" si="2"/>
        <v>3.2258064516129031E-2</v>
      </c>
      <c r="U32" s="16">
        <f t="shared" si="2"/>
        <v>6.4516129032258063E-2</v>
      </c>
      <c r="V32" s="16">
        <f t="shared" si="2"/>
        <v>3.2258064516129031E-2</v>
      </c>
      <c r="W32" s="16"/>
      <c r="X32" s="16"/>
      <c r="Y32" s="16"/>
      <c r="Z32" s="16"/>
    </row>
    <row r="33" spans="6:26" x14ac:dyDescent="0.2">
      <c r="F33" s="16">
        <f>SUM($G33:$V33)</f>
        <v>0.99999999999999978</v>
      </c>
      <c r="G33" s="16">
        <f t="shared" si="3"/>
        <v>0.17857142857142858</v>
      </c>
      <c r="H33" s="16">
        <f t="shared" si="2"/>
        <v>3.5714285714285712E-2</v>
      </c>
      <c r="I33" s="16">
        <f t="shared" si="2"/>
        <v>3.5714285714285712E-2</v>
      </c>
      <c r="J33" s="16">
        <f t="shared" si="2"/>
        <v>3.5714285714285712E-2</v>
      </c>
      <c r="K33" s="16">
        <f t="shared" si="2"/>
        <v>3.5714285714285712E-2</v>
      </c>
      <c r="L33" s="16">
        <f t="shared" si="2"/>
        <v>3.5714285714285712E-2</v>
      </c>
      <c r="M33" s="16">
        <f t="shared" si="2"/>
        <v>3.5714285714285712E-2</v>
      </c>
      <c r="N33" s="16">
        <f t="shared" si="2"/>
        <v>7.1428571428571425E-2</v>
      </c>
      <c r="O33" s="16">
        <f t="shared" si="2"/>
        <v>3.5714285714285712E-2</v>
      </c>
      <c r="P33" s="16">
        <f t="shared" si="2"/>
        <v>7.1428571428571425E-2</v>
      </c>
      <c r="Q33" s="16">
        <f t="shared" si="2"/>
        <v>3.5714285714285712E-2</v>
      </c>
      <c r="R33" s="16">
        <f t="shared" si="2"/>
        <v>3.5714285714285712E-2</v>
      </c>
      <c r="S33" s="16">
        <f t="shared" si="2"/>
        <v>7.1428571428571425E-2</v>
      </c>
      <c r="T33" s="16">
        <f t="shared" si="2"/>
        <v>7.1428571428571425E-2</v>
      </c>
      <c r="U33" s="16">
        <f t="shared" si="2"/>
        <v>3.5714285714285712E-2</v>
      </c>
      <c r="V33" s="16">
        <f t="shared" si="2"/>
        <v>0.17857142857142858</v>
      </c>
      <c r="W33" s="16"/>
      <c r="X33" s="16"/>
      <c r="Y33" s="16"/>
      <c r="Z33" s="16"/>
    </row>
    <row r="34" spans="6:26" x14ac:dyDescent="0.2">
      <c r="F34" s="16">
        <f>SUM($G34:$Z34)</f>
        <v>0.99999999999999956</v>
      </c>
      <c r="G34" s="16">
        <f t="shared" si="3"/>
        <v>0.3783783783783784</v>
      </c>
      <c r="H34" s="16">
        <f t="shared" si="2"/>
        <v>2.7027027027027029E-2</v>
      </c>
      <c r="I34" s="16">
        <f t="shared" si="2"/>
        <v>2.7027027027027029E-2</v>
      </c>
      <c r="J34" s="16">
        <f t="shared" si="2"/>
        <v>2.7027027027027029E-2</v>
      </c>
      <c r="K34" s="16">
        <f t="shared" si="2"/>
        <v>2.7027027027027029E-2</v>
      </c>
      <c r="L34" s="16">
        <f t="shared" si="2"/>
        <v>2.7027027027027029E-2</v>
      </c>
      <c r="M34" s="16">
        <f t="shared" si="2"/>
        <v>2.7027027027027029E-2</v>
      </c>
      <c r="N34" s="16">
        <f t="shared" si="2"/>
        <v>2.7027027027027029E-2</v>
      </c>
      <c r="O34" s="16">
        <f t="shared" si="2"/>
        <v>2.7027027027027029E-2</v>
      </c>
      <c r="P34" s="16">
        <f t="shared" si="2"/>
        <v>2.7027027027027029E-2</v>
      </c>
      <c r="Q34" s="16">
        <f t="shared" si="2"/>
        <v>5.4054054054054057E-2</v>
      </c>
      <c r="R34" s="16">
        <f t="shared" si="2"/>
        <v>2.7027027027027029E-2</v>
      </c>
      <c r="S34" s="16">
        <f t="shared" si="2"/>
        <v>2.7027027027027029E-2</v>
      </c>
      <c r="T34" s="16">
        <f t="shared" si="2"/>
        <v>2.7027027027027029E-2</v>
      </c>
      <c r="U34" s="16">
        <f t="shared" si="2"/>
        <v>2.7027027027027029E-2</v>
      </c>
      <c r="V34" s="16">
        <f t="shared" si="2"/>
        <v>2.7027027027027029E-2</v>
      </c>
      <c r="W34" s="16">
        <f t="shared" si="2"/>
        <v>2.7027027027027029E-2</v>
      </c>
      <c r="X34" s="16">
        <f t="shared" si="2"/>
        <v>2.7027027027027029E-2</v>
      </c>
      <c r="Y34" s="16">
        <f t="shared" si="2"/>
        <v>5.4054054054054057E-2</v>
      </c>
      <c r="Z34" s="16">
        <f t="shared" si="2"/>
        <v>8.1081081081081086E-2</v>
      </c>
    </row>
    <row r="35" spans="6:26" x14ac:dyDescent="0.2">
      <c r="F35" s="16">
        <f>SUM($G35:$R35)</f>
        <v>0.99999999999999978</v>
      </c>
      <c r="G35" s="16">
        <f t="shared" si="3"/>
        <v>0.6071428571428571</v>
      </c>
      <c r="H35" s="16">
        <f t="shared" si="2"/>
        <v>3.5714285714285712E-2</v>
      </c>
      <c r="I35" s="16">
        <f t="shared" si="2"/>
        <v>3.5714285714285712E-2</v>
      </c>
      <c r="J35" s="16">
        <f t="shared" si="2"/>
        <v>3.5714285714285712E-2</v>
      </c>
      <c r="K35" s="16">
        <f t="shared" si="2"/>
        <v>3.5714285714285712E-2</v>
      </c>
      <c r="L35" s="16">
        <f t="shared" si="2"/>
        <v>3.5714285714285712E-2</v>
      </c>
      <c r="M35" s="16">
        <f t="shared" si="2"/>
        <v>3.5714285714285712E-2</v>
      </c>
      <c r="N35" s="16">
        <f t="shared" si="2"/>
        <v>3.5714285714285712E-2</v>
      </c>
      <c r="O35" s="16">
        <f t="shared" si="2"/>
        <v>3.5714285714285712E-2</v>
      </c>
      <c r="P35" s="16">
        <f t="shared" si="2"/>
        <v>3.5714285714285712E-2</v>
      </c>
      <c r="Q35" s="16">
        <f t="shared" si="2"/>
        <v>3.5714285714285712E-2</v>
      </c>
      <c r="R35" s="16">
        <f t="shared" si="2"/>
        <v>3.5714285714285712E-2</v>
      </c>
      <c r="S35" s="16"/>
      <c r="T35" s="16"/>
      <c r="U35" s="16"/>
      <c r="V35" s="16"/>
      <c r="W35" s="16"/>
      <c r="X35" s="16"/>
      <c r="Y35" s="16"/>
      <c r="Z35" s="16"/>
    </row>
    <row r="36" spans="6:26" x14ac:dyDescent="0.2">
      <c r="F36" s="16">
        <f>SUM($G36:$X36)</f>
        <v>0.99999999999999989</v>
      </c>
      <c r="G36" s="16">
        <f t="shared" si="3"/>
        <v>0.3783783783783784</v>
      </c>
      <c r="H36" s="16">
        <f t="shared" si="2"/>
        <v>2.7027027027027029E-2</v>
      </c>
      <c r="I36" s="16">
        <f t="shared" si="2"/>
        <v>2.7027027027027029E-2</v>
      </c>
      <c r="J36" s="16">
        <f t="shared" si="2"/>
        <v>2.7027027027027029E-2</v>
      </c>
      <c r="K36" s="16">
        <f t="shared" si="2"/>
        <v>2.7027027027027029E-2</v>
      </c>
      <c r="L36" s="16">
        <f t="shared" si="2"/>
        <v>2.7027027027027029E-2</v>
      </c>
      <c r="M36" s="16">
        <f t="shared" si="2"/>
        <v>2.7027027027027029E-2</v>
      </c>
      <c r="N36" s="16">
        <f t="shared" si="2"/>
        <v>2.7027027027027029E-2</v>
      </c>
      <c r="O36" s="16">
        <f t="shared" si="2"/>
        <v>2.7027027027027029E-2</v>
      </c>
      <c r="P36" s="16">
        <f t="shared" si="2"/>
        <v>2.7027027027027029E-2</v>
      </c>
      <c r="Q36" s="16">
        <f t="shared" si="2"/>
        <v>8.1081081081081086E-2</v>
      </c>
      <c r="R36" s="16">
        <f t="shared" si="2"/>
        <v>5.4054054054054057E-2</v>
      </c>
      <c r="S36" s="16">
        <f t="shared" si="2"/>
        <v>5.4054054054054057E-2</v>
      </c>
      <c r="T36" s="16">
        <f t="shared" si="2"/>
        <v>5.4054054054054057E-2</v>
      </c>
      <c r="U36" s="16">
        <f t="shared" si="2"/>
        <v>2.7027027027027029E-2</v>
      </c>
      <c r="V36" s="16">
        <f t="shared" si="2"/>
        <v>2.7027027027027029E-2</v>
      </c>
      <c r="W36" s="16">
        <f t="shared" si="2"/>
        <v>2.7027027027027029E-2</v>
      </c>
      <c r="X36" s="16">
        <f t="shared" si="2"/>
        <v>5.4054054054054057E-2</v>
      </c>
      <c r="Y36" s="16"/>
      <c r="Z36" s="16"/>
    </row>
    <row r="37" spans="6:26" x14ac:dyDescent="0.2">
      <c r="F37" s="16">
        <f>SUM($G37:$Y37)</f>
        <v>1.0000000000000002</v>
      </c>
      <c r="G37" s="16">
        <f t="shared" si="3"/>
        <v>0.25</v>
      </c>
      <c r="H37" s="16">
        <f t="shared" si="2"/>
        <v>2.7777777777777776E-2</v>
      </c>
      <c r="I37" s="16">
        <f t="shared" si="2"/>
        <v>2.7777777777777776E-2</v>
      </c>
      <c r="J37" s="16">
        <f t="shared" si="2"/>
        <v>2.7777777777777776E-2</v>
      </c>
      <c r="K37" s="16">
        <f t="shared" si="2"/>
        <v>2.7777777777777776E-2</v>
      </c>
      <c r="L37" s="16">
        <f t="shared" si="2"/>
        <v>2.7777777777777776E-2</v>
      </c>
      <c r="M37" s="16">
        <f t="shared" si="2"/>
        <v>5.5555555555555552E-2</v>
      </c>
      <c r="N37" s="16">
        <f t="shared" si="2"/>
        <v>2.7777777777777776E-2</v>
      </c>
      <c r="O37" s="16">
        <f t="shared" si="2"/>
        <v>5.5555555555555552E-2</v>
      </c>
      <c r="P37" s="16">
        <f t="shared" si="2"/>
        <v>2.7777777777777776E-2</v>
      </c>
      <c r="Q37" s="16">
        <f t="shared" si="2"/>
        <v>2.7777777777777776E-2</v>
      </c>
      <c r="R37" s="16">
        <f t="shared" si="2"/>
        <v>5.5555555555555552E-2</v>
      </c>
      <c r="S37" s="16">
        <f t="shared" si="2"/>
        <v>5.5555555555555552E-2</v>
      </c>
      <c r="T37" s="16">
        <f t="shared" si="2"/>
        <v>5.5555555555555552E-2</v>
      </c>
      <c r="U37" s="16">
        <f t="shared" si="2"/>
        <v>2.7777777777777776E-2</v>
      </c>
      <c r="V37" s="16">
        <f t="shared" si="2"/>
        <v>5.5555555555555552E-2</v>
      </c>
      <c r="W37" s="16">
        <f t="shared" si="2"/>
        <v>5.5555555555555552E-2</v>
      </c>
      <c r="X37" s="16">
        <f t="shared" si="2"/>
        <v>5.5555555555555552E-2</v>
      </c>
      <c r="Y37" s="16">
        <f t="shared" si="2"/>
        <v>5.5555555555555552E-2</v>
      </c>
      <c r="Z37" s="16"/>
    </row>
    <row r="38" spans="6:26" x14ac:dyDescent="0.2">
      <c r="F38" s="16">
        <f>SUM($G38:$W38)</f>
        <v>0.99999999999999978</v>
      </c>
      <c r="G38" s="16">
        <f t="shared" si="3"/>
        <v>0.31034482758620691</v>
      </c>
      <c r="H38" s="16">
        <f t="shared" si="2"/>
        <v>3.4482758620689655E-2</v>
      </c>
      <c r="I38" s="16">
        <f t="shared" si="2"/>
        <v>6.8965517241379309E-2</v>
      </c>
      <c r="J38" s="16">
        <f t="shared" si="2"/>
        <v>3.4482758620689655E-2</v>
      </c>
      <c r="K38" s="16">
        <f t="shared" si="2"/>
        <v>3.4482758620689655E-2</v>
      </c>
      <c r="L38" s="16">
        <f t="shared" ref="H38:X42" si="4">L16/$C16</f>
        <v>3.4482758620689655E-2</v>
      </c>
      <c r="M38" s="16">
        <f t="shared" si="4"/>
        <v>3.4482758620689655E-2</v>
      </c>
      <c r="N38" s="16">
        <f t="shared" si="4"/>
        <v>3.4482758620689655E-2</v>
      </c>
      <c r="O38" s="16">
        <f t="shared" si="4"/>
        <v>3.4482758620689655E-2</v>
      </c>
      <c r="P38" s="16">
        <f t="shared" si="4"/>
        <v>3.4482758620689655E-2</v>
      </c>
      <c r="Q38" s="16">
        <f t="shared" si="4"/>
        <v>3.4482758620689655E-2</v>
      </c>
      <c r="R38" s="16">
        <f t="shared" si="4"/>
        <v>6.8965517241379309E-2</v>
      </c>
      <c r="S38" s="16">
        <f t="shared" si="4"/>
        <v>3.4482758620689655E-2</v>
      </c>
      <c r="T38" s="16">
        <f t="shared" si="4"/>
        <v>6.8965517241379309E-2</v>
      </c>
      <c r="U38" s="16">
        <f t="shared" si="4"/>
        <v>3.4482758620689655E-2</v>
      </c>
      <c r="V38" s="16">
        <f t="shared" si="4"/>
        <v>6.8965517241379309E-2</v>
      </c>
      <c r="W38" s="16">
        <f t="shared" si="4"/>
        <v>3.4482758620689655E-2</v>
      </c>
      <c r="X38" s="16"/>
      <c r="Y38" s="16"/>
      <c r="Z38" s="16"/>
    </row>
    <row r="39" spans="6:26" x14ac:dyDescent="0.2">
      <c r="F39" s="16">
        <f>SUM($G39:$S39)</f>
        <v>0.99999999999999989</v>
      </c>
      <c r="G39" s="16">
        <f t="shared" si="3"/>
        <v>0.35714285714285715</v>
      </c>
      <c r="H39" s="16">
        <f t="shared" si="4"/>
        <v>3.5714285714285712E-2</v>
      </c>
      <c r="I39" s="16">
        <f t="shared" si="4"/>
        <v>3.5714285714285712E-2</v>
      </c>
      <c r="J39" s="16">
        <f t="shared" si="4"/>
        <v>3.5714285714285712E-2</v>
      </c>
      <c r="K39" s="16">
        <f t="shared" si="4"/>
        <v>3.5714285714285712E-2</v>
      </c>
      <c r="L39" s="16">
        <f t="shared" si="4"/>
        <v>3.5714285714285712E-2</v>
      </c>
      <c r="M39" s="16">
        <f t="shared" si="4"/>
        <v>3.5714285714285712E-2</v>
      </c>
      <c r="N39" s="16">
        <f t="shared" si="4"/>
        <v>3.5714285714285712E-2</v>
      </c>
      <c r="O39" s="16">
        <f t="shared" si="4"/>
        <v>3.5714285714285712E-2</v>
      </c>
      <c r="P39" s="16">
        <f t="shared" si="4"/>
        <v>0.10714285714285714</v>
      </c>
      <c r="Q39" s="16">
        <f t="shared" si="4"/>
        <v>0.14285714285714285</v>
      </c>
      <c r="R39" s="16">
        <f t="shared" si="4"/>
        <v>3.5714285714285712E-2</v>
      </c>
      <c r="S39" s="16">
        <f t="shared" si="4"/>
        <v>7.1428571428571425E-2</v>
      </c>
      <c r="T39" s="16"/>
      <c r="U39" s="16"/>
      <c r="V39" s="16"/>
      <c r="W39" s="16"/>
      <c r="X39" s="16"/>
      <c r="Y39" s="16"/>
      <c r="Z39" s="16"/>
    </row>
    <row r="40" spans="6:26" x14ac:dyDescent="0.2">
      <c r="F40" s="16">
        <f>SUM($G40:$U40)</f>
        <v>0.99999999999999978</v>
      </c>
      <c r="G40" s="16">
        <f t="shared" si="3"/>
        <v>0.40740740740740738</v>
      </c>
      <c r="H40" s="16">
        <f t="shared" si="4"/>
        <v>3.7037037037037035E-2</v>
      </c>
      <c r="I40" s="16">
        <f t="shared" si="4"/>
        <v>3.7037037037037035E-2</v>
      </c>
      <c r="J40" s="16">
        <f t="shared" si="4"/>
        <v>3.7037037037037035E-2</v>
      </c>
      <c r="K40" s="16">
        <f t="shared" si="4"/>
        <v>3.7037037037037035E-2</v>
      </c>
      <c r="L40" s="16">
        <f t="shared" si="4"/>
        <v>3.7037037037037035E-2</v>
      </c>
      <c r="M40" s="16">
        <f t="shared" si="4"/>
        <v>3.7037037037037035E-2</v>
      </c>
      <c r="N40" s="16">
        <f t="shared" si="4"/>
        <v>3.7037037037037035E-2</v>
      </c>
      <c r="O40" s="16">
        <f t="shared" si="4"/>
        <v>3.7037037037037035E-2</v>
      </c>
      <c r="P40" s="16">
        <f t="shared" si="4"/>
        <v>3.7037037037037035E-2</v>
      </c>
      <c r="Q40" s="16">
        <f t="shared" si="4"/>
        <v>3.7037037037037035E-2</v>
      </c>
      <c r="R40" s="16">
        <f t="shared" si="4"/>
        <v>7.407407407407407E-2</v>
      </c>
      <c r="S40" s="16">
        <f t="shared" si="4"/>
        <v>3.7037037037037035E-2</v>
      </c>
      <c r="T40" s="16">
        <f t="shared" si="4"/>
        <v>7.407407407407407E-2</v>
      </c>
      <c r="U40" s="16">
        <f t="shared" si="4"/>
        <v>3.7037037037037035E-2</v>
      </c>
      <c r="V40" s="16"/>
      <c r="W40" s="16"/>
      <c r="X40" s="16"/>
      <c r="Y40" s="16"/>
      <c r="Z40" s="16"/>
    </row>
    <row r="41" spans="6:26" x14ac:dyDescent="0.2">
      <c r="F41" s="16">
        <f>SUM($G41:$R41)</f>
        <v>0.99999999999999989</v>
      </c>
      <c r="G41" s="16">
        <f t="shared" si="3"/>
        <v>0.31034482758620691</v>
      </c>
      <c r="H41" s="16">
        <f t="shared" si="4"/>
        <v>3.4482758620689655E-2</v>
      </c>
      <c r="I41" s="16">
        <f t="shared" si="4"/>
        <v>6.8965517241379309E-2</v>
      </c>
      <c r="J41" s="16">
        <f t="shared" si="4"/>
        <v>6.8965517241379309E-2</v>
      </c>
      <c r="K41" s="16">
        <f t="shared" si="4"/>
        <v>3.4482758620689655E-2</v>
      </c>
      <c r="L41" s="16">
        <f t="shared" si="4"/>
        <v>3.4482758620689655E-2</v>
      </c>
      <c r="M41" s="16">
        <f t="shared" si="4"/>
        <v>3.4482758620689655E-2</v>
      </c>
      <c r="N41" s="16">
        <f t="shared" si="4"/>
        <v>6.8965517241379309E-2</v>
      </c>
      <c r="O41" s="16">
        <f t="shared" si="4"/>
        <v>3.4482758620689655E-2</v>
      </c>
      <c r="P41" s="16">
        <f t="shared" si="4"/>
        <v>0.10344827586206896</v>
      </c>
      <c r="Q41" s="16">
        <f t="shared" si="4"/>
        <v>0.13793103448275862</v>
      </c>
      <c r="R41" s="16">
        <f t="shared" si="4"/>
        <v>6.8965517241379309E-2</v>
      </c>
      <c r="S41" s="16"/>
      <c r="T41" s="16"/>
      <c r="U41" s="16"/>
      <c r="V41" s="16"/>
      <c r="W41" s="16"/>
      <c r="X41" s="16"/>
      <c r="Y41" s="16"/>
      <c r="Z41" s="16"/>
    </row>
    <row r="42" spans="6:26" x14ac:dyDescent="0.2">
      <c r="F42" s="16">
        <f>SUM($G42:$X42)</f>
        <v>1</v>
      </c>
      <c r="G42" s="16">
        <f t="shared" si="3"/>
        <v>0.25</v>
      </c>
      <c r="H42" s="16">
        <f t="shared" si="4"/>
        <v>3.125E-2</v>
      </c>
      <c r="I42" s="16">
        <f t="shared" si="4"/>
        <v>3.125E-2</v>
      </c>
      <c r="J42" s="16">
        <f t="shared" si="4"/>
        <v>3.125E-2</v>
      </c>
      <c r="K42" s="16">
        <f t="shared" si="4"/>
        <v>3.125E-2</v>
      </c>
      <c r="L42" s="16">
        <f t="shared" si="4"/>
        <v>3.125E-2</v>
      </c>
      <c r="M42" s="16">
        <f t="shared" si="4"/>
        <v>3.125E-2</v>
      </c>
      <c r="N42" s="16">
        <f t="shared" si="4"/>
        <v>3.125E-2</v>
      </c>
      <c r="O42" s="16">
        <f t="shared" si="4"/>
        <v>6.25E-2</v>
      </c>
      <c r="P42" s="16">
        <f t="shared" si="4"/>
        <v>6.25E-2</v>
      </c>
      <c r="Q42" s="16">
        <f t="shared" si="4"/>
        <v>6.25E-2</v>
      </c>
      <c r="R42" s="16">
        <f t="shared" si="4"/>
        <v>6.25E-2</v>
      </c>
      <c r="S42" s="16">
        <f t="shared" si="4"/>
        <v>3.125E-2</v>
      </c>
      <c r="T42" s="16">
        <f t="shared" si="4"/>
        <v>3.125E-2</v>
      </c>
      <c r="U42" s="16">
        <f t="shared" si="4"/>
        <v>3.125E-2</v>
      </c>
      <c r="V42" s="16">
        <f t="shared" si="4"/>
        <v>3.125E-2</v>
      </c>
      <c r="W42" s="16">
        <f t="shared" si="4"/>
        <v>9.375E-2</v>
      </c>
      <c r="X42" s="16">
        <f t="shared" si="4"/>
        <v>6.25E-2</v>
      </c>
      <c r="Y42" s="16"/>
      <c r="Z42" s="16"/>
    </row>
    <row r="43" spans="6:26" x14ac:dyDescent="0.2">
      <c r="F43" s="16">
        <f>SUM($G43:$Q43)</f>
        <v>1</v>
      </c>
      <c r="G43" s="16">
        <f t="shared" si="3"/>
        <v>0.5</v>
      </c>
      <c r="H43" s="16">
        <f t="shared" si="3"/>
        <v>3.125E-2</v>
      </c>
      <c r="I43" s="16">
        <f t="shared" si="3"/>
        <v>9.375E-2</v>
      </c>
      <c r="J43" s="16">
        <f t="shared" si="3"/>
        <v>3.125E-2</v>
      </c>
      <c r="K43" s="16">
        <f t="shared" si="3"/>
        <v>3.125E-2</v>
      </c>
      <c r="L43" s="16">
        <f t="shared" si="3"/>
        <v>6.25E-2</v>
      </c>
      <c r="M43" s="16">
        <f t="shared" si="3"/>
        <v>9.375E-2</v>
      </c>
      <c r="N43" s="16">
        <f t="shared" si="3"/>
        <v>3.125E-2</v>
      </c>
      <c r="O43" s="16">
        <f t="shared" si="3"/>
        <v>6.25E-2</v>
      </c>
      <c r="P43" s="16">
        <f t="shared" si="3"/>
        <v>3.125E-2</v>
      </c>
      <c r="Q43" s="16">
        <f t="shared" si="3"/>
        <v>3.125E-2</v>
      </c>
      <c r="R43" s="16"/>
      <c r="S43" s="16"/>
      <c r="T43" s="16"/>
      <c r="U43" s="16"/>
      <c r="V43" s="16"/>
      <c r="W43" s="16"/>
      <c r="X43" s="16"/>
      <c r="Y43" s="16"/>
      <c r="Z43" s="16"/>
    </row>
    <row r="45" spans="6:26" x14ac:dyDescent="0.2">
      <c r="F45" s="16" t="s">
        <v>113</v>
      </c>
      <c r="G45" s="32" t="s">
        <v>117</v>
      </c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6:26" x14ac:dyDescent="0.2">
      <c r="F46" s="16">
        <f>SUM($G46:$R46)</f>
        <v>0.12130177514792902</v>
      </c>
      <c r="G46" s="16">
        <f>G24^2</f>
        <v>5.3254437869822494E-2</v>
      </c>
      <c r="H46" s="16">
        <f t="shared" ref="H46:Z60" si="5">H24^2</f>
        <v>1.4792899408284025E-3</v>
      </c>
      <c r="I46" s="16">
        <f t="shared" si="5"/>
        <v>1.4792899408284025E-3</v>
      </c>
      <c r="J46" s="16">
        <f t="shared" si="5"/>
        <v>1.4792899408284025E-3</v>
      </c>
      <c r="K46" s="16">
        <f t="shared" si="5"/>
        <v>1.4792899408284025E-3</v>
      </c>
      <c r="L46" s="16">
        <f t="shared" si="5"/>
        <v>1.4792899408284025E-3</v>
      </c>
      <c r="M46" s="16">
        <f t="shared" si="5"/>
        <v>2.3668639053254441E-2</v>
      </c>
      <c r="N46" s="16">
        <f t="shared" si="5"/>
        <v>1.3313609467455623E-2</v>
      </c>
      <c r="O46" s="16">
        <f t="shared" si="5"/>
        <v>5.9171597633136102E-3</v>
      </c>
      <c r="P46" s="16">
        <f t="shared" si="5"/>
        <v>5.9171597633136102E-3</v>
      </c>
      <c r="Q46" s="16">
        <f t="shared" si="5"/>
        <v>5.9171597633136102E-3</v>
      </c>
      <c r="R46" s="16">
        <f t="shared" si="5"/>
        <v>5.9171597633136102E-3</v>
      </c>
      <c r="S46" s="16"/>
      <c r="T46" s="16"/>
      <c r="U46" s="16"/>
      <c r="V46" s="16"/>
      <c r="W46" s="16"/>
      <c r="X46" s="16"/>
      <c r="Y46" s="16"/>
      <c r="Z46" s="16"/>
    </row>
    <row r="47" spans="6:26" x14ac:dyDescent="0.2">
      <c r="F47" s="16">
        <f>SUM($G47:$V47)</f>
        <v>0.10714285714285718</v>
      </c>
      <c r="G47" s="16">
        <f t="shared" ref="G47:V65" si="6">G25^2</f>
        <v>6.25E-2</v>
      </c>
      <c r="H47" s="16">
        <f t="shared" si="6"/>
        <v>1.2755102040816326E-3</v>
      </c>
      <c r="I47" s="16">
        <f t="shared" si="6"/>
        <v>1.2755102040816326E-3</v>
      </c>
      <c r="J47" s="16">
        <f t="shared" si="6"/>
        <v>1.2755102040816326E-3</v>
      </c>
      <c r="K47" s="16">
        <f t="shared" si="6"/>
        <v>5.1020408163265302E-3</v>
      </c>
      <c r="L47" s="16">
        <f t="shared" si="6"/>
        <v>1.2755102040816326E-3</v>
      </c>
      <c r="M47" s="16">
        <f t="shared" si="6"/>
        <v>1.2755102040816326E-3</v>
      </c>
      <c r="N47" s="16">
        <f t="shared" si="6"/>
        <v>1.2755102040816326E-3</v>
      </c>
      <c r="O47" s="16">
        <f t="shared" si="6"/>
        <v>1.2755102040816326E-3</v>
      </c>
      <c r="P47" s="16">
        <f t="shared" si="6"/>
        <v>1.2755102040816326E-3</v>
      </c>
      <c r="Q47" s="16">
        <f t="shared" si="6"/>
        <v>1.2755102040816326E-3</v>
      </c>
      <c r="R47" s="16">
        <f t="shared" si="6"/>
        <v>5.1020408163265302E-3</v>
      </c>
      <c r="S47" s="16">
        <f t="shared" si="6"/>
        <v>5.1020408163265302E-3</v>
      </c>
      <c r="T47" s="16">
        <f t="shared" si="6"/>
        <v>5.1020408163265302E-3</v>
      </c>
      <c r="U47" s="16">
        <f t="shared" si="6"/>
        <v>1.2755102040816326E-3</v>
      </c>
      <c r="V47" s="16">
        <f t="shared" si="6"/>
        <v>1.1479591836734693E-2</v>
      </c>
      <c r="W47" s="16"/>
      <c r="X47" s="16"/>
      <c r="Y47" s="16"/>
      <c r="Z47" s="16"/>
    </row>
    <row r="48" spans="6:26" x14ac:dyDescent="0.2">
      <c r="F48" s="16">
        <f>SUM($G48:$V48)</f>
        <v>0.14255983350676379</v>
      </c>
      <c r="G48" s="16">
        <f t="shared" si="6"/>
        <v>0.1040582726326743</v>
      </c>
      <c r="H48" s="16">
        <f t="shared" si="5"/>
        <v>1.0405827263267429E-3</v>
      </c>
      <c r="I48" s="16">
        <f t="shared" si="5"/>
        <v>1.0405827263267429E-3</v>
      </c>
      <c r="J48" s="16">
        <f t="shared" si="5"/>
        <v>1.0405827263267429E-3</v>
      </c>
      <c r="K48" s="16">
        <f t="shared" si="5"/>
        <v>1.0405827263267429E-3</v>
      </c>
      <c r="L48" s="16">
        <f t="shared" si="5"/>
        <v>1.0405827263267429E-3</v>
      </c>
      <c r="M48" s="16">
        <f t="shared" si="5"/>
        <v>1.0405827263267429E-3</v>
      </c>
      <c r="N48" s="16">
        <f t="shared" si="5"/>
        <v>1.0405827263267429E-3</v>
      </c>
      <c r="O48" s="16">
        <f t="shared" si="5"/>
        <v>1.0405827263267429E-3</v>
      </c>
      <c r="P48" s="16">
        <f t="shared" si="5"/>
        <v>1.0405827263267429E-3</v>
      </c>
      <c r="Q48" s="16">
        <f t="shared" si="5"/>
        <v>9.3652445369406864E-3</v>
      </c>
      <c r="R48" s="16">
        <f t="shared" si="5"/>
        <v>1.0405827263267429E-3</v>
      </c>
      <c r="S48" s="16">
        <f t="shared" si="5"/>
        <v>9.3652445369406864E-3</v>
      </c>
      <c r="T48" s="16">
        <f t="shared" si="5"/>
        <v>4.1623309053069714E-3</v>
      </c>
      <c r="U48" s="16">
        <f t="shared" si="5"/>
        <v>4.1623309053069714E-3</v>
      </c>
      <c r="V48" s="16">
        <f t="shared" si="5"/>
        <v>1.0405827263267429E-3</v>
      </c>
      <c r="W48" s="16"/>
      <c r="X48" s="16"/>
      <c r="Y48" s="16"/>
      <c r="Z48" s="16"/>
    </row>
    <row r="49" spans="6:26" x14ac:dyDescent="0.2">
      <c r="F49" s="16">
        <f>SUM($G49:$U49)</f>
        <v>0.18002081165452638</v>
      </c>
      <c r="G49" s="16">
        <f t="shared" si="6"/>
        <v>0.14984391259105098</v>
      </c>
      <c r="H49" s="16">
        <f t="shared" si="5"/>
        <v>1.0405827263267429E-3</v>
      </c>
      <c r="I49" s="16">
        <f t="shared" si="5"/>
        <v>1.0405827263267429E-3</v>
      </c>
      <c r="J49" s="16">
        <f t="shared" si="5"/>
        <v>1.0405827263267429E-3</v>
      </c>
      <c r="K49" s="16">
        <f t="shared" si="5"/>
        <v>1.0405827263267429E-3</v>
      </c>
      <c r="L49" s="16">
        <f t="shared" si="5"/>
        <v>1.0405827263267429E-3</v>
      </c>
      <c r="M49" s="16">
        <f t="shared" si="5"/>
        <v>1.0405827263267429E-3</v>
      </c>
      <c r="N49" s="16">
        <f t="shared" si="5"/>
        <v>4.1623309053069714E-3</v>
      </c>
      <c r="O49" s="16">
        <f t="shared" si="5"/>
        <v>1.0405827263267429E-3</v>
      </c>
      <c r="P49" s="16">
        <f t="shared" si="5"/>
        <v>4.1623309053069714E-3</v>
      </c>
      <c r="Q49" s="16">
        <f t="shared" si="5"/>
        <v>4.1623309053069714E-3</v>
      </c>
      <c r="R49" s="16">
        <f t="shared" si="5"/>
        <v>1.0405827263267429E-3</v>
      </c>
      <c r="S49" s="16">
        <f t="shared" si="5"/>
        <v>4.1623309053069714E-3</v>
      </c>
      <c r="T49" s="16">
        <f t="shared" si="5"/>
        <v>4.1623309053069714E-3</v>
      </c>
      <c r="U49" s="16">
        <f t="shared" si="5"/>
        <v>1.0405827263267429E-3</v>
      </c>
      <c r="V49" s="16"/>
      <c r="W49" s="16"/>
      <c r="X49" s="16"/>
      <c r="Y49" s="16"/>
      <c r="Z49" s="16"/>
    </row>
    <row r="50" spans="6:26" x14ac:dyDescent="0.2">
      <c r="F50" s="16">
        <f>SUM($G50:$T50)</f>
        <v>0.1171875</v>
      </c>
      <c r="G50" s="16">
        <f t="shared" si="6"/>
        <v>4.78515625E-2</v>
      </c>
      <c r="H50" s="16">
        <f t="shared" si="5"/>
        <v>9.765625E-4</v>
      </c>
      <c r="I50" s="16">
        <f t="shared" si="5"/>
        <v>9.765625E-4</v>
      </c>
      <c r="J50" s="16">
        <f t="shared" si="5"/>
        <v>3.90625E-3</v>
      </c>
      <c r="K50" s="16">
        <f t="shared" si="5"/>
        <v>9.765625E-4</v>
      </c>
      <c r="L50" s="16">
        <f t="shared" si="5"/>
        <v>9.765625E-4</v>
      </c>
      <c r="M50" s="16">
        <f t="shared" si="5"/>
        <v>9.765625E-4</v>
      </c>
      <c r="N50" s="16">
        <f t="shared" si="5"/>
        <v>8.7890625E-3</v>
      </c>
      <c r="O50" s="16">
        <f t="shared" si="5"/>
        <v>9.765625E-4</v>
      </c>
      <c r="P50" s="16">
        <f t="shared" si="5"/>
        <v>9.765625E-4</v>
      </c>
      <c r="Q50" s="16">
        <f t="shared" si="5"/>
        <v>9.765625E-4</v>
      </c>
      <c r="R50" s="16">
        <f t="shared" si="5"/>
        <v>1.5625E-2</v>
      </c>
      <c r="S50" s="16">
        <f t="shared" si="5"/>
        <v>8.7890625E-3</v>
      </c>
      <c r="T50" s="16">
        <f t="shared" si="5"/>
        <v>2.44140625E-2</v>
      </c>
      <c r="U50" s="16"/>
      <c r="V50" s="16"/>
      <c r="W50" s="16"/>
      <c r="X50" s="16"/>
      <c r="Y50" s="16"/>
      <c r="Z50" s="16"/>
    </row>
    <row r="51" spans="6:26" x14ac:dyDescent="0.2">
      <c r="F51" s="16">
        <f>SUM($G51:$U51)</f>
        <v>0.17722681359044984</v>
      </c>
      <c r="G51" s="16">
        <f t="shared" si="6"/>
        <v>0.13223140495867769</v>
      </c>
      <c r="H51" s="16">
        <f t="shared" si="5"/>
        <v>9.1827364554637292E-4</v>
      </c>
      <c r="I51" s="16">
        <f t="shared" si="5"/>
        <v>9.1827364554637292E-4</v>
      </c>
      <c r="J51" s="16">
        <f t="shared" si="5"/>
        <v>9.1827364554637292E-4</v>
      </c>
      <c r="K51" s="16">
        <f t="shared" si="5"/>
        <v>9.1827364554637292E-4</v>
      </c>
      <c r="L51" s="16">
        <f t="shared" si="5"/>
        <v>9.1827364554637292E-4</v>
      </c>
      <c r="M51" s="16">
        <f t="shared" si="5"/>
        <v>9.1827364554637292E-4</v>
      </c>
      <c r="N51" s="16">
        <f t="shared" si="5"/>
        <v>9.1827364554637292E-4</v>
      </c>
      <c r="O51" s="16">
        <f t="shared" si="5"/>
        <v>9.1827364554637292E-4</v>
      </c>
      <c r="P51" s="16">
        <f t="shared" si="5"/>
        <v>9.1827364554637292E-4</v>
      </c>
      <c r="Q51" s="16">
        <f t="shared" si="5"/>
        <v>9.1827364554637292E-4</v>
      </c>
      <c r="R51" s="16">
        <f t="shared" si="5"/>
        <v>8.2644628099173556E-3</v>
      </c>
      <c r="S51" s="16">
        <f t="shared" si="5"/>
        <v>9.1827364554637292E-4</v>
      </c>
      <c r="T51" s="16">
        <f t="shared" si="5"/>
        <v>2.2956841138659322E-2</v>
      </c>
      <c r="U51" s="16">
        <f t="shared" si="5"/>
        <v>3.6730945821854917E-3</v>
      </c>
      <c r="V51" s="16"/>
      <c r="W51" s="16"/>
      <c r="X51" s="16"/>
      <c r="Y51" s="16"/>
      <c r="Z51" s="16"/>
    </row>
    <row r="52" spans="6:26" x14ac:dyDescent="0.2">
      <c r="F52" s="16">
        <f>SUM($G52:$S52)</f>
        <v>0.24375743162901323</v>
      </c>
      <c r="G52" s="16">
        <f t="shared" si="6"/>
        <v>0.20095124851367421</v>
      </c>
      <c r="H52" s="16">
        <f t="shared" si="5"/>
        <v>1.1890606420927466E-3</v>
      </c>
      <c r="I52" s="16">
        <f t="shared" si="5"/>
        <v>1.1890606420927466E-3</v>
      </c>
      <c r="J52" s="16">
        <f t="shared" si="5"/>
        <v>1.1890606420927466E-3</v>
      </c>
      <c r="K52" s="16">
        <f t="shared" si="5"/>
        <v>1.1890606420927466E-3</v>
      </c>
      <c r="L52" s="16">
        <f t="shared" si="5"/>
        <v>1.1890606420927466E-3</v>
      </c>
      <c r="M52" s="16">
        <f t="shared" si="5"/>
        <v>1.1890606420927466E-3</v>
      </c>
      <c r="N52" s="16">
        <f t="shared" si="5"/>
        <v>1.1890606420927466E-3</v>
      </c>
      <c r="O52" s="16">
        <f t="shared" si="5"/>
        <v>1.1890606420927466E-3</v>
      </c>
      <c r="P52" s="16">
        <f t="shared" si="5"/>
        <v>1.1890606420927466E-3</v>
      </c>
      <c r="Q52" s="16">
        <f t="shared" si="5"/>
        <v>1.1890606420927466E-3</v>
      </c>
      <c r="R52" s="16">
        <f t="shared" si="5"/>
        <v>2.9726516052318672E-2</v>
      </c>
      <c r="S52" s="16">
        <f t="shared" si="5"/>
        <v>1.1890606420927466E-3</v>
      </c>
      <c r="T52" s="16"/>
      <c r="U52" s="16"/>
      <c r="V52" s="16"/>
      <c r="W52" s="16"/>
      <c r="X52" s="16"/>
      <c r="Y52" s="16"/>
      <c r="Z52" s="16"/>
    </row>
    <row r="53" spans="6:26" x14ac:dyDescent="0.2">
      <c r="F53" s="16">
        <f>SUM($G53:$W53)</f>
        <v>0.14233241505968777</v>
      </c>
      <c r="G53" s="16">
        <f t="shared" si="6"/>
        <v>0.1111111111111111</v>
      </c>
      <c r="H53" s="16">
        <f t="shared" si="5"/>
        <v>9.1827364554637292E-4</v>
      </c>
      <c r="I53" s="16">
        <f t="shared" si="5"/>
        <v>9.1827364554637292E-4</v>
      </c>
      <c r="J53" s="16">
        <f t="shared" si="5"/>
        <v>9.1827364554637292E-4</v>
      </c>
      <c r="K53" s="16">
        <f t="shared" si="5"/>
        <v>9.1827364554637292E-4</v>
      </c>
      <c r="L53" s="16">
        <f t="shared" si="5"/>
        <v>9.1827364554637292E-4</v>
      </c>
      <c r="M53" s="16">
        <f t="shared" si="5"/>
        <v>9.1827364554637292E-4</v>
      </c>
      <c r="N53" s="16">
        <f t="shared" si="5"/>
        <v>9.1827364554637292E-4</v>
      </c>
      <c r="O53" s="16">
        <f t="shared" si="5"/>
        <v>3.6730945821854917E-3</v>
      </c>
      <c r="P53" s="16">
        <f t="shared" si="5"/>
        <v>3.6730945821854917E-3</v>
      </c>
      <c r="Q53" s="16">
        <f t="shared" si="5"/>
        <v>9.1827364554637292E-4</v>
      </c>
      <c r="R53" s="16">
        <f t="shared" si="5"/>
        <v>9.1827364554637292E-4</v>
      </c>
      <c r="S53" s="16">
        <f t="shared" si="5"/>
        <v>3.6730945821854917E-3</v>
      </c>
      <c r="T53" s="16">
        <f t="shared" si="5"/>
        <v>9.1827364554637292E-4</v>
      </c>
      <c r="U53" s="16">
        <f t="shared" si="5"/>
        <v>3.6730945821854917E-3</v>
      </c>
      <c r="V53" s="16">
        <f t="shared" si="5"/>
        <v>3.6730945821854917E-3</v>
      </c>
      <c r="W53" s="16">
        <f t="shared" si="5"/>
        <v>3.6730945821854917E-3</v>
      </c>
      <c r="X53" s="16"/>
      <c r="Y53" s="16"/>
      <c r="Z53" s="16"/>
    </row>
    <row r="54" spans="6:26" x14ac:dyDescent="0.2">
      <c r="F54" s="16">
        <f>SUM($G54:$V54)</f>
        <v>0.14047866805411025</v>
      </c>
      <c r="G54" s="16">
        <f t="shared" si="6"/>
        <v>0.1040582726326743</v>
      </c>
      <c r="H54" s="16">
        <f t="shared" si="5"/>
        <v>1.0405827263267429E-3</v>
      </c>
      <c r="I54" s="16">
        <f t="shared" si="5"/>
        <v>1.0405827263267429E-3</v>
      </c>
      <c r="J54" s="16">
        <f t="shared" si="5"/>
        <v>1.0405827263267429E-3</v>
      </c>
      <c r="K54" s="16">
        <f t="shared" si="5"/>
        <v>4.1623309053069714E-3</v>
      </c>
      <c r="L54" s="16">
        <f t="shared" si="5"/>
        <v>1.0405827263267429E-3</v>
      </c>
      <c r="M54" s="16">
        <f t="shared" si="5"/>
        <v>1.0405827263267429E-3</v>
      </c>
      <c r="N54" s="16">
        <f t="shared" si="5"/>
        <v>1.0405827263267429E-3</v>
      </c>
      <c r="O54" s="16">
        <f t="shared" si="5"/>
        <v>9.3652445369406864E-3</v>
      </c>
      <c r="P54" s="16">
        <f t="shared" si="5"/>
        <v>4.1623309053069714E-3</v>
      </c>
      <c r="Q54" s="16">
        <f t="shared" si="5"/>
        <v>4.1623309053069714E-3</v>
      </c>
      <c r="R54" s="16">
        <f t="shared" si="5"/>
        <v>1.0405827263267429E-3</v>
      </c>
      <c r="S54" s="16">
        <f t="shared" si="5"/>
        <v>1.0405827263267429E-3</v>
      </c>
      <c r="T54" s="16">
        <f t="shared" si="5"/>
        <v>1.0405827263267429E-3</v>
      </c>
      <c r="U54" s="16">
        <f t="shared" si="5"/>
        <v>4.1623309053069714E-3</v>
      </c>
      <c r="V54" s="16">
        <f t="shared" si="5"/>
        <v>1.0405827263267429E-3</v>
      </c>
      <c r="W54" s="16"/>
      <c r="X54" s="16"/>
      <c r="Y54" s="16"/>
      <c r="Z54" s="16"/>
    </row>
    <row r="55" spans="6:26" x14ac:dyDescent="0.2">
      <c r="F55" s="16">
        <f>SUM($G55:$V55)</f>
        <v>9.6938775510204106E-2</v>
      </c>
      <c r="G55" s="16">
        <f t="shared" si="6"/>
        <v>3.1887755102040817E-2</v>
      </c>
      <c r="H55" s="16">
        <f t="shared" si="5"/>
        <v>1.2755102040816326E-3</v>
      </c>
      <c r="I55" s="16">
        <f t="shared" si="5"/>
        <v>1.2755102040816326E-3</v>
      </c>
      <c r="J55" s="16">
        <f t="shared" si="5"/>
        <v>1.2755102040816326E-3</v>
      </c>
      <c r="K55" s="16">
        <f t="shared" si="5"/>
        <v>1.2755102040816326E-3</v>
      </c>
      <c r="L55" s="16">
        <f t="shared" si="5"/>
        <v>1.2755102040816326E-3</v>
      </c>
      <c r="M55" s="16">
        <f t="shared" si="5"/>
        <v>1.2755102040816326E-3</v>
      </c>
      <c r="N55" s="16">
        <f t="shared" si="5"/>
        <v>5.1020408163265302E-3</v>
      </c>
      <c r="O55" s="16">
        <f t="shared" si="5"/>
        <v>1.2755102040816326E-3</v>
      </c>
      <c r="P55" s="16">
        <f t="shared" si="5"/>
        <v>5.1020408163265302E-3</v>
      </c>
      <c r="Q55" s="16">
        <f t="shared" si="5"/>
        <v>1.2755102040816326E-3</v>
      </c>
      <c r="R55" s="16">
        <f t="shared" si="5"/>
        <v>1.2755102040816326E-3</v>
      </c>
      <c r="S55" s="16">
        <f>S33^2</f>
        <v>5.1020408163265302E-3</v>
      </c>
      <c r="T55" s="16">
        <f t="shared" si="5"/>
        <v>5.1020408163265302E-3</v>
      </c>
      <c r="U55" s="16">
        <f t="shared" si="5"/>
        <v>1.2755102040816326E-3</v>
      </c>
      <c r="V55" s="16">
        <f t="shared" si="5"/>
        <v>3.1887755102040817E-2</v>
      </c>
      <c r="W55" s="16"/>
      <c r="X55" s="16"/>
      <c r="Y55" s="16"/>
      <c r="Z55" s="16"/>
    </row>
    <row r="56" spans="6:26" x14ac:dyDescent="0.2">
      <c r="F56" s="16">
        <f>SUM($G56:$Z56)</f>
        <v>0.16727538349159976</v>
      </c>
      <c r="G56" s="16">
        <f t="shared" si="6"/>
        <v>0.14317019722425128</v>
      </c>
      <c r="H56" s="16">
        <f t="shared" si="5"/>
        <v>7.304601899196495E-4</v>
      </c>
      <c r="I56" s="16">
        <f t="shared" si="5"/>
        <v>7.304601899196495E-4</v>
      </c>
      <c r="J56" s="16">
        <f t="shared" si="5"/>
        <v>7.304601899196495E-4</v>
      </c>
      <c r="K56" s="16">
        <f t="shared" si="5"/>
        <v>7.304601899196495E-4</v>
      </c>
      <c r="L56" s="16">
        <f t="shared" si="5"/>
        <v>7.304601899196495E-4</v>
      </c>
      <c r="M56" s="16">
        <f t="shared" si="5"/>
        <v>7.304601899196495E-4</v>
      </c>
      <c r="N56" s="16">
        <f t="shared" si="5"/>
        <v>7.304601899196495E-4</v>
      </c>
      <c r="O56" s="16">
        <f t="shared" si="5"/>
        <v>7.304601899196495E-4</v>
      </c>
      <c r="P56" s="16">
        <f t="shared" si="5"/>
        <v>7.304601899196495E-4</v>
      </c>
      <c r="Q56" s="16">
        <f t="shared" si="5"/>
        <v>2.921840759678598E-3</v>
      </c>
      <c r="R56" s="16">
        <f t="shared" si="5"/>
        <v>7.304601899196495E-4</v>
      </c>
      <c r="S56" s="16">
        <f t="shared" si="5"/>
        <v>7.304601899196495E-4</v>
      </c>
      <c r="T56" s="16">
        <f t="shared" si="5"/>
        <v>7.304601899196495E-4</v>
      </c>
      <c r="U56" s="16">
        <f t="shared" si="5"/>
        <v>7.304601899196495E-4</v>
      </c>
      <c r="V56" s="16">
        <f t="shared" si="5"/>
        <v>7.304601899196495E-4</v>
      </c>
      <c r="W56" s="16">
        <f t="shared" si="5"/>
        <v>7.304601899196495E-4</v>
      </c>
      <c r="X56" s="16">
        <f t="shared" si="5"/>
        <v>7.304601899196495E-4</v>
      </c>
      <c r="Y56" s="16">
        <f t="shared" si="5"/>
        <v>2.921840759678598E-3</v>
      </c>
      <c r="Z56" s="16">
        <f t="shared" si="5"/>
        <v>6.5741417092768451E-3</v>
      </c>
    </row>
    <row r="57" spans="6:26" x14ac:dyDescent="0.2">
      <c r="F57" s="16">
        <f>SUM($G57:$R57)</f>
        <v>0.38265306122448961</v>
      </c>
      <c r="G57" s="16">
        <f t="shared" si="6"/>
        <v>0.36862244897959179</v>
      </c>
      <c r="H57" s="16">
        <f t="shared" si="5"/>
        <v>1.2755102040816326E-3</v>
      </c>
      <c r="I57" s="16">
        <f t="shared" si="5"/>
        <v>1.2755102040816326E-3</v>
      </c>
      <c r="J57" s="16">
        <f t="shared" si="5"/>
        <v>1.2755102040816326E-3</v>
      </c>
      <c r="K57" s="16">
        <f t="shared" si="5"/>
        <v>1.2755102040816326E-3</v>
      </c>
      <c r="L57" s="16">
        <f t="shared" si="5"/>
        <v>1.2755102040816326E-3</v>
      </c>
      <c r="M57" s="16">
        <f t="shared" si="5"/>
        <v>1.2755102040816326E-3</v>
      </c>
      <c r="N57" s="16">
        <f t="shared" si="5"/>
        <v>1.2755102040816326E-3</v>
      </c>
      <c r="O57" s="16">
        <f t="shared" si="5"/>
        <v>1.2755102040816326E-3</v>
      </c>
      <c r="P57" s="16">
        <f t="shared" si="5"/>
        <v>1.2755102040816326E-3</v>
      </c>
      <c r="Q57" s="16">
        <f t="shared" si="5"/>
        <v>1.2755102040816326E-3</v>
      </c>
      <c r="R57" s="16">
        <f t="shared" si="5"/>
        <v>1.2755102040816326E-3</v>
      </c>
      <c r="S57" s="16"/>
      <c r="T57" s="16"/>
      <c r="U57" s="16"/>
      <c r="V57" s="16"/>
      <c r="W57" s="16"/>
      <c r="X57" s="16"/>
      <c r="Y57" s="16"/>
      <c r="Z57" s="16"/>
    </row>
    <row r="58" spans="6:26" x14ac:dyDescent="0.2">
      <c r="F58" s="16">
        <f>SUM($G58:$X58)</f>
        <v>0.17019722425127837</v>
      </c>
      <c r="G58" s="16">
        <f t="shared" si="6"/>
        <v>0.14317019722425128</v>
      </c>
      <c r="H58" s="16">
        <f t="shared" si="5"/>
        <v>7.304601899196495E-4</v>
      </c>
      <c r="I58" s="16">
        <f t="shared" si="5"/>
        <v>7.304601899196495E-4</v>
      </c>
      <c r="J58" s="16">
        <f t="shared" si="5"/>
        <v>7.304601899196495E-4</v>
      </c>
      <c r="K58" s="16">
        <f t="shared" si="5"/>
        <v>7.304601899196495E-4</v>
      </c>
      <c r="L58" s="16">
        <f t="shared" si="5"/>
        <v>7.304601899196495E-4</v>
      </c>
      <c r="M58" s="16">
        <f t="shared" si="5"/>
        <v>7.304601899196495E-4</v>
      </c>
      <c r="N58" s="16">
        <f t="shared" si="5"/>
        <v>7.304601899196495E-4</v>
      </c>
      <c r="O58" s="16">
        <f t="shared" si="5"/>
        <v>7.304601899196495E-4</v>
      </c>
      <c r="P58" s="16">
        <f t="shared" si="5"/>
        <v>7.304601899196495E-4</v>
      </c>
      <c r="Q58" s="16">
        <f t="shared" si="5"/>
        <v>6.5741417092768451E-3</v>
      </c>
      <c r="R58" s="16">
        <f t="shared" si="5"/>
        <v>2.921840759678598E-3</v>
      </c>
      <c r="S58" s="16">
        <f t="shared" si="5"/>
        <v>2.921840759678598E-3</v>
      </c>
      <c r="T58" s="16">
        <f t="shared" si="5"/>
        <v>2.921840759678598E-3</v>
      </c>
      <c r="U58" s="16">
        <f t="shared" si="5"/>
        <v>7.304601899196495E-4</v>
      </c>
      <c r="V58" s="16">
        <f t="shared" si="5"/>
        <v>7.304601899196495E-4</v>
      </c>
      <c r="W58" s="16">
        <f t="shared" si="5"/>
        <v>7.304601899196495E-4</v>
      </c>
      <c r="X58" s="16">
        <f t="shared" si="5"/>
        <v>2.921840759678598E-3</v>
      </c>
      <c r="Y58" s="16"/>
      <c r="Z58" s="16"/>
    </row>
    <row r="59" spans="6:26" x14ac:dyDescent="0.2">
      <c r="F59" s="16">
        <f>SUM($G59:$Y59)</f>
        <v>9.7222222222222252E-2</v>
      </c>
      <c r="G59" s="16">
        <f t="shared" si="6"/>
        <v>6.25E-2</v>
      </c>
      <c r="H59" s="16">
        <f t="shared" si="5"/>
        <v>7.716049382716049E-4</v>
      </c>
      <c r="I59" s="16">
        <f t="shared" si="5"/>
        <v>7.716049382716049E-4</v>
      </c>
      <c r="J59" s="16">
        <f t="shared" si="5"/>
        <v>7.716049382716049E-4</v>
      </c>
      <c r="K59" s="16">
        <f t="shared" si="5"/>
        <v>7.716049382716049E-4</v>
      </c>
      <c r="L59" s="16">
        <f t="shared" si="5"/>
        <v>7.716049382716049E-4</v>
      </c>
      <c r="M59" s="16">
        <f t="shared" si="5"/>
        <v>3.0864197530864196E-3</v>
      </c>
      <c r="N59" s="16">
        <f t="shared" si="5"/>
        <v>7.716049382716049E-4</v>
      </c>
      <c r="O59" s="16">
        <f t="shared" si="5"/>
        <v>3.0864197530864196E-3</v>
      </c>
      <c r="P59" s="16">
        <f t="shared" si="5"/>
        <v>7.716049382716049E-4</v>
      </c>
      <c r="Q59" s="16">
        <f t="shared" si="5"/>
        <v>7.716049382716049E-4</v>
      </c>
      <c r="R59" s="16">
        <f t="shared" si="5"/>
        <v>3.0864197530864196E-3</v>
      </c>
      <c r="S59" s="16">
        <f t="shared" si="5"/>
        <v>3.0864197530864196E-3</v>
      </c>
      <c r="T59" s="16">
        <f t="shared" si="5"/>
        <v>3.0864197530864196E-3</v>
      </c>
      <c r="U59" s="16">
        <f t="shared" si="5"/>
        <v>7.716049382716049E-4</v>
      </c>
      <c r="V59" s="16">
        <f t="shared" si="5"/>
        <v>3.0864197530864196E-3</v>
      </c>
      <c r="W59" s="16">
        <f t="shared" si="5"/>
        <v>3.0864197530864196E-3</v>
      </c>
      <c r="X59" s="16">
        <f t="shared" si="5"/>
        <v>3.0864197530864196E-3</v>
      </c>
      <c r="Y59" s="16">
        <f t="shared" si="5"/>
        <v>3.0864197530864196E-3</v>
      </c>
      <c r="Z59" s="16"/>
    </row>
    <row r="60" spans="6:26" x14ac:dyDescent="0.2">
      <c r="F60" s="16">
        <f>SUM($G60:$W60)</f>
        <v>0.12960760998810938</v>
      </c>
      <c r="G60" s="16">
        <f t="shared" si="6"/>
        <v>9.631391200951249E-2</v>
      </c>
      <c r="H60" s="16">
        <f t="shared" si="5"/>
        <v>1.1890606420927466E-3</v>
      </c>
      <c r="I60" s="16">
        <f t="shared" si="5"/>
        <v>4.7562425683709865E-3</v>
      </c>
      <c r="J60" s="16">
        <f t="shared" si="5"/>
        <v>1.1890606420927466E-3</v>
      </c>
      <c r="K60" s="16">
        <f t="shared" si="5"/>
        <v>1.1890606420927466E-3</v>
      </c>
      <c r="L60" s="16">
        <f t="shared" ref="H60:W65" si="7">L38^2</f>
        <v>1.1890606420927466E-3</v>
      </c>
      <c r="M60" s="16">
        <f t="shared" si="7"/>
        <v>1.1890606420927466E-3</v>
      </c>
      <c r="N60" s="16">
        <f t="shared" si="7"/>
        <v>1.1890606420927466E-3</v>
      </c>
      <c r="O60" s="16">
        <f t="shared" si="7"/>
        <v>1.1890606420927466E-3</v>
      </c>
      <c r="P60" s="16">
        <f t="shared" si="7"/>
        <v>1.1890606420927466E-3</v>
      </c>
      <c r="Q60" s="16">
        <f t="shared" si="7"/>
        <v>1.1890606420927466E-3</v>
      </c>
      <c r="R60" s="16">
        <f t="shared" si="7"/>
        <v>4.7562425683709865E-3</v>
      </c>
      <c r="S60" s="16">
        <f t="shared" si="7"/>
        <v>1.1890606420927466E-3</v>
      </c>
      <c r="T60" s="16">
        <f t="shared" si="7"/>
        <v>4.7562425683709865E-3</v>
      </c>
      <c r="U60" s="16">
        <f t="shared" si="7"/>
        <v>1.1890606420927466E-3</v>
      </c>
      <c r="V60" s="16">
        <f t="shared" si="7"/>
        <v>4.7562425683709865E-3</v>
      </c>
      <c r="W60" s="16">
        <f t="shared" si="7"/>
        <v>1.1890606420927466E-3</v>
      </c>
      <c r="X60" s="16"/>
      <c r="Y60" s="16"/>
      <c r="Z60" s="16"/>
    </row>
    <row r="61" spans="6:26" x14ac:dyDescent="0.2">
      <c r="F61" s="16">
        <f>SUM($G61:$S61)</f>
        <v>0.1760204081632652</v>
      </c>
      <c r="G61" s="16">
        <f t="shared" si="6"/>
        <v>0.12755102040816327</v>
      </c>
      <c r="H61" s="16">
        <f t="shared" si="7"/>
        <v>1.2755102040816326E-3</v>
      </c>
      <c r="I61" s="16">
        <f t="shared" si="7"/>
        <v>1.2755102040816326E-3</v>
      </c>
      <c r="J61" s="16">
        <f t="shared" si="7"/>
        <v>1.2755102040816326E-3</v>
      </c>
      <c r="K61" s="16">
        <f t="shared" si="7"/>
        <v>1.2755102040816326E-3</v>
      </c>
      <c r="L61" s="16">
        <f t="shared" si="7"/>
        <v>1.2755102040816326E-3</v>
      </c>
      <c r="M61" s="16">
        <f t="shared" si="7"/>
        <v>1.2755102040816326E-3</v>
      </c>
      <c r="N61" s="16">
        <f t="shared" si="7"/>
        <v>1.2755102040816326E-3</v>
      </c>
      <c r="O61" s="16">
        <f t="shared" si="7"/>
        <v>1.2755102040816326E-3</v>
      </c>
      <c r="P61" s="16">
        <f t="shared" si="7"/>
        <v>1.1479591836734693E-2</v>
      </c>
      <c r="Q61" s="16">
        <f t="shared" si="7"/>
        <v>2.0408163265306121E-2</v>
      </c>
      <c r="R61" s="16">
        <f t="shared" si="7"/>
        <v>1.2755102040816326E-3</v>
      </c>
      <c r="S61" s="16">
        <f t="shared" si="7"/>
        <v>5.1020408163265302E-3</v>
      </c>
      <c r="T61" s="16"/>
      <c r="U61" s="16"/>
      <c r="V61" s="16"/>
      <c r="W61" s="16"/>
      <c r="X61" s="16"/>
      <c r="Y61" s="16"/>
      <c r="Z61" s="16"/>
    </row>
    <row r="62" spans="6:26" x14ac:dyDescent="0.2">
      <c r="F62" s="16">
        <f>SUM($G62:$U62)</f>
        <v>0.19341563786008242</v>
      </c>
      <c r="G62" s="16">
        <f t="shared" si="6"/>
        <v>0.16598079561042522</v>
      </c>
      <c r="H62" s="16">
        <f t="shared" si="7"/>
        <v>1.3717421124828531E-3</v>
      </c>
      <c r="I62" s="16">
        <f t="shared" si="7"/>
        <v>1.3717421124828531E-3</v>
      </c>
      <c r="J62" s="16">
        <f t="shared" si="7"/>
        <v>1.3717421124828531E-3</v>
      </c>
      <c r="K62" s="16">
        <f t="shared" si="7"/>
        <v>1.3717421124828531E-3</v>
      </c>
      <c r="L62" s="16">
        <f t="shared" si="7"/>
        <v>1.3717421124828531E-3</v>
      </c>
      <c r="M62" s="16">
        <f t="shared" si="7"/>
        <v>1.3717421124828531E-3</v>
      </c>
      <c r="N62" s="16">
        <f t="shared" si="7"/>
        <v>1.3717421124828531E-3</v>
      </c>
      <c r="O62" s="16">
        <f t="shared" si="7"/>
        <v>1.3717421124828531E-3</v>
      </c>
      <c r="P62" s="16">
        <f t="shared" si="7"/>
        <v>1.3717421124828531E-3</v>
      </c>
      <c r="Q62" s="16">
        <f t="shared" si="7"/>
        <v>1.3717421124828531E-3</v>
      </c>
      <c r="R62" s="16">
        <f t="shared" si="7"/>
        <v>5.4869684499314125E-3</v>
      </c>
      <c r="S62" s="16">
        <f t="shared" si="7"/>
        <v>1.3717421124828531E-3</v>
      </c>
      <c r="T62" s="16">
        <f t="shared" si="7"/>
        <v>5.4869684499314125E-3</v>
      </c>
      <c r="U62" s="16">
        <f t="shared" si="7"/>
        <v>1.3717421124828531E-3</v>
      </c>
      <c r="V62" s="16"/>
      <c r="W62" s="16"/>
      <c r="X62" s="16"/>
      <c r="Y62" s="16"/>
      <c r="Z62" s="16"/>
    </row>
    <row r="63" spans="6:26" x14ac:dyDescent="0.2">
      <c r="F63" s="16">
        <f>SUM($G63:$R63)</f>
        <v>0.15101070154577884</v>
      </c>
      <c r="G63" s="16">
        <f t="shared" si="6"/>
        <v>9.631391200951249E-2</v>
      </c>
      <c r="H63" s="16">
        <f t="shared" si="7"/>
        <v>1.1890606420927466E-3</v>
      </c>
      <c r="I63" s="16">
        <f t="shared" si="7"/>
        <v>4.7562425683709865E-3</v>
      </c>
      <c r="J63" s="16">
        <f t="shared" si="7"/>
        <v>4.7562425683709865E-3</v>
      </c>
      <c r="K63" s="16">
        <f t="shared" si="7"/>
        <v>1.1890606420927466E-3</v>
      </c>
      <c r="L63" s="16">
        <f t="shared" si="7"/>
        <v>1.1890606420927466E-3</v>
      </c>
      <c r="M63" s="16">
        <f t="shared" si="7"/>
        <v>1.1890606420927466E-3</v>
      </c>
      <c r="N63" s="16">
        <f t="shared" si="7"/>
        <v>4.7562425683709865E-3</v>
      </c>
      <c r="O63" s="16">
        <f t="shared" si="7"/>
        <v>1.1890606420927466E-3</v>
      </c>
      <c r="P63" s="16">
        <f t="shared" si="7"/>
        <v>1.070154577883472E-2</v>
      </c>
      <c r="Q63" s="16">
        <f t="shared" si="7"/>
        <v>1.9024970273483946E-2</v>
      </c>
      <c r="R63" s="16">
        <f t="shared" si="7"/>
        <v>4.7562425683709865E-3</v>
      </c>
      <c r="S63" s="16"/>
      <c r="T63" s="16"/>
      <c r="U63" s="16"/>
      <c r="V63" s="16"/>
      <c r="W63" s="16"/>
      <c r="X63" s="16"/>
      <c r="Y63" s="16"/>
      <c r="Z63" s="16"/>
    </row>
    <row r="64" spans="6:26" x14ac:dyDescent="0.2">
      <c r="F64" s="16">
        <f>SUM($G64:$X64)</f>
        <v>0.1015625</v>
      </c>
      <c r="G64" s="16">
        <f>G42^2</f>
        <v>6.25E-2</v>
      </c>
      <c r="H64" s="16">
        <f t="shared" ref="H64:X64" si="8">H42^2</f>
        <v>9.765625E-4</v>
      </c>
      <c r="I64" s="16">
        <f t="shared" si="8"/>
        <v>9.765625E-4</v>
      </c>
      <c r="J64" s="16">
        <f t="shared" si="8"/>
        <v>9.765625E-4</v>
      </c>
      <c r="K64" s="16">
        <f t="shared" si="8"/>
        <v>9.765625E-4</v>
      </c>
      <c r="L64" s="16">
        <f t="shared" si="8"/>
        <v>9.765625E-4</v>
      </c>
      <c r="M64" s="16">
        <f t="shared" si="8"/>
        <v>9.765625E-4</v>
      </c>
      <c r="N64" s="16">
        <f t="shared" si="8"/>
        <v>9.765625E-4</v>
      </c>
      <c r="O64" s="16">
        <f t="shared" si="8"/>
        <v>3.90625E-3</v>
      </c>
      <c r="P64" s="16">
        <f t="shared" si="8"/>
        <v>3.90625E-3</v>
      </c>
      <c r="Q64" s="16">
        <f t="shared" si="8"/>
        <v>3.90625E-3</v>
      </c>
      <c r="R64" s="16">
        <f t="shared" si="8"/>
        <v>3.90625E-3</v>
      </c>
      <c r="S64" s="16">
        <f t="shared" si="8"/>
        <v>9.765625E-4</v>
      </c>
      <c r="T64" s="16">
        <f t="shared" si="8"/>
        <v>9.765625E-4</v>
      </c>
      <c r="U64" s="16">
        <f t="shared" si="8"/>
        <v>9.765625E-4</v>
      </c>
      <c r="V64" s="16">
        <f t="shared" si="8"/>
        <v>9.765625E-4</v>
      </c>
      <c r="W64" s="16">
        <f t="shared" si="8"/>
        <v>8.7890625E-3</v>
      </c>
      <c r="X64" s="16">
        <f t="shared" si="8"/>
        <v>3.90625E-3</v>
      </c>
      <c r="Y64" s="16"/>
      <c r="Z64" s="16"/>
    </row>
    <row r="65" spans="6:26" x14ac:dyDescent="0.2">
      <c r="F65" s="16">
        <f>SUM($G65:$Q65)</f>
        <v>0.28125</v>
      </c>
      <c r="G65" s="16">
        <f t="shared" si="6"/>
        <v>0.25</v>
      </c>
      <c r="H65" s="16">
        <f t="shared" si="7"/>
        <v>9.765625E-4</v>
      </c>
      <c r="I65" s="16">
        <f t="shared" si="7"/>
        <v>8.7890625E-3</v>
      </c>
      <c r="J65" s="16">
        <f t="shared" si="7"/>
        <v>9.765625E-4</v>
      </c>
      <c r="K65" s="16">
        <f t="shared" si="7"/>
        <v>9.765625E-4</v>
      </c>
      <c r="L65" s="16">
        <f t="shared" si="7"/>
        <v>3.90625E-3</v>
      </c>
      <c r="M65" s="16">
        <f t="shared" si="7"/>
        <v>8.7890625E-3</v>
      </c>
      <c r="N65" s="16">
        <f t="shared" si="7"/>
        <v>9.765625E-4</v>
      </c>
      <c r="O65" s="16">
        <f t="shared" si="7"/>
        <v>3.90625E-3</v>
      </c>
      <c r="P65" s="16">
        <f t="shared" si="7"/>
        <v>9.765625E-4</v>
      </c>
      <c r="Q65" s="16">
        <f t="shared" si="7"/>
        <v>9.765625E-4</v>
      </c>
      <c r="R65" s="16"/>
      <c r="S65" s="16"/>
      <c r="T65" s="16"/>
      <c r="U65" s="16"/>
      <c r="V65" s="16"/>
      <c r="W65" s="16"/>
      <c r="X65" s="16"/>
      <c r="Y65" s="16"/>
      <c r="Z65" s="16"/>
    </row>
  </sheetData>
  <mergeCells count="3">
    <mergeCell ref="G1:Z1"/>
    <mergeCell ref="G23:Z23"/>
    <mergeCell ref="G45:Z45"/>
  </mergeCells>
  <pageMargins left="0.7" right="0.7" top="0.75" bottom="0.75" header="0.3" footer="0.3"/>
  <ignoredErrors>
    <ignoredError sqref="C6 F28 F50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E1CB0-75CB-5E4C-B587-F8AB3BA5EB47}">
  <dimension ref="A1:F805"/>
  <sheetViews>
    <sheetView topLeftCell="A602" workbookViewId="0">
      <selection activeCell="E1" sqref="E1"/>
    </sheetView>
  </sheetViews>
  <sheetFormatPr baseColWidth="10" defaultRowHeight="16" x14ac:dyDescent="0.2"/>
  <cols>
    <col min="1" max="1" width="14.6640625" bestFit="1" customWidth="1"/>
    <col min="2" max="2" width="14.1640625" bestFit="1" customWidth="1"/>
    <col min="5" max="5" width="28.1640625" bestFit="1" customWidth="1"/>
    <col min="6" max="6" width="20.1640625" bestFit="1" customWidth="1"/>
    <col min="7" max="7" width="20.1640625" customWidth="1"/>
    <col min="9" max="9" width="28.1640625" bestFit="1" customWidth="1"/>
    <col min="10" max="10" width="12.1640625" bestFit="1" customWidth="1"/>
  </cols>
  <sheetData>
    <row r="1" spans="1:6" x14ac:dyDescent="0.2">
      <c r="A1" t="s">
        <v>58</v>
      </c>
      <c r="B1" s="25" t="s">
        <v>86</v>
      </c>
      <c r="C1" s="25"/>
      <c r="D1" s="25"/>
    </row>
    <row r="2" spans="1:6" x14ac:dyDescent="0.2">
      <c r="A2" t="s">
        <v>57</v>
      </c>
    </row>
    <row r="3" spans="1:6" x14ac:dyDescent="0.2">
      <c r="A3" t="s">
        <v>48</v>
      </c>
      <c r="B3" t="s">
        <v>52</v>
      </c>
      <c r="C3" t="s">
        <v>53</v>
      </c>
      <c r="D3" t="s">
        <v>51</v>
      </c>
      <c r="E3" t="s">
        <v>50</v>
      </c>
      <c r="F3" t="s">
        <v>100</v>
      </c>
    </row>
    <row r="4" spans="1:6" x14ac:dyDescent="0.2">
      <c r="A4">
        <v>0</v>
      </c>
      <c r="B4">
        <v>0</v>
      </c>
      <c r="C4">
        <v>0</v>
      </c>
      <c r="D4">
        <f>(C4/C$30)*100</f>
        <v>0</v>
      </c>
      <c r="E4">
        <v>0</v>
      </c>
      <c r="F4">
        <v>0</v>
      </c>
    </row>
    <row r="5" spans="1:6" x14ac:dyDescent="0.2">
      <c r="A5">
        <v>45000000</v>
      </c>
      <c r="B5">
        <v>1</v>
      </c>
      <c r="C5">
        <f>A5</f>
        <v>45000000</v>
      </c>
      <c r="D5">
        <f t="shared" ref="D5:D30" si="0">(C5/C$30)*100</f>
        <v>9.8727512066695908</v>
      </c>
      <c r="E5">
        <v>3.8461538461538463</v>
      </c>
      <c r="F5">
        <f>(E5+E4)/2*(D5-D4)/100</f>
        <v>0.18986060012826136</v>
      </c>
    </row>
    <row r="6" spans="1:6" x14ac:dyDescent="0.2">
      <c r="A6">
        <v>40000000</v>
      </c>
      <c r="B6">
        <v>2</v>
      </c>
      <c r="C6">
        <f t="shared" ref="C6:C30" si="1">C5+A6</f>
        <v>85000000</v>
      </c>
      <c r="D6">
        <f t="shared" si="0"/>
        <v>18.64853005704256</v>
      </c>
      <c r="E6">
        <v>7.6923076923076925</v>
      </c>
      <c r="F6">
        <f t="shared" ref="F6:F30" si="2">(E6+E5)/2*(D6-D5)/100</f>
        <v>0.5062949336753636</v>
      </c>
    </row>
    <row r="7" spans="1:6" x14ac:dyDescent="0.2">
      <c r="A7">
        <v>35000000</v>
      </c>
      <c r="B7">
        <v>3</v>
      </c>
      <c r="C7">
        <f t="shared" si="1"/>
        <v>120000000</v>
      </c>
      <c r="D7">
        <f t="shared" si="0"/>
        <v>26.327336551118911</v>
      </c>
      <c r="E7">
        <v>11.538461538461538</v>
      </c>
      <c r="F7">
        <f t="shared" si="2"/>
        <v>0.73834677827657214</v>
      </c>
    </row>
    <row r="8" spans="1:6" x14ac:dyDescent="0.2">
      <c r="A8">
        <v>32000000</v>
      </c>
      <c r="B8">
        <v>4</v>
      </c>
      <c r="C8">
        <f t="shared" si="1"/>
        <v>152000000</v>
      </c>
      <c r="D8">
        <f t="shared" si="0"/>
        <v>33.347959631417289</v>
      </c>
      <c r="E8">
        <v>15.384615384615385</v>
      </c>
      <c r="F8">
        <f t="shared" si="2"/>
        <v>0.94508387619401246</v>
      </c>
    </row>
    <row r="9" spans="1:6" x14ac:dyDescent="0.2">
      <c r="A9">
        <v>30000000</v>
      </c>
      <c r="B9">
        <v>5</v>
      </c>
      <c r="C9">
        <f t="shared" si="1"/>
        <v>182000000</v>
      </c>
      <c r="D9">
        <f t="shared" si="0"/>
        <v>39.929793769197012</v>
      </c>
      <c r="E9">
        <v>19.230769230769234</v>
      </c>
      <c r="F9">
        <f t="shared" si="2"/>
        <v>1.1391636007695676</v>
      </c>
    </row>
    <row r="10" spans="1:6" x14ac:dyDescent="0.2">
      <c r="A10">
        <v>27000000</v>
      </c>
      <c r="B10">
        <v>6</v>
      </c>
      <c r="C10">
        <f t="shared" si="1"/>
        <v>209000000</v>
      </c>
      <c r="D10">
        <f t="shared" si="0"/>
        <v>45.853444493198772</v>
      </c>
      <c r="E10">
        <v>23.076923076923077</v>
      </c>
      <c r="F10">
        <f t="shared" si="2"/>
        <v>1.2530799608465262</v>
      </c>
    </row>
    <row r="11" spans="1:6" x14ac:dyDescent="0.2">
      <c r="A11">
        <v>26000000</v>
      </c>
      <c r="B11">
        <v>7</v>
      </c>
      <c r="C11">
        <f t="shared" si="1"/>
        <v>235000000</v>
      </c>
      <c r="D11">
        <f t="shared" si="0"/>
        <v>51.557700745941204</v>
      </c>
      <c r="E11">
        <v>26.923076923076923</v>
      </c>
      <c r="F11">
        <f t="shared" si="2"/>
        <v>1.4260640631856081</v>
      </c>
    </row>
    <row r="12" spans="1:6" x14ac:dyDescent="0.2">
      <c r="A12">
        <v>24000000</v>
      </c>
      <c r="B12">
        <v>8</v>
      </c>
      <c r="C12">
        <f t="shared" si="1"/>
        <v>259000000</v>
      </c>
      <c r="D12">
        <f t="shared" si="0"/>
        <v>56.823168056164988</v>
      </c>
      <c r="E12">
        <v>30.76923076923077</v>
      </c>
      <c r="F12">
        <f t="shared" si="2"/>
        <v>1.5188848010260916</v>
      </c>
    </row>
    <row r="13" spans="1:6" x14ac:dyDescent="0.2">
      <c r="A13">
        <v>22000000</v>
      </c>
      <c r="B13">
        <v>9</v>
      </c>
      <c r="C13">
        <f t="shared" si="1"/>
        <v>281000000</v>
      </c>
      <c r="D13">
        <f t="shared" si="0"/>
        <v>61.649846423870116</v>
      </c>
      <c r="E13">
        <v>34.615384615384613</v>
      </c>
      <c r="F13">
        <f t="shared" si="2"/>
        <v>1.5779525432882151</v>
      </c>
    </row>
    <row r="14" spans="1:6" x14ac:dyDescent="0.2">
      <c r="A14">
        <v>21000000</v>
      </c>
      <c r="B14">
        <v>10</v>
      </c>
      <c r="C14">
        <f t="shared" si="1"/>
        <v>302000000</v>
      </c>
      <c r="D14">
        <f t="shared" si="0"/>
        <v>66.257130320315923</v>
      </c>
      <c r="E14">
        <v>38.461538461538467</v>
      </c>
      <c r="F14">
        <f t="shared" si="2"/>
        <v>1.6834306544705833</v>
      </c>
    </row>
    <row r="15" spans="1:6" x14ac:dyDescent="0.2">
      <c r="A15">
        <v>20000000</v>
      </c>
      <c r="B15">
        <v>11</v>
      </c>
      <c r="C15">
        <f t="shared" si="1"/>
        <v>322000000</v>
      </c>
      <c r="D15">
        <f t="shared" si="0"/>
        <v>70.64501974550241</v>
      </c>
      <c r="E15">
        <v>42.307692307692307</v>
      </c>
      <c r="F15">
        <f t="shared" si="2"/>
        <v>1.7720322678637734</v>
      </c>
    </row>
    <row r="16" spans="1:6" x14ac:dyDescent="0.2">
      <c r="A16">
        <v>19000000</v>
      </c>
      <c r="B16">
        <v>12</v>
      </c>
      <c r="C16">
        <f t="shared" si="1"/>
        <v>341000000</v>
      </c>
      <c r="D16">
        <f t="shared" si="0"/>
        <v>74.813514699429575</v>
      </c>
      <c r="E16">
        <v>46.153846153846153</v>
      </c>
      <c r="F16">
        <f t="shared" si="2"/>
        <v>1.8437573834677847</v>
      </c>
    </row>
    <row r="17" spans="1:6" x14ac:dyDescent="0.2">
      <c r="A17">
        <v>16000000</v>
      </c>
      <c r="B17">
        <v>13</v>
      </c>
      <c r="C17">
        <f t="shared" si="1"/>
        <v>357000000</v>
      </c>
      <c r="D17">
        <f t="shared" si="0"/>
        <v>78.323826239578764</v>
      </c>
      <c r="E17">
        <v>50</v>
      </c>
      <c r="F17">
        <f t="shared" si="2"/>
        <v>1.6876497789178793</v>
      </c>
    </row>
    <row r="18" spans="1:6" x14ac:dyDescent="0.2">
      <c r="A18">
        <v>16000000</v>
      </c>
      <c r="B18">
        <v>14</v>
      </c>
      <c r="C18">
        <f t="shared" si="1"/>
        <v>373000000</v>
      </c>
      <c r="D18">
        <f t="shared" si="0"/>
        <v>81.834137779727953</v>
      </c>
      <c r="E18">
        <v>53.846153846153847</v>
      </c>
      <c r="F18">
        <f t="shared" si="2"/>
        <v>1.8226617612313099</v>
      </c>
    </row>
    <row r="19" spans="1:6" x14ac:dyDescent="0.2">
      <c r="A19">
        <v>15000000</v>
      </c>
      <c r="B19">
        <v>15</v>
      </c>
      <c r="C19">
        <f t="shared" si="1"/>
        <v>388000000</v>
      </c>
      <c r="D19">
        <f t="shared" si="0"/>
        <v>85.125054848617808</v>
      </c>
      <c r="E19">
        <v>57.692307692307686</v>
      </c>
      <c r="F19">
        <f t="shared" si="2"/>
        <v>1.8353191345731878</v>
      </c>
    </row>
    <row r="20" spans="1:6" x14ac:dyDescent="0.2">
      <c r="A20">
        <v>13000000</v>
      </c>
      <c r="B20">
        <v>16</v>
      </c>
      <c r="C20">
        <f t="shared" si="1"/>
        <v>401000000</v>
      </c>
      <c r="D20">
        <f t="shared" si="0"/>
        <v>87.977182974989034</v>
      </c>
      <c r="E20">
        <v>61.53846153846154</v>
      </c>
      <c r="F20">
        <f t="shared" si="2"/>
        <v>1.7003071522597699</v>
      </c>
    </row>
    <row r="21" spans="1:6" x14ac:dyDescent="0.2">
      <c r="A21">
        <v>12000000</v>
      </c>
      <c r="B21">
        <v>17</v>
      </c>
      <c r="C21">
        <f t="shared" si="1"/>
        <v>413000000</v>
      </c>
      <c r="D21">
        <f t="shared" si="0"/>
        <v>90.609916630100912</v>
      </c>
      <c r="E21">
        <v>65.384615384615387</v>
      </c>
      <c r="F21">
        <f t="shared" si="2"/>
        <v>1.6707732811286917</v>
      </c>
    </row>
    <row r="22" spans="1:6" x14ac:dyDescent="0.2">
      <c r="A22">
        <v>12000000</v>
      </c>
      <c r="B22">
        <v>18</v>
      </c>
      <c r="C22">
        <f t="shared" si="1"/>
        <v>425000000</v>
      </c>
      <c r="D22">
        <f t="shared" si="0"/>
        <v>93.242650285212818</v>
      </c>
      <c r="E22">
        <v>69.230769230769226</v>
      </c>
      <c r="F22">
        <f t="shared" si="2"/>
        <v>1.7720322678637828</v>
      </c>
    </row>
    <row r="23" spans="1:6" x14ac:dyDescent="0.2">
      <c r="A23">
        <v>12000000</v>
      </c>
      <c r="B23">
        <v>19</v>
      </c>
      <c r="C23">
        <f t="shared" si="1"/>
        <v>437000000</v>
      </c>
      <c r="D23">
        <f t="shared" si="0"/>
        <v>95.875383940324696</v>
      </c>
      <c r="E23">
        <v>73.076923076923066</v>
      </c>
      <c r="F23">
        <f t="shared" si="2"/>
        <v>1.8732912545988358</v>
      </c>
    </row>
    <row r="24" spans="1:6" x14ac:dyDescent="0.2">
      <c r="A24">
        <v>7000000</v>
      </c>
      <c r="B24">
        <v>20</v>
      </c>
      <c r="C24">
        <f t="shared" si="1"/>
        <v>444000000</v>
      </c>
      <c r="D24">
        <f t="shared" si="0"/>
        <v>97.411145239139969</v>
      </c>
      <c r="E24">
        <v>76.923076923076934</v>
      </c>
      <c r="F24">
        <f t="shared" si="2"/>
        <v>1.1518209741114553</v>
      </c>
    </row>
    <row r="25" spans="1:6" x14ac:dyDescent="0.2">
      <c r="A25">
        <v>4500000</v>
      </c>
      <c r="B25">
        <v>21</v>
      </c>
      <c r="C25">
        <f t="shared" si="1"/>
        <v>448500000</v>
      </c>
      <c r="D25">
        <f t="shared" si="0"/>
        <v>98.398420359806934</v>
      </c>
      <c r="E25">
        <v>80.769230769230774</v>
      </c>
      <c r="F25">
        <f t="shared" si="2"/>
        <v>0.77842846052587622</v>
      </c>
    </row>
    <row r="26" spans="1:6" x14ac:dyDescent="0.2">
      <c r="A26">
        <v>2500000</v>
      </c>
      <c r="B26">
        <v>22</v>
      </c>
      <c r="C26">
        <f t="shared" si="1"/>
        <v>451000000</v>
      </c>
      <c r="D26">
        <f t="shared" si="0"/>
        <v>98.946906537955243</v>
      </c>
      <c r="E26">
        <v>84.615384615384613</v>
      </c>
      <c r="F26">
        <f t="shared" si="2"/>
        <v>0.45355587808417858</v>
      </c>
    </row>
    <row r="27" spans="1:6" x14ac:dyDescent="0.2">
      <c r="A27">
        <v>2500000</v>
      </c>
      <c r="B27">
        <v>23</v>
      </c>
      <c r="C27">
        <f t="shared" si="1"/>
        <v>453500000</v>
      </c>
      <c r="D27">
        <f t="shared" si="0"/>
        <v>99.495392716103552</v>
      </c>
      <c r="E27">
        <v>88.461538461538453</v>
      </c>
      <c r="F27">
        <f t="shared" si="2"/>
        <v>0.47465150032065201</v>
      </c>
    </row>
    <row r="28" spans="1:6" x14ac:dyDescent="0.2">
      <c r="A28">
        <v>1750000</v>
      </c>
      <c r="B28">
        <v>24</v>
      </c>
      <c r="C28">
        <f t="shared" si="1"/>
        <v>455250000</v>
      </c>
      <c r="D28">
        <f t="shared" si="0"/>
        <v>99.879333040807367</v>
      </c>
      <c r="E28">
        <v>92.307692307692307</v>
      </c>
      <c r="F28">
        <f t="shared" si="2"/>
        <v>0.34702298578998658</v>
      </c>
    </row>
    <row r="29" spans="1:6" x14ac:dyDescent="0.2">
      <c r="A29">
        <v>300000</v>
      </c>
      <c r="B29">
        <v>25</v>
      </c>
      <c r="C29">
        <f t="shared" si="1"/>
        <v>455550000</v>
      </c>
      <c r="D29">
        <f t="shared" si="0"/>
        <v>99.945151382185173</v>
      </c>
      <c r="E29">
        <v>96.15384615384616</v>
      </c>
      <c r="F29">
        <f t="shared" si="2"/>
        <v>6.2021129375240437E-2</v>
      </c>
    </row>
    <row r="30" spans="1:6" x14ac:dyDescent="0.2">
      <c r="A30">
        <v>250000</v>
      </c>
      <c r="B30">
        <v>26</v>
      </c>
      <c r="C30">
        <f t="shared" si="1"/>
        <v>455800000</v>
      </c>
      <c r="D30">
        <f t="shared" si="0"/>
        <v>100</v>
      </c>
      <c r="E30">
        <v>100</v>
      </c>
      <c r="F30">
        <f t="shared" si="2"/>
        <v>5.3793836703003049E-2</v>
      </c>
    </row>
    <row r="31" spans="1:6" x14ac:dyDescent="0.2">
      <c r="E31" t="s">
        <v>55</v>
      </c>
      <c r="F31">
        <f>SUM(F5:F30)</f>
        <v>30.277280858676207</v>
      </c>
    </row>
    <row r="32" spans="1:6" x14ac:dyDescent="0.2">
      <c r="E32" t="s">
        <v>56</v>
      </c>
      <c r="F32">
        <f>50-F31</f>
        <v>19.722719141323793</v>
      </c>
    </row>
    <row r="33" spans="1:6" x14ac:dyDescent="0.2">
      <c r="E33" t="s">
        <v>49</v>
      </c>
      <c r="F33">
        <f>F32/50</f>
        <v>0.39445438282647588</v>
      </c>
    </row>
    <row r="35" spans="1:6" x14ac:dyDescent="0.2">
      <c r="A35" t="s">
        <v>21</v>
      </c>
    </row>
    <row r="36" spans="1:6" x14ac:dyDescent="0.2">
      <c r="A36" t="s">
        <v>48</v>
      </c>
      <c r="B36" t="s">
        <v>46</v>
      </c>
      <c r="C36" t="s">
        <v>47</v>
      </c>
      <c r="D36" t="s">
        <v>60</v>
      </c>
      <c r="E36" t="s">
        <v>59</v>
      </c>
      <c r="F36" t="s">
        <v>100</v>
      </c>
    </row>
    <row r="37" spans="1:6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">
      <c r="A38">
        <v>45000000</v>
      </c>
      <c r="B38">
        <v>1</v>
      </c>
      <c r="C38">
        <f>A38</f>
        <v>45000000</v>
      </c>
      <c r="D38">
        <f t="shared" ref="D38:D69" si="3">(C38/C$86)*100</f>
        <v>7.7028414926395072</v>
      </c>
      <c r="E38">
        <f t="shared" ref="E38:E69" si="4">(B38/B$86)*100</f>
        <v>2.0408163265306123</v>
      </c>
      <c r="F38">
        <f t="shared" ref="F38:F69" si="5">(E38+E37)/2*(D38-D37)/100</f>
        <v>7.8600423394280694E-2</v>
      </c>
    </row>
    <row r="39" spans="1:6" x14ac:dyDescent="0.2">
      <c r="A39">
        <v>40000000</v>
      </c>
      <c r="B39">
        <v>2</v>
      </c>
      <c r="C39">
        <f t="shared" ref="C39:C86" si="6">C38+A39</f>
        <v>85000000</v>
      </c>
      <c r="D39">
        <f t="shared" si="3"/>
        <v>14.549811708319069</v>
      </c>
      <c r="E39">
        <f t="shared" si="4"/>
        <v>4.0816326530612246</v>
      </c>
      <c r="F39">
        <f t="shared" si="5"/>
        <v>0.20960112905141517</v>
      </c>
    </row>
    <row r="40" spans="1:6" x14ac:dyDescent="0.2">
      <c r="A40">
        <v>34000000</v>
      </c>
      <c r="B40">
        <v>3</v>
      </c>
      <c r="C40">
        <f t="shared" si="6"/>
        <v>119000000</v>
      </c>
      <c r="D40">
        <f t="shared" si="3"/>
        <v>20.369736391646693</v>
      </c>
      <c r="E40">
        <f t="shared" si="4"/>
        <v>6.1224489795918364</v>
      </c>
      <c r="F40">
        <f t="shared" si="5"/>
        <v>0.29693493282283795</v>
      </c>
    </row>
    <row r="41" spans="1:6" x14ac:dyDescent="0.2">
      <c r="A41">
        <v>30000000</v>
      </c>
      <c r="B41">
        <v>4</v>
      </c>
      <c r="C41">
        <f t="shared" si="6"/>
        <v>149000000</v>
      </c>
      <c r="D41">
        <f t="shared" si="3"/>
        <v>25.504964053406372</v>
      </c>
      <c r="E41">
        <f t="shared" si="4"/>
        <v>8.1632653061224492</v>
      </c>
      <c r="F41">
        <f t="shared" si="5"/>
        <v>0.36680197583997703</v>
      </c>
    </row>
    <row r="42" spans="1:6" x14ac:dyDescent="0.2">
      <c r="A42">
        <v>30000000</v>
      </c>
      <c r="B42">
        <v>5</v>
      </c>
      <c r="C42">
        <f t="shared" si="6"/>
        <v>179000000</v>
      </c>
      <c r="D42">
        <f t="shared" si="3"/>
        <v>30.640191715166036</v>
      </c>
      <c r="E42">
        <f t="shared" si="4"/>
        <v>10.204081632653061</v>
      </c>
      <c r="F42">
        <f t="shared" si="5"/>
        <v>0.47160254036568355</v>
      </c>
    </row>
    <row r="43" spans="1:6" x14ac:dyDescent="0.2">
      <c r="A43">
        <v>26000000</v>
      </c>
      <c r="B43">
        <v>6</v>
      </c>
      <c r="C43">
        <f t="shared" si="6"/>
        <v>205000000</v>
      </c>
      <c r="D43">
        <f t="shared" si="3"/>
        <v>35.090722355357755</v>
      </c>
      <c r="E43">
        <f t="shared" si="4"/>
        <v>12.244897959183673</v>
      </c>
      <c r="F43">
        <f t="shared" si="5"/>
        <v>0.49954935757253982</v>
      </c>
    </row>
    <row r="44" spans="1:6" x14ac:dyDescent="0.2">
      <c r="A44">
        <v>25000000</v>
      </c>
      <c r="B44">
        <v>7</v>
      </c>
      <c r="C44">
        <f t="shared" si="6"/>
        <v>230000000</v>
      </c>
      <c r="D44">
        <f t="shared" si="3"/>
        <v>39.370078740157481</v>
      </c>
      <c r="E44">
        <f t="shared" si="4"/>
        <v>14.285714285714285</v>
      </c>
      <c r="F44">
        <f t="shared" si="5"/>
        <v>0.56766972451424946</v>
      </c>
    </row>
    <row r="45" spans="1:6" x14ac:dyDescent="0.2">
      <c r="A45">
        <v>25000000</v>
      </c>
      <c r="B45">
        <v>8</v>
      </c>
      <c r="C45">
        <f t="shared" si="6"/>
        <v>255000000</v>
      </c>
      <c r="D45">
        <f t="shared" si="3"/>
        <v>43.649435124957208</v>
      </c>
      <c r="E45">
        <f t="shared" si="4"/>
        <v>16.326530612244898</v>
      </c>
      <c r="F45">
        <f t="shared" si="5"/>
        <v>0.65500352828567232</v>
      </c>
    </row>
    <row r="46" spans="1:6" x14ac:dyDescent="0.2">
      <c r="A46">
        <v>25000000</v>
      </c>
      <c r="B46">
        <v>9</v>
      </c>
      <c r="C46">
        <f t="shared" si="6"/>
        <v>280000000</v>
      </c>
      <c r="D46">
        <f t="shared" si="3"/>
        <v>47.928791509756934</v>
      </c>
      <c r="E46">
        <f t="shared" si="4"/>
        <v>18.367346938775512</v>
      </c>
      <c r="F46">
        <f t="shared" si="5"/>
        <v>0.74233733205709529</v>
      </c>
    </row>
    <row r="47" spans="1:6" x14ac:dyDescent="0.2">
      <c r="A47">
        <v>20000000</v>
      </c>
      <c r="B47">
        <v>10</v>
      </c>
      <c r="C47">
        <f t="shared" si="6"/>
        <v>300000000</v>
      </c>
      <c r="D47">
        <f t="shared" si="3"/>
        <v>51.352276617596715</v>
      </c>
      <c r="E47">
        <f t="shared" si="4"/>
        <v>20.408163265306122</v>
      </c>
      <c r="F47">
        <f t="shared" si="5"/>
        <v>0.66373690866281465</v>
      </c>
    </row>
    <row r="48" spans="1:6" x14ac:dyDescent="0.2">
      <c r="A48">
        <v>20000000</v>
      </c>
      <c r="B48">
        <v>11</v>
      </c>
      <c r="C48">
        <f t="shared" si="6"/>
        <v>320000000</v>
      </c>
      <c r="D48">
        <f t="shared" si="3"/>
        <v>54.775761725436489</v>
      </c>
      <c r="E48">
        <f t="shared" si="4"/>
        <v>22.448979591836736</v>
      </c>
      <c r="F48">
        <f t="shared" si="5"/>
        <v>0.73360395167995163</v>
      </c>
    </row>
    <row r="49" spans="1:6" x14ac:dyDescent="0.2">
      <c r="A49">
        <v>20000000</v>
      </c>
      <c r="B49">
        <v>12</v>
      </c>
      <c r="C49">
        <f t="shared" si="6"/>
        <v>340000000</v>
      </c>
      <c r="D49">
        <f t="shared" si="3"/>
        <v>58.199246833276277</v>
      </c>
      <c r="E49">
        <f t="shared" si="4"/>
        <v>24.489795918367346</v>
      </c>
      <c r="F49">
        <f t="shared" si="5"/>
        <v>0.80347099469709304</v>
      </c>
    </row>
    <row r="50" spans="1:6" x14ac:dyDescent="0.2">
      <c r="A50">
        <v>19000000</v>
      </c>
      <c r="B50">
        <v>13</v>
      </c>
      <c r="C50">
        <f t="shared" si="6"/>
        <v>359000000</v>
      </c>
      <c r="D50">
        <f t="shared" si="3"/>
        <v>61.451557685724069</v>
      </c>
      <c r="E50">
        <f t="shared" si="4"/>
        <v>26.530612244897959</v>
      </c>
      <c r="F50">
        <f t="shared" si="5"/>
        <v>0.82967113582851826</v>
      </c>
    </row>
    <row r="51" spans="1:6" x14ac:dyDescent="0.2">
      <c r="A51">
        <v>19000000</v>
      </c>
      <c r="B51">
        <v>14</v>
      </c>
      <c r="C51">
        <f t="shared" si="6"/>
        <v>378000000</v>
      </c>
      <c r="D51">
        <f t="shared" si="3"/>
        <v>64.703868538171861</v>
      </c>
      <c r="E51">
        <f t="shared" si="4"/>
        <v>28.571428571428569</v>
      </c>
      <c r="F51">
        <f t="shared" si="5"/>
        <v>0.89604482669479979</v>
      </c>
    </row>
    <row r="52" spans="1:6" x14ac:dyDescent="0.2">
      <c r="A52">
        <v>19000000</v>
      </c>
      <c r="B52">
        <v>15</v>
      </c>
      <c r="C52">
        <f t="shared" si="6"/>
        <v>397000000</v>
      </c>
      <c r="D52">
        <f t="shared" si="3"/>
        <v>67.956179390619653</v>
      </c>
      <c r="E52">
        <f t="shared" si="4"/>
        <v>30.612244897959183</v>
      </c>
      <c r="F52">
        <f t="shared" si="5"/>
        <v>0.96241851756108132</v>
      </c>
    </row>
    <row r="53" spans="1:6" x14ac:dyDescent="0.2">
      <c r="A53">
        <v>18000000</v>
      </c>
      <c r="B53">
        <v>16</v>
      </c>
      <c r="C53">
        <f t="shared" si="6"/>
        <v>415000000</v>
      </c>
      <c r="D53">
        <f t="shared" si="3"/>
        <v>71.037315987675456</v>
      </c>
      <c r="E53">
        <f t="shared" si="4"/>
        <v>32.653061224489797</v>
      </c>
      <c r="F53">
        <f t="shared" si="5"/>
        <v>0.97464525008908043</v>
      </c>
    </row>
    <row r="54" spans="1:6" x14ac:dyDescent="0.2">
      <c r="A54">
        <v>17000000</v>
      </c>
      <c r="B54">
        <v>17</v>
      </c>
      <c r="C54">
        <f t="shared" si="6"/>
        <v>432000000</v>
      </c>
      <c r="D54">
        <f t="shared" si="3"/>
        <v>73.947278329339269</v>
      </c>
      <c r="E54">
        <f t="shared" si="4"/>
        <v>34.693877551020407</v>
      </c>
      <c r="F54">
        <f t="shared" si="5"/>
        <v>0.97988527831536598</v>
      </c>
    </row>
    <row r="55" spans="1:6" x14ac:dyDescent="0.2">
      <c r="A55">
        <v>13000000</v>
      </c>
      <c r="B55">
        <v>18</v>
      </c>
      <c r="C55">
        <f t="shared" si="6"/>
        <v>445000000</v>
      </c>
      <c r="D55">
        <f t="shared" si="3"/>
        <v>76.172543649435127</v>
      </c>
      <c r="E55">
        <f t="shared" si="4"/>
        <v>36.734693877551024</v>
      </c>
      <c r="F55">
        <f t="shared" si="5"/>
        <v>0.79473761431994916</v>
      </c>
    </row>
    <row r="56" spans="1:6" x14ac:dyDescent="0.2">
      <c r="A56">
        <v>11000000</v>
      </c>
      <c r="B56">
        <v>19</v>
      </c>
      <c r="C56">
        <f t="shared" si="6"/>
        <v>456000000</v>
      </c>
      <c r="D56">
        <f t="shared" si="3"/>
        <v>78.055460458747007</v>
      </c>
      <c r="E56">
        <f t="shared" si="4"/>
        <v>38.775510204081634</v>
      </c>
      <c r="F56">
        <f t="shared" si="5"/>
        <v>0.71089716269938308</v>
      </c>
    </row>
    <row r="57" spans="1:6" x14ac:dyDescent="0.2">
      <c r="A57">
        <v>11000000</v>
      </c>
      <c r="B57">
        <v>20</v>
      </c>
      <c r="C57">
        <f t="shared" si="6"/>
        <v>467000000</v>
      </c>
      <c r="D57">
        <f t="shared" si="3"/>
        <v>79.938377268058886</v>
      </c>
      <c r="E57">
        <f t="shared" si="4"/>
        <v>40.816326530612244</v>
      </c>
      <c r="F57">
        <f t="shared" si="5"/>
        <v>0.74932403635880929</v>
      </c>
    </row>
    <row r="58" spans="1:6" x14ac:dyDescent="0.2">
      <c r="A58">
        <v>10000000</v>
      </c>
      <c r="B58">
        <v>21</v>
      </c>
      <c r="C58">
        <f t="shared" si="6"/>
        <v>477000000</v>
      </c>
      <c r="D58">
        <f t="shared" si="3"/>
        <v>81.650119821978777</v>
      </c>
      <c r="E58">
        <f t="shared" si="4"/>
        <v>42.857142857142854</v>
      </c>
      <c r="F58">
        <f t="shared" si="5"/>
        <v>0.71613719092566841</v>
      </c>
    </row>
    <row r="59" spans="1:6" x14ac:dyDescent="0.2">
      <c r="A59">
        <v>10000000</v>
      </c>
      <c r="B59">
        <v>22</v>
      </c>
      <c r="C59">
        <f t="shared" si="6"/>
        <v>487000000</v>
      </c>
      <c r="D59">
        <f t="shared" si="3"/>
        <v>83.361862375898667</v>
      </c>
      <c r="E59">
        <f t="shared" si="4"/>
        <v>44.897959183673471</v>
      </c>
      <c r="F59">
        <f t="shared" si="5"/>
        <v>0.75107071243423762</v>
      </c>
    </row>
    <row r="60" spans="1:6" x14ac:dyDescent="0.2">
      <c r="A60">
        <v>9000000</v>
      </c>
      <c r="B60">
        <v>23</v>
      </c>
      <c r="C60">
        <f t="shared" si="6"/>
        <v>496000000</v>
      </c>
      <c r="D60">
        <f t="shared" si="3"/>
        <v>84.902430674426569</v>
      </c>
      <c r="E60">
        <f t="shared" si="4"/>
        <v>46.938775510204081</v>
      </c>
      <c r="F60">
        <f t="shared" si="5"/>
        <v>0.70740381054852619</v>
      </c>
    </row>
    <row r="61" spans="1:6" x14ac:dyDescent="0.2">
      <c r="A61">
        <v>9000000</v>
      </c>
      <c r="B61">
        <v>24</v>
      </c>
      <c r="C61">
        <f t="shared" si="6"/>
        <v>505000000</v>
      </c>
      <c r="D61">
        <f t="shared" si="3"/>
        <v>86.44299897295447</v>
      </c>
      <c r="E61">
        <f t="shared" si="4"/>
        <v>48.979591836734691</v>
      </c>
      <c r="F61">
        <f t="shared" si="5"/>
        <v>0.7388439799062384</v>
      </c>
    </row>
    <row r="62" spans="1:6" x14ac:dyDescent="0.2">
      <c r="A62">
        <v>7500000</v>
      </c>
      <c r="B62">
        <v>25</v>
      </c>
      <c r="C62">
        <f t="shared" si="6"/>
        <v>512500000</v>
      </c>
      <c r="D62">
        <f t="shared" si="3"/>
        <v>87.726805888394381</v>
      </c>
      <c r="E62">
        <f t="shared" si="4"/>
        <v>51.020408163265309</v>
      </c>
      <c r="F62">
        <f t="shared" si="5"/>
        <v>0.64190345771995538</v>
      </c>
    </row>
    <row r="63" spans="1:6" x14ac:dyDescent="0.2">
      <c r="A63">
        <v>7000000</v>
      </c>
      <c r="B63">
        <v>26</v>
      </c>
      <c r="C63">
        <f t="shared" si="6"/>
        <v>519500000</v>
      </c>
      <c r="D63">
        <f t="shared" si="3"/>
        <v>88.925025676138318</v>
      </c>
      <c r="E63">
        <f t="shared" si="4"/>
        <v>53.061224489795919</v>
      </c>
      <c r="F63">
        <f t="shared" si="5"/>
        <v>0.62356335892796755</v>
      </c>
    </row>
    <row r="64" spans="1:6" x14ac:dyDescent="0.2">
      <c r="A64">
        <v>7000000</v>
      </c>
      <c r="B64">
        <v>27</v>
      </c>
      <c r="C64">
        <f t="shared" si="6"/>
        <v>526500000</v>
      </c>
      <c r="D64">
        <f t="shared" si="3"/>
        <v>90.123245463882228</v>
      </c>
      <c r="E64">
        <f t="shared" si="4"/>
        <v>55.102040816326522</v>
      </c>
      <c r="F64">
        <f t="shared" si="5"/>
        <v>0.64801682398395088</v>
      </c>
    </row>
    <row r="65" spans="1:6" x14ac:dyDescent="0.2">
      <c r="A65">
        <v>6000000</v>
      </c>
      <c r="B65">
        <v>28</v>
      </c>
      <c r="C65">
        <f t="shared" si="6"/>
        <v>532500000</v>
      </c>
      <c r="D65">
        <f t="shared" si="3"/>
        <v>91.150290996234162</v>
      </c>
      <c r="E65">
        <f t="shared" si="4"/>
        <v>57.142857142857139</v>
      </c>
      <c r="F65">
        <f t="shared" si="5"/>
        <v>0.57640310489139157</v>
      </c>
    </row>
    <row r="66" spans="1:6" x14ac:dyDescent="0.2">
      <c r="A66">
        <v>6000000</v>
      </c>
      <c r="B66">
        <v>29</v>
      </c>
      <c r="C66">
        <f t="shared" si="6"/>
        <v>538500000</v>
      </c>
      <c r="D66">
        <f t="shared" si="3"/>
        <v>92.177336528586096</v>
      </c>
      <c r="E66">
        <f t="shared" si="4"/>
        <v>59.183673469387756</v>
      </c>
      <c r="F66">
        <f t="shared" si="5"/>
        <v>0.59736321779653312</v>
      </c>
    </row>
    <row r="67" spans="1:6" x14ac:dyDescent="0.2">
      <c r="A67">
        <v>6000000</v>
      </c>
      <c r="B67">
        <v>30</v>
      </c>
      <c r="C67">
        <f t="shared" si="6"/>
        <v>544500000</v>
      </c>
      <c r="D67">
        <f t="shared" si="3"/>
        <v>93.204382060938045</v>
      </c>
      <c r="E67">
        <f t="shared" si="4"/>
        <v>61.224489795918366</v>
      </c>
      <c r="F67">
        <f t="shared" si="5"/>
        <v>0.61832333070168322</v>
      </c>
    </row>
    <row r="68" spans="1:6" x14ac:dyDescent="0.2">
      <c r="A68">
        <v>6000000</v>
      </c>
      <c r="B68">
        <v>31</v>
      </c>
      <c r="C68">
        <f t="shared" si="6"/>
        <v>550500000</v>
      </c>
      <c r="D68">
        <f t="shared" si="3"/>
        <v>94.231427593289979</v>
      </c>
      <c r="E68">
        <f t="shared" si="4"/>
        <v>63.265306122448983</v>
      </c>
      <c r="F68">
        <f t="shared" si="5"/>
        <v>0.63928344360681633</v>
      </c>
    </row>
    <row r="69" spans="1:6" x14ac:dyDescent="0.2">
      <c r="A69">
        <v>5000000</v>
      </c>
      <c r="B69">
        <v>32</v>
      </c>
      <c r="C69">
        <f t="shared" si="6"/>
        <v>555500000</v>
      </c>
      <c r="D69">
        <f t="shared" si="3"/>
        <v>95.08729887024991</v>
      </c>
      <c r="E69">
        <f t="shared" si="4"/>
        <v>65.306122448979593</v>
      </c>
      <c r="F69">
        <f t="shared" si="5"/>
        <v>0.5502029637599557</v>
      </c>
    </row>
    <row r="70" spans="1:6" x14ac:dyDescent="0.2">
      <c r="A70">
        <v>5000000</v>
      </c>
      <c r="B70">
        <v>33</v>
      </c>
      <c r="C70">
        <f t="shared" si="6"/>
        <v>560500000</v>
      </c>
      <c r="D70">
        <f t="shared" ref="D70:D86" si="7">(C70/C$86)*100</f>
        <v>95.943170147209855</v>
      </c>
      <c r="E70">
        <f t="shared" ref="E70:E86" si="8">(B70/B$86)*100</f>
        <v>67.346938775510196</v>
      </c>
      <c r="F70">
        <f t="shared" ref="F70:F86" si="9">(E70+E69)/2*(D70-D69)/100</f>
        <v>0.56766972451424935</v>
      </c>
    </row>
    <row r="71" spans="1:6" x14ac:dyDescent="0.2">
      <c r="A71">
        <v>5000000</v>
      </c>
      <c r="B71">
        <v>34</v>
      </c>
      <c r="C71">
        <f t="shared" si="6"/>
        <v>565500000</v>
      </c>
      <c r="D71">
        <f t="shared" si="7"/>
        <v>96.799041424169801</v>
      </c>
      <c r="E71">
        <f t="shared" si="8"/>
        <v>69.387755102040813</v>
      </c>
      <c r="F71">
        <f t="shared" si="9"/>
        <v>0.58513648526853401</v>
      </c>
    </row>
    <row r="72" spans="1:6" x14ac:dyDescent="0.2">
      <c r="A72">
        <v>3500000</v>
      </c>
      <c r="B72">
        <v>35</v>
      </c>
      <c r="C72">
        <f t="shared" si="6"/>
        <v>569000000</v>
      </c>
      <c r="D72">
        <f t="shared" si="7"/>
        <v>97.398151318041769</v>
      </c>
      <c r="E72">
        <f t="shared" si="8"/>
        <v>71.428571428571431</v>
      </c>
      <c r="F72">
        <f t="shared" si="9"/>
        <v>0.42182227221597801</v>
      </c>
    </row>
    <row r="73" spans="1:6" x14ac:dyDescent="0.2">
      <c r="A73">
        <v>3000000</v>
      </c>
      <c r="B73">
        <v>36</v>
      </c>
      <c r="C73">
        <f t="shared" si="6"/>
        <v>572000000</v>
      </c>
      <c r="D73">
        <f t="shared" si="7"/>
        <v>97.911674084217736</v>
      </c>
      <c r="E73">
        <f t="shared" si="8"/>
        <v>73.469387755102048</v>
      </c>
      <c r="F73">
        <f t="shared" si="9"/>
        <v>0.37204200406626198</v>
      </c>
    </row>
    <row r="74" spans="1:6" x14ac:dyDescent="0.2">
      <c r="A74">
        <v>2000000</v>
      </c>
      <c r="B74">
        <v>37</v>
      </c>
      <c r="C74">
        <f t="shared" si="6"/>
        <v>574000000</v>
      </c>
      <c r="D74">
        <f t="shared" si="7"/>
        <v>98.254022595001715</v>
      </c>
      <c r="E74">
        <f t="shared" si="8"/>
        <v>75.510204081632651</v>
      </c>
      <c r="F74">
        <f t="shared" si="9"/>
        <v>0.25501470701255513</v>
      </c>
    </row>
    <row r="75" spans="1:6" x14ac:dyDescent="0.2">
      <c r="A75">
        <v>1500000</v>
      </c>
      <c r="B75">
        <v>38</v>
      </c>
      <c r="C75">
        <f t="shared" si="6"/>
        <v>575500000</v>
      </c>
      <c r="D75">
        <f t="shared" si="7"/>
        <v>98.510783978089705</v>
      </c>
      <c r="E75">
        <f t="shared" si="8"/>
        <v>77.551020408163268</v>
      </c>
      <c r="F75">
        <f t="shared" si="9"/>
        <v>0.19650105848570715</v>
      </c>
    </row>
    <row r="76" spans="1:6" x14ac:dyDescent="0.2">
      <c r="A76">
        <v>1500000</v>
      </c>
      <c r="B76">
        <v>39</v>
      </c>
      <c r="C76">
        <f t="shared" si="6"/>
        <v>577000000</v>
      </c>
      <c r="D76">
        <f t="shared" si="7"/>
        <v>98.767545361177682</v>
      </c>
      <c r="E76">
        <f t="shared" si="8"/>
        <v>79.591836734693871</v>
      </c>
      <c r="F76">
        <f t="shared" si="9"/>
        <v>0.20174108671198152</v>
      </c>
    </row>
    <row r="77" spans="1:6" x14ac:dyDescent="0.2">
      <c r="A77">
        <v>1500000</v>
      </c>
      <c r="B77">
        <v>40</v>
      </c>
      <c r="C77">
        <f t="shared" si="6"/>
        <v>578500000</v>
      </c>
      <c r="D77">
        <f t="shared" si="7"/>
        <v>99.024306744265672</v>
      </c>
      <c r="E77">
        <f t="shared" si="8"/>
        <v>81.632653061224488</v>
      </c>
      <c r="F77">
        <f t="shared" si="9"/>
        <v>0.2069811149382782</v>
      </c>
    </row>
    <row r="78" spans="1:6" x14ac:dyDescent="0.2">
      <c r="A78">
        <v>1500000</v>
      </c>
      <c r="B78">
        <v>41</v>
      </c>
      <c r="C78">
        <f t="shared" si="6"/>
        <v>580000000</v>
      </c>
      <c r="D78">
        <f t="shared" si="7"/>
        <v>99.281068127353649</v>
      </c>
      <c r="E78">
        <f t="shared" si="8"/>
        <v>83.673469387755105</v>
      </c>
      <c r="F78">
        <f t="shared" si="9"/>
        <v>0.21222114316455198</v>
      </c>
    </row>
    <row r="79" spans="1:6" x14ac:dyDescent="0.2">
      <c r="A79">
        <v>1000000</v>
      </c>
      <c r="B79">
        <v>42</v>
      </c>
      <c r="C79">
        <f t="shared" si="6"/>
        <v>581000000</v>
      </c>
      <c r="D79">
        <f t="shared" si="7"/>
        <v>99.452242382745638</v>
      </c>
      <c r="E79">
        <f t="shared" si="8"/>
        <v>85.714285714285708</v>
      </c>
      <c r="F79">
        <f t="shared" si="9"/>
        <v>0.14497411426056217</v>
      </c>
    </row>
    <row r="80" spans="1:6" x14ac:dyDescent="0.2">
      <c r="A80">
        <v>1000000</v>
      </c>
      <c r="B80">
        <v>43</v>
      </c>
      <c r="C80">
        <f t="shared" si="6"/>
        <v>582000000</v>
      </c>
      <c r="D80">
        <f t="shared" si="7"/>
        <v>99.623416638137627</v>
      </c>
      <c r="E80">
        <f t="shared" si="8"/>
        <v>87.755102040816325</v>
      </c>
      <c r="F80">
        <f t="shared" si="9"/>
        <v>0.14846746641141906</v>
      </c>
    </row>
    <row r="81" spans="1:6" x14ac:dyDescent="0.2">
      <c r="A81">
        <v>750000</v>
      </c>
      <c r="B81">
        <v>44</v>
      </c>
      <c r="C81">
        <f t="shared" si="6"/>
        <v>582750000</v>
      </c>
      <c r="D81">
        <f t="shared" si="7"/>
        <v>99.751797329681608</v>
      </c>
      <c r="E81">
        <f t="shared" si="8"/>
        <v>89.795918367346943</v>
      </c>
      <c r="F81">
        <f t="shared" si="9"/>
        <v>0.11397061392169752</v>
      </c>
    </row>
    <row r="82" spans="1:6" x14ac:dyDescent="0.2">
      <c r="A82">
        <v>500000</v>
      </c>
      <c r="B82">
        <v>45</v>
      </c>
      <c r="C82">
        <f t="shared" si="6"/>
        <v>583250000</v>
      </c>
      <c r="D82">
        <f t="shared" si="7"/>
        <v>99.83738445737761</v>
      </c>
      <c r="E82">
        <f t="shared" si="8"/>
        <v>91.83673469387756</v>
      </c>
      <c r="F82">
        <f t="shared" si="9"/>
        <v>7.7727085356572925E-2</v>
      </c>
    </row>
    <row r="83" spans="1:6" x14ac:dyDescent="0.2">
      <c r="A83">
        <v>250000</v>
      </c>
      <c r="B83">
        <v>46</v>
      </c>
      <c r="C83">
        <f t="shared" si="6"/>
        <v>583500000</v>
      </c>
      <c r="D83">
        <f t="shared" si="7"/>
        <v>99.880178021225603</v>
      </c>
      <c r="E83">
        <f t="shared" si="8"/>
        <v>93.877551020408163</v>
      </c>
      <c r="F83">
        <f t="shared" si="9"/>
        <v>3.9736880715994162E-2</v>
      </c>
    </row>
    <row r="84" spans="1:6" x14ac:dyDescent="0.2">
      <c r="A84">
        <v>250000</v>
      </c>
      <c r="B84">
        <v>47</v>
      </c>
      <c r="C84">
        <f t="shared" si="6"/>
        <v>583750000</v>
      </c>
      <c r="D84">
        <f t="shared" si="7"/>
        <v>99.922971585073611</v>
      </c>
      <c r="E84">
        <f t="shared" si="8"/>
        <v>95.918367346938766</v>
      </c>
      <c r="F84">
        <f t="shared" si="9"/>
        <v>4.0610218753721804E-2</v>
      </c>
    </row>
    <row r="85" spans="1:6" x14ac:dyDescent="0.2">
      <c r="A85">
        <v>250000</v>
      </c>
      <c r="B85">
        <v>48</v>
      </c>
      <c r="C85">
        <f t="shared" si="6"/>
        <v>584000000</v>
      </c>
      <c r="D85">
        <f t="shared" si="7"/>
        <v>99.965765148921605</v>
      </c>
      <c r="E85">
        <f t="shared" si="8"/>
        <v>97.959183673469383</v>
      </c>
      <c r="F85">
        <f t="shared" si="9"/>
        <v>4.1483556791422467E-2</v>
      </c>
    </row>
    <row r="86" spans="1:6" x14ac:dyDescent="0.2">
      <c r="A86">
        <v>200000</v>
      </c>
      <c r="B86">
        <v>49</v>
      </c>
      <c r="C86">
        <f t="shared" si="6"/>
        <v>584200000</v>
      </c>
      <c r="D86">
        <f t="shared" si="7"/>
        <v>100</v>
      </c>
      <c r="E86">
        <f t="shared" si="8"/>
        <v>100</v>
      </c>
      <c r="F86">
        <f t="shared" si="9"/>
        <v>3.3885515863309304E-2</v>
      </c>
    </row>
    <row r="87" spans="1:6" x14ac:dyDescent="0.2">
      <c r="E87" t="s">
        <v>61</v>
      </c>
      <c r="F87">
        <f>SUM(F38:F86)</f>
        <v>24.455037064466325</v>
      </c>
    </row>
    <row r="88" spans="1:6" x14ac:dyDescent="0.2">
      <c r="E88" t="s">
        <v>56</v>
      </c>
      <c r="F88">
        <f>50-F87</f>
        <v>25.544962935533675</v>
      </c>
    </row>
    <row r="89" spans="1:6" x14ac:dyDescent="0.2">
      <c r="E89" t="s">
        <v>49</v>
      </c>
      <c r="F89">
        <f>F88/50</f>
        <v>0.51089925871067354</v>
      </c>
    </row>
    <row r="90" spans="1:6" x14ac:dyDescent="0.2">
      <c r="A90" t="s">
        <v>62</v>
      </c>
    </row>
    <row r="91" spans="1:6" x14ac:dyDescent="0.2">
      <c r="A91" t="s">
        <v>48</v>
      </c>
      <c r="B91" t="s">
        <v>46</v>
      </c>
      <c r="C91" t="s">
        <v>47</v>
      </c>
      <c r="D91" t="s">
        <v>51</v>
      </c>
      <c r="E91" t="s">
        <v>50</v>
      </c>
      <c r="F91" t="s">
        <v>100</v>
      </c>
    </row>
    <row r="92" spans="1:6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">
      <c r="A93">
        <v>45000000</v>
      </c>
      <c r="B93">
        <v>1</v>
      </c>
      <c r="C93">
        <f>A93</f>
        <v>45000000</v>
      </c>
      <c r="D93">
        <f t="shared" ref="D93:D127" si="10">(C93/C$127)*100</f>
        <v>11.1787355607999</v>
      </c>
      <c r="E93">
        <f t="shared" ref="E93:E127" si="11">(B93/B$127)*100</f>
        <v>2.8571428571428572</v>
      </c>
      <c r="F93">
        <f t="shared" ref="F93:F127" si="12">(E93+E92)/2*(D93-D92)/100</f>
        <v>0.15969622229714145</v>
      </c>
    </row>
    <row r="94" spans="1:6" x14ac:dyDescent="0.2">
      <c r="A94">
        <v>40000000</v>
      </c>
      <c r="B94">
        <v>2</v>
      </c>
      <c r="C94">
        <f t="shared" ref="C94:C127" si="13">C93+A94</f>
        <v>85000000</v>
      </c>
      <c r="D94">
        <f t="shared" si="10"/>
        <v>21.115389392622035</v>
      </c>
      <c r="E94">
        <f t="shared" si="11"/>
        <v>5.7142857142857144</v>
      </c>
      <c r="F94">
        <f t="shared" si="12"/>
        <v>0.4258565927923772</v>
      </c>
    </row>
    <row r="95" spans="1:6" x14ac:dyDescent="0.2">
      <c r="A95">
        <v>40000000</v>
      </c>
      <c r="B95">
        <v>3</v>
      </c>
      <c r="C95">
        <f t="shared" si="13"/>
        <v>125000000</v>
      </c>
      <c r="D95">
        <f t="shared" si="10"/>
        <v>31.052043224444169</v>
      </c>
      <c r="E95">
        <f t="shared" si="11"/>
        <v>8.5714285714285712</v>
      </c>
      <c r="F95">
        <f t="shared" si="12"/>
        <v>0.70976098798729526</v>
      </c>
    </row>
    <row r="96" spans="1:6" x14ac:dyDescent="0.2">
      <c r="A96">
        <v>23000000</v>
      </c>
      <c r="B96">
        <v>4</v>
      </c>
      <c r="C96">
        <f t="shared" si="13"/>
        <v>148000000</v>
      </c>
      <c r="D96">
        <f t="shared" si="10"/>
        <v>36.76561917774189</v>
      </c>
      <c r="E96">
        <f t="shared" si="11"/>
        <v>11.428571428571429</v>
      </c>
      <c r="F96">
        <f t="shared" si="12"/>
        <v>0.57135759532977204</v>
      </c>
    </row>
    <row r="97" spans="1:6" x14ac:dyDescent="0.2">
      <c r="A97">
        <v>18000000</v>
      </c>
      <c r="B97">
        <v>5</v>
      </c>
      <c r="C97">
        <f t="shared" si="13"/>
        <v>166000000</v>
      </c>
      <c r="D97">
        <f t="shared" si="10"/>
        <v>41.237113402061851</v>
      </c>
      <c r="E97">
        <f t="shared" si="11"/>
        <v>14.285714285714285</v>
      </c>
      <c r="F97">
        <f t="shared" si="12"/>
        <v>0.57490640026970941</v>
      </c>
    </row>
    <row r="98" spans="1:6" x14ac:dyDescent="0.2">
      <c r="A98">
        <v>17000000</v>
      </c>
      <c r="B98">
        <v>6</v>
      </c>
      <c r="C98">
        <f t="shared" si="13"/>
        <v>183000000</v>
      </c>
      <c r="D98">
        <f t="shared" si="10"/>
        <v>45.460191280586265</v>
      </c>
      <c r="E98">
        <f t="shared" si="11"/>
        <v>17.142857142857142</v>
      </c>
      <c r="F98">
        <f t="shared" si="12"/>
        <v>0.66362652376812226</v>
      </c>
    </row>
    <row r="99" spans="1:6" x14ac:dyDescent="0.2">
      <c r="A99">
        <v>17000000</v>
      </c>
      <c r="B99">
        <v>7</v>
      </c>
      <c r="C99">
        <f t="shared" si="13"/>
        <v>200000000</v>
      </c>
      <c r="D99">
        <f t="shared" si="10"/>
        <v>49.683269159110672</v>
      </c>
      <c r="E99">
        <f t="shared" si="11"/>
        <v>20</v>
      </c>
      <c r="F99">
        <f t="shared" si="12"/>
        <v>0.78428589172596119</v>
      </c>
    </row>
    <row r="100" spans="1:6" x14ac:dyDescent="0.2">
      <c r="A100">
        <v>17000000</v>
      </c>
      <c r="B100">
        <v>8</v>
      </c>
      <c r="C100">
        <f t="shared" si="13"/>
        <v>217000000</v>
      </c>
      <c r="D100">
        <f t="shared" si="10"/>
        <v>53.906347037635072</v>
      </c>
      <c r="E100">
        <f t="shared" si="11"/>
        <v>22.857142857142858</v>
      </c>
      <c r="F100">
        <f t="shared" si="12"/>
        <v>0.90494525968380002</v>
      </c>
    </row>
    <row r="101" spans="1:6" x14ac:dyDescent="0.2">
      <c r="A101">
        <v>16000000</v>
      </c>
      <c r="B101">
        <v>9</v>
      </c>
      <c r="C101">
        <f t="shared" si="13"/>
        <v>233000000</v>
      </c>
      <c r="D101">
        <f t="shared" si="10"/>
        <v>57.881008570363932</v>
      </c>
      <c r="E101">
        <f t="shared" si="11"/>
        <v>25.714285714285712</v>
      </c>
      <c r="F101">
        <f t="shared" si="12"/>
        <v>0.96527494366272293</v>
      </c>
    </row>
    <row r="102" spans="1:6" x14ac:dyDescent="0.2">
      <c r="A102">
        <v>16000000</v>
      </c>
      <c r="B102">
        <v>10</v>
      </c>
      <c r="C102">
        <f t="shared" si="13"/>
        <v>249000000</v>
      </c>
      <c r="D102">
        <f t="shared" si="10"/>
        <v>61.855670103092784</v>
      </c>
      <c r="E102">
        <f t="shared" si="11"/>
        <v>28.571428571428569</v>
      </c>
      <c r="F102">
        <f t="shared" si="12"/>
        <v>1.0788367017406884</v>
      </c>
    </row>
    <row r="103" spans="1:6" x14ac:dyDescent="0.2">
      <c r="A103">
        <v>16000000</v>
      </c>
      <c r="B103">
        <v>11</v>
      </c>
      <c r="C103">
        <f t="shared" si="13"/>
        <v>265000000</v>
      </c>
      <c r="D103">
        <f t="shared" si="10"/>
        <v>65.830331635821636</v>
      </c>
      <c r="E103">
        <f t="shared" si="11"/>
        <v>31.428571428571427</v>
      </c>
      <c r="F103">
        <f t="shared" si="12"/>
        <v>1.1923984598186557</v>
      </c>
    </row>
    <row r="104" spans="1:6" x14ac:dyDescent="0.2">
      <c r="A104">
        <v>15000000</v>
      </c>
      <c r="B104">
        <v>12</v>
      </c>
      <c r="C104">
        <f t="shared" si="13"/>
        <v>280000000</v>
      </c>
      <c r="D104">
        <f t="shared" si="10"/>
        <v>69.556576822754934</v>
      </c>
      <c r="E104">
        <f t="shared" si="11"/>
        <v>34.285714285714285</v>
      </c>
      <c r="F104">
        <f t="shared" si="12"/>
        <v>1.2243377042780834</v>
      </c>
    </row>
    <row r="105" spans="1:6" x14ac:dyDescent="0.2">
      <c r="A105">
        <v>14000000</v>
      </c>
      <c r="B105">
        <v>13</v>
      </c>
      <c r="C105">
        <f t="shared" si="13"/>
        <v>294000000</v>
      </c>
      <c r="D105">
        <f t="shared" si="10"/>
        <v>73.034405663892684</v>
      </c>
      <c r="E105">
        <f t="shared" si="11"/>
        <v>37.142857142857146</v>
      </c>
      <c r="F105">
        <f t="shared" si="12"/>
        <v>1.2420817289777681</v>
      </c>
    </row>
    <row r="106" spans="1:6" x14ac:dyDescent="0.2">
      <c r="A106">
        <v>14000000</v>
      </c>
      <c r="B106">
        <v>14</v>
      </c>
      <c r="C106">
        <f t="shared" si="13"/>
        <v>308000000</v>
      </c>
      <c r="D106">
        <f t="shared" si="10"/>
        <v>76.512234505030435</v>
      </c>
      <c r="E106">
        <f t="shared" si="11"/>
        <v>40</v>
      </c>
      <c r="F106">
        <f t="shared" si="12"/>
        <v>1.3414482672959891</v>
      </c>
    </row>
    <row r="107" spans="1:6" x14ac:dyDescent="0.2">
      <c r="A107">
        <v>13000000</v>
      </c>
      <c r="B107">
        <v>15</v>
      </c>
      <c r="C107">
        <f t="shared" si="13"/>
        <v>321000000</v>
      </c>
      <c r="D107">
        <f t="shared" si="10"/>
        <v>79.741647000372623</v>
      </c>
      <c r="E107">
        <f t="shared" si="11"/>
        <v>42.857142857142854</v>
      </c>
      <c r="F107">
        <f t="shared" si="12"/>
        <v>1.3378994623560496</v>
      </c>
    </row>
    <row r="108" spans="1:6" x14ac:dyDescent="0.2">
      <c r="A108">
        <v>12000000</v>
      </c>
      <c r="B108">
        <v>16</v>
      </c>
      <c r="C108">
        <f t="shared" si="13"/>
        <v>333000000</v>
      </c>
      <c r="D108">
        <f t="shared" si="10"/>
        <v>82.722643149919264</v>
      </c>
      <c r="E108">
        <f t="shared" si="11"/>
        <v>45.714285714285715</v>
      </c>
      <c r="F108">
        <f t="shared" si="12"/>
        <v>1.3201554376563696</v>
      </c>
    </row>
    <row r="109" spans="1:6" x14ac:dyDescent="0.2">
      <c r="A109">
        <v>10000000</v>
      </c>
      <c r="B109">
        <v>17</v>
      </c>
      <c r="C109">
        <f t="shared" si="13"/>
        <v>343000000</v>
      </c>
      <c r="D109">
        <f t="shared" si="10"/>
        <v>85.206806607874796</v>
      </c>
      <c r="E109">
        <f t="shared" si="11"/>
        <v>48.571428571428569</v>
      </c>
      <c r="F109">
        <f t="shared" si="12"/>
        <v>1.1711056301790363</v>
      </c>
    </row>
    <row r="110" spans="1:6" x14ac:dyDescent="0.2">
      <c r="A110">
        <v>8500000</v>
      </c>
      <c r="B110">
        <v>18</v>
      </c>
      <c r="C110">
        <f t="shared" si="13"/>
        <v>351500000</v>
      </c>
      <c r="D110">
        <f t="shared" si="10"/>
        <v>87.318345547137</v>
      </c>
      <c r="E110">
        <f t="shared" si="11"/>
        <v>51.428571428571423</v>
      </c>
      <c r="F110">
        <f t="shared" si="12"/>
        <v>1.0557694696311017</v>
      </c>
    </row>
    <row r="111" spans="1:6" x14ac:dyDescent="0.2">
      <c r="A111">
        <v>8000000</v>
      </c>
      <c r="B111">
        <v>19</v>
      </c>
      <c r="C111">
        <f t="shared" si="13"/>
        <v>359500000</v>
      </c>
      <c r="D111">
        <f t="shared" si="10"/>
        <v>89.305676313501422</v>
      </c>
      <c r="E111">
        <f t="shared" si="11"/>
        <v>54.285714285714285</v>
      </c>
      <c r="F111">
        <f t="shared" si="12"/>
        <v>1.0504462622211947</v>
      </c>
    </row>
    <row r="112" spans="1:6" x14ac:dyDescent="0.2">
      <c r="A112">
        <v>7500000</v>
      </c>
      <c r="B112">
        <v>20</v>
      </c>
      <c r="C112">
        <f t="shared" si="13"/>
        <v>367000000</v>
      </c>
      <c r="D112">
        <f t="shared" si="10"/>
        <v>91.168798906968078</v>
      </c>
      <c r="E112">
        <f t="shared" si="11"/>
        <v>57.142857142857139</v>
      </c>
      <c r="F112">
        <f t="shared" si="12"/>
        <v>1.0380254449314226</v>
      </c>
    </row>
    <row r="113" spans="1:6" x14ac:dyDescent="0.2">
      <c r="A113">
        <v>6000000</v>
      </c>
      <c r="B113">
        <v>21</v>
      </c>
      <c r="C113">
        <f t="shared" si="13"/>
        <v>373000000</v>
      </c>
      <c r="D113">
        <f t="shared" si="10"/>
        <v>92.659296981741406</v>
      </c>
      <c r="E113">
        <f t="shared" si="11"/>
        <v>60</v>
      </c>
      <c r="F113">
        <f t="shared" si="12"/>
        <v>0.8730060152243776</v>
      </c>
    </row>
    <row r="114" spans="1:6" x14ac:dyDescent="0.2">
      <c r="A114">
        <v>5000000</v>
      </c>
      <c r="B114">
        <v>22</v>
      </c>
      <c r="C114">
        <f t="shared" si="13"/>
        <v>378000000</v>
      </c>
      <c r="D114">
        <f t="shared" si="10"/>
        <v>93.901378710719158</v>
      </c>
      <c r="E114">
        <f t="shared" si="11"/>
        <v>62.857142857142854</v>
      </c>
      <c r="F114">
        <f t="shared" si="12"/>
        <v>0.76299306208633322</v>
      </c>
    </row>
    <row r="115" spans="1:6" x14ac:dyDescent="0.2">
      <c r="A115">
        <v>4000000</v>
      </c>
      <c r="B115">
        <v>23</v>
      </c>
      <c r="C115">
        <f t="shared" si="13"/>
        <v>382000000</v>
      </c>
      <c r="D115">
        <f t="shared" si="10"/>
        <v>94.895044093901376</v>
      </c>
      <c r="E115">
        <f t="shared" si="11"/>
        <v>65.714285714285708</v>
      </c>
      <c r="F115">
        <f t="shared" si="12"/>
        <v>0.63878488918856891</v>
      </c>
    </row>
    <row r="116" spans="1:6" x14ac:dyDescent="0.2">
      <c r="A116">
        <v>4000000</v>
      </c>
      <c r="B116">
        <v>24</v>
      </c>
      <c r="C116">
        <f t="shared" si="13"/>
        <v>386000000</v>
      </c>
      <c r="D116">
        <f t="shared" si="10"/>
        <v>95.888709477083594</v>
      </c>
      <c r="E116">
        <f t="shared" si="11"/>
        <v>68.571428571428569</v>
      </c>
      <c r="F116">
        <f t="shared" si="12"/>
        <v>0.66717532870806096</v>
      </c>
    </row>
    <row r="117" spans="1:6" x14ac:dyDescent="0.2">
      <c r="A117">
        <v>3500000</v>
      </c>
      <c r="B117">
        <v>25</v>
      </c>
      <c r="C117">
        <f t="shared" si="13"/>
        <v>389500000</v>
      </c>
      <c r="D117">
        <f t="shared" si="10"/>
        <v>96.758166687368032</v>
      </c>
      <c r="E117">
        <f t="shared" si="11"/>
        <v>71.428571428571431</v>
      </c>
      <c r="F117">
        <f t="shared" si="12"/>
        <v>0.60862004719910634</v>
      </c>
    </row>
    <row r="118" spans="1:6" x14ac:dyDescent="0.2">
      <c r="A118">
        <v>2800000</v>
      </c>
      <c r="B118">
        <v>26</v>
      </c>
      <c r="C118">
        <f t="shared" si="13"/>
        <v>392300000</v>
      </c>
      <c r="D118">
        <f t="shared" si="10"/>
        <v>97.453732455595571</v>
      </c>
      <c r="E118">
        <f t="shared" si="11"/>
        <v>74.285714285714292</v>
      </c>
      <c r="F118">
        <f t="shared" si="12"/>
        <v>0.50676934542292107</v>
      </c>
    </row>
    <row r="119" spans="1:6" x14ac:dyDescent="0.2">
      <c r="A119">
        <v>2500000</v>
      </c>
      <c r="B119">
        <v>27</v>
      </c>
      <c r="C119">
        <f t="shared" si="13"/>
        <v>394800000</v>
      </c>
      <c r="D119">
        <f t="shared" si="10"/>
        <v>98.074773320084461</v>
      </c>
      <c r="E119">
        <f t="shared" si="11"/>
        <v>77.142857142857153</v>
      </c>
      <c r="F119">
        <f t="shared" si="12"/>
        <v>0.47021665454158823</v>
      </c>
    </row>
    <row r="120" spans="1:6" x14ac:dyDescent="0.2">
      <c r="A120">
        <v>1500000</v>
      </c>
      <c r="B120">
        <v>28</v>
      </c>
      <c r="C120">
        <f t="shared" si="13"/>
        <v>396300000</v>
      </c>
      <c r="D120">
        <f t="shared" si="10"/>
        <v>98.447397838777789</v>
      </c>
      <c r="E120">
        <f t="shared" si="11"/>
        <v>80</v>
      </c>
      <c r="F120">
        <f t="shared" si="12"/>
        <v>0.29277640754475803</v>
      </c>
    </row>
    <row r="121" spans="1:6" x14ac:dyDescent="0.2">
      <c r="A121">
        <v>1500000</v>
      </c>
      <c r="B121">
        <v>29</v>
      </c>
      <c r="C121">
        <f t="shared" si="13"/>
        <v>397800000</v>
      </c>
      <c r="D121">
        <f t="shared" si="10"/>
        <v>98.820022357471132</v>
      </c>
      <c r="E121">
        <f t="shared" si="11"/>
        <v>82.857142857142861</v>
      </c>
      <c r="F121">
        <f t="shared" si="12"/>
        <v>0.30342282236457896</v>
      </c>
    </row>
    <row r="122" spans="1:6" x14ac:dyDescent="0.2">
      <c r="A122">
        <v>1000000</v>
      </c>
      <c r="B122">
        <v>30</v>
      </c>
      <c r="C122">
        <f t="shared" si="13"/>
        <v>398800000</v>
      </c>
      <c r="D122">
        <f t="shared" si="10"/>
        <v>99.068438703266665</v>
      </c>
      <c r="E122">
        <f t="shared" si="11"/>
        <v>85.714285714285708</v>
      </c>
      <c r="F122">
        <f t="shared" si="12"/>
        <v>0.20937949145623516</v>
      </c>
    </row>
    <row r="123" spans="1:6" x14ac:dyDescent="0.2">
      <c r="A123">
        <v>1000000</v>
      </c>
      <c r="B123">
        <v>31</v>
      </c>
      <c r="C123">
        <f t="shared" si="13"/>
        <v>399800000</v>
      </c>
      <c r="D123">
        <f t="shared" si="10"/>
        <v>99.316855049062227</v>
      </c>
      <c r="E123">
        <f t="shared" si="11"/>
        <v>88.571428571428569</v>
      </c>
      <c r="F123">
        <f t="shared" si="12"/>
        <v>0.21647710133613235</v>
      </c>
    </row>
    <row r="124" spans="1:6" x14ac:dyDescent="0.2">
      <c r="A124">
        <v>1000000</v>
      </c>
      <c r="B124">
        <v>32</v>
      </c>
      <c r="C124">
        <f t="shared" si="13"/>
        <v>400800000</v>
      </c>
      <c r="D124">
        <f t="shared" si="10"/>
        <v>99.565271394857774</v>
      </c>
      <c r="E124">
        <f t="shared" si="11"/>
        <v>91.428571428571431</v>
      </c>
      <c r="F124">
        <f t="shared" si="12"/>
        <v>0.22357471121599276</v>
      </c>
    </row>
    <row r="125" spans="1:6" x14ac:dyDescent="0.2">
      <c r="A125">
        <v>1000000</v>
      </c>
      <c r="B125">
        <v>33</v>
      </c>
      <c r="C125">
        <f t="shared" si="13"/>
        <v>401800000</v>
      </c>
      <c r="D125">
        <f t="shared" si="10"/>
        <v>99.813687740653336</v>
      </c>
      <c r="E125">
        <f t="shared" si="11"/>
        <v>94.285714285714278</v>
      </c>
      <c r="F125">
        <f t="shared" si="12"/>
        <v>0.23067232109587874</v>
      </c>
    </row>
    <row r="126" spans="1:6" x14ac:dyDescent="0.2">
      <c r="A126">
        <v>500000</v>
      </c>
      <c r="B126">
        <v>34</v>
      </c>
      <c r="C126">
        <f t="shared" si="13"/>
        <v>402300000</v>
      </c>
      <c r="D126">
        <f t="shared" si="10"/>
        <v>99.937895913551117</v>
      </c>
      <c r="E126">
        <f t="shared" si="11"/>
        <v>97.142857142857139</v>
      </c>
      <c r="F126">
        <f t="shared" si="12"/>
        <v>0.11888496548787594</v>
      </c>
    </row>
    <row r="127" spans="1:6" x14ac:dyDescent="0.2">
      <c r="A127">
        <v>250000</v>
      </c>
      <c r="B127">
        <v>35</v>
      </c>
      <c r="C127">
        <f t="shared" si="13"/>
        <v>402550000</v>
      </c>
      <c r="D127">
        <f t="shared" si="10"/>
        <v>100</v>
      </c>
      <c r="E127">
        <f t="shared" si="11"/>
        <v>100</v>
      </c>
      <c r="F127">
        <f t="shared" si="12"/>
        <v>6.1216885213899272E-2</v>
      </c>
    </row>
    <row r="128" spans="1:6" x14ac:dyDescent="0.2">
      <c r="E128" t="s">
        <v>63</v>
      </c>
      <c r="F128">
        <f>SUM(F93:F127)</f>
        <v>24.99618503468956</v>
      </c>
    </row>
    <row r="129" spans="1:6" x14ac:dyDescent="0.2">
      <c r="E129" t="s">
        <v>56</v>
      </c>
      <c r="F129">
        <f>50-F128</f>
        <v>25.00381496531044</v>
      </c>
    </row>
    <row r="130" spans="1:6" x14ac:dyDescent="0.2">
      <c r="E130" t="s">
        <v>64</v>
      </c>
      <c r="F130">
        <f>F129/50</f>
        <v>0.50007629930620878</v>
      </c>
    </row>
    <row r="131" spans="1:6" x14ac:dyDescent="0.2">
      <c r="A131" t="s">
        <v>65</v>
      </c>
    </row>
    <row r="132" spans="1:6" x14ac:dyDescent="0.2">
      <c r="A132" t="s">
        <v>48</v>
      </c>
      <c r="B132" t="s">
        <v>46</v>
      </c>
      <c r="C132" t="s">
        <v>47</v>
      </c>
      <c r="D132" t="s">
        <v>51</v>
      </c>
      <c r="E132" t="s">
        <v>50</v>
      </c>
      <c r="F132" t="s">
        <v>100</v>
      </c>
    </row>
    <row r="133" spans="1:6" x14ac:dyDescent="0.2">
      <c r="A133">
        <v>0</v>
      </c>
      <c r="B133">
        <v>0</v>
      </c>
      <c r="C133">
        <v>0</v>
      </c>
      <c r="D133">
        <v>0</v>
      </c>
      <c r="E133">
        <v>0</v>
      </c>
    </row>
    <row r="134" spans="1:6" x14ac:dyDescent="0.2">
      <c r="A134">
        <v>52000000</v>
      </c>
      <c r="B134">
        <v>1</v>
      </c>
      <c r="C134">
        <f>A134</f>
        <v>52000000</v>
      </c>
      <c r="D134">
        <f>(C134/C$163)*100</f>
        <v>16.468725257323833</v>
      </c>
      <c r="E134">
        <f>(B134/B$163)*100</f>
        <v>3.3333333333333335</v>
      </c>
      <c r="F134">
        <f>(E134+E133)/2*(D134-D133)/100</f>
        <v>0.27447875428873053</v>
      </c>
    </row>
    <row r="135" spans="1:6" x14ac:dyDescent="0.2">
      <c r="A135">
        <v>20000000</v>
      </c>
      <c r="B135">
        <v>2</v>
      </c>
      <c r="C135">
        <f>C134+A135</f>
        <v>72000000</v>
      </c>
      <c r="D135">
        <f t="shared" ref="D135:D163" si="14">(C135/C$163)*100</f>
        <v>22.802850356294538</v>
      </c>
      <c r="E135">
        <f t="shared" ref="E135:E163" si="15">(B135/B$163)*100</f>
        <v>6.666666666666667</v>
      </c>
      <c r="F135">
        <f t="shared" ref="F135:F163" si="16">(E135+E134)/2*(D135-D134)/100</f>
        <v>0.31670625494853527</v>
      </c>
    </row>
    <row r="136" spans="1:6" x14ac:dyDescent="0.2">
      <c r="A136">
        <v>19000000</v>
      </c>
      <c r="B136">
        <v>3</v>
      </c>
      <c r="C136">
        <f t="shared" ref="C136:C163" si="17">C135+A136</f>
        <v>91000000</v>
      </c>
      <c r="D136">
        <f t="shared" si="14"/>
        <v>28.820269200316705</v>
      </c>
      <c r="E136">
        <f t="shared" si="15"/>
        <v>10</v>
      </c>
      <c r="F136">
        <f t="shared" si="16"/>
        <v>0.50145157033518062</v>
      </c>
    </row>
    <row r="137" spans="1:6" x14ac:dyDescent="0.2">
      <c r="A137">
        <v>17000000</v>
      </c>
      <c r="B137">
        <v>4</v>
      </c>
      <c r="C137">
        <f t="shared" si="17"/>
        <v>108000000</v>
      </c>
      <c r="D137">
        <f t="shared" si="14"/>
        <v>34.204275534441805</v>
      </c>
      <c r="E137">
        <f t="shared" si="15"/>
        <v>13.333333333333334</v>
      </c>
      <c r="F137">
        <f t="shared" si="16"/>
        <v>0.62813407231459506</v>
      </c>
    </row>
    <row r="138" spans="1:6" x14ac:dyDescent="0.2">
      <c r="A138">
        <v>17000000</v>
      </c>
      <c r="B138">
        <v>5</v>
      </c>
      <c r="C138">
        <f t="shared" si="17"/>
        <v>125000000</v>
      </c>
      <c r="D138">
        <f t="shared" si="14"/>
        <v>39.588281868566902</v>
      </c>
      <c r="E138">
        <f t="shared" si="15"/>
        <v>16.666666666666664</v>
      </c>
      <c r="F138">
        <f t="shared" si="16"/>
        <v>0.80760095011876443</v>
      </c>
    </row>
    <row r="139" spans="1:6" x14ac:dyDescent="0.2">
      <c r="A139">
        <v>16000000</v>
      </c>
      <c r="B139">
        <v>6</v>
      </c>
      <c r="C139">
        <f t="shared" si="17"/>
        <v>141000000</v>
      </c>
      <c r="D139">
        <f t="shared" si="14"/>
        <v>44.655581947743464</v>
      </c>
      <c r="E139">
        <f t="shared" si="15"/>
        <v>20</v>
      </c>
      <c r="F139">
        <f t="shared" si="16"/>
        <v>0.92900501451570294</v>
      </c>
    </row>
    <row r="140" spans="1:6" x14ac:dyDescent="0.2">
      <c r="A140">
        <v>15000000</v>
      </c>
      <c r="B140">
        <v>7</v>
      </c>
      <c r="C140">
        <f t="shared" si="17"/>
        <v>156000000</v>
      </c>
      <c r="D140">
        <f t="shared" si="14"/>
        <v>49.406175771971498</v>
      </c>
      <c r="E140">
        <f t="shared" si="15"/>
        <v>23.333333333333332</v>
      </c>
      <c r="F140">
        <f t="shared" si="16"/>
        <v>1.0292953285827406</v>
      </c>
    </row>
    <row r="141" spans="1:6" x14ac:dyDescent="0.2">
      <c r="A141">
        <v>14000000</v>
      </c>
      <c r="B141">
        <v>8</v>
      </c>
      <c r="C141">
        <f t="shared" si="17"/>
        <v>170000000</v>
      </c>
      <c r="D141">
        <f t="shared" si="14"/>
        <v>53.840063341250989</v>
      </c>
      <c r="E141">
        <f t="shared" si="15"/>
        <v>26.666666666666668</v>
      </c>
      <c r="F141">
        <f t="shared" si="16"/>
        <v>1.1084718923198729</v>
      </c>
    </row>
    <row r="142" spans="1:6" x14ac:dyDescent="0.2">
      <c r="A142">
        <v>14000000</v>
      </c>
      <c r="B142">
        <v>9</v>
      </c>
      <c r="C142">
        <f t="shared" si="17"/>
        <v>184000000</v>
      </c>
      <c r="D142">
        <f t="shared" si="14"/>
        <v>58.27395091053048</v>
      </c>
      <c r="E142">
        <f t="shared" si="15"/>
        <v>30</v>
      </c>
      <c r="F142">
        <f t="shared" si="16"/>
        <v>1.2562681446291892</v>
      </c>
    </row>
    <row r="143" spans="1:6" x14ac:dyDescent="0.2">
      <c r="A143">
        <v>13000000</v>
      </c>
      <c r="B143">
        <v>10</v>
      </c>
      <c r="C143">
        <f t="shared" si="17"/>
        <v>197000000</v>
      </c>
      <c r="D143">
        <f t="shared" si="14"/>
        <v>62.391132224861444</v>
      </c>
      <c r="E143">
        <f t="shared" si="15"/>
        <v>33.333333333333329</v>
      </c>
      <c r="F143">
        <f t="shared" si="16"/>
        <v>1.3037740828714717</v>
      </c>
    </row>
    <row r="144" spans="1:6" x14ac:dyDescent="0.2">
      <c r="A144">
        <v>12000000</v>
      </c>
      <c r="B144">
        <v>11</v>
      </c>
      <c r="C144">
        <f t="shared" si="17"/>
        <v>209000000</v>
      </c>
      <c r="D144">
        <f t="shared" si="14"/>
        <v>66.191607284243858</v>
      </c>
      <c r="E144">
        <f t="shared" si="15"/>
        <v>36.666666666666664</v>
      </c>
      <c r="F144">
        <f t="shared" si="16"/>
        <v>1.3301662707838449</v>
      </c>
    </row>
    <row r="145" spans="1:6" x14ac:dyDescent="0.2">
      <c r="A145">
        <v>12000000</v>
      </c>
      <c r="B145">
        <v>12</v>
      </c>
      <c r="C145">
        <f t="shared" si="17"/>
        <v>221000000</v>
      </c>
      <c r="D145">
        <f t="shared" si="14"/>
        <v>69.992082343626279</v>
      </c>
      <c r="E145">
        <f t="shared" si="15"/>
        <v>40</v>
      </c>
      <c r="F145">
        <f t="shared" si="16"/>
        <v>1.4568487727632613</v>
      </c>
    </row>
    <row r="146" spans="1:6" x14ac:dyDescent="0.2">
      <c r="A146">
        <v>12000000</v>
      </c>
      <c r="B146">
        <v>13</v>
      </c>
      <c r="C146">
        <f t="shared" si="17"/>
        <v>233000000</v>
      </c>
      <c r="D146">
        <f t="shared" si="14"/>
        <v>73.792557403008701</v>
      </c>
      <c r="E146">
        <f t="shared" si="15"/>
        <v>43.333333333333336</v>
      </c>
      <c r="F146">
        <f t="shared" si="16"/>
        <v>1.5835312747426757</v>
      </c>
    </row>
    <row r="147" spans="1:6" x14ac:dyDescent="0.2">
      <c r="A147">
        <v>11000000</v>
      </c>
      <c r="B147">
        <v>14</v>
      </c>
      <c r="C147">
        <f t="shared" si="17"/>
        <v>244000000</v>
      </c>
      <c r="D147">
        <f t="shared" si="14"/>
        <v>77.276326207442594</v>
      </c>
      <c r="E147">
        <f t="shared" si="15"/>
        <v>46.666666666666664</v>
      </c>
      <c r="F147">
        <f t="shared" si="16"/>
        <v>1.5676959619952522</v>
      </c>
    </row>
    <row r="148" spans="1:6" x14ac:dyDescent="0.2">
      <c r="A148">
        <v>10000000</v>
      </c>
      <c r="B148">
        <v>15</v>
      </c>
      <c r="C148">
        <f t="shared" si="17"/>
        <v>254000000</v>
      </c>
      <c r="D148">
        <f t="shared" si="14"/>
        <v>80.443388756927945</v>
      </c>
      <c r="E148">
        <f t="shared" si="15"/>
        <v>50</v>
      </c>
      <c r="F148">
        <f t="shared" si="16"/>
        <v>1.5307468989179196</v>
      </c>
    </row>
    <row r="149" spans="1:6" x14ac:dyDescent="0.2">
      <c r="A149">
        <v>8500000</v>
      </c>
      <c r="B149">
        <v>16</v>
      </c>
      <c r="C149">
        <f t="shared" si="17"/>
        <v>262500000</v>
      </c>
      <c r="D149">
        <f t="shared" si="14"/>
        <v>83.135391923990497</v>
      </c>
      <c r="E149">
        <f t="shared" si="15"/>
        <v>53.333333333333336</v>
      </c>
      <c r="F149">
        <f t="shared" si="16"/>
        <v>1.3908683029823186</v>
      </c>
    </row>
    <row r="150" spans="1:6" x14ac:dyDescent="0.2">
      <c r="A150">
        <v>7500000</v>
      </c>
      <c r="B150">
        <v>17</v>
      </c>
      <c r="C150">
        <f t="shared" si="17"/>
        <v>270000000</v>
      </c>
      <c r="D150">
        <f t="shared" si="14"/>
        <v>85.510688836104507</v>
      </c>
      <c r="E150">
        <f t="shared" si="15"/>
        <v>56.666666666666664</v>
      </c>
      <c r="F150">
        <f t="shared" si="16"/>
        <v>1.3064133016627053</v>
      </c>
    </row>
    <row r="151" spans="1:6" x14ac:dyDescent="0.2">
      <c r="A151">
        <v>7000000</v>
      </c>
      <c r="B151">
        <v>18</v>
      </c>
      <c r="C151">
        <f t="shared" si="17"/>
        <v>277000000</v>
      </c>
      <c r="D151">
        <f t="shared" si="14"/>
        <v>87.727632620744259</v>
      </c>
      <c r="E151">
        <f t="shared" si="15"/>
        <v>60</v>
      </c>
      <c r="F151">
        <f t="shared" si="16"/>
        <v>1.2932172077065223</v>
      </c>
    </row>
    <row r="152" spans="1:6" x14ac:dyDescent="0.2">
      <c r="A152">
        <v>6000000</v>
      </c>
      <c r="B152">
        <v>19</v>
      </c>
      <c r="C152">
        <f t="shared" si="17"/>
        <v>283000000</v>
      </c>
      <c r="D152">
        <f t="shared" si="14"/>
        <v>89.62787015043547</v>
      </c>
      <c r="E152">
        <f t="shared" si="15"/>
        <v>63.333333333333329</v>
      </c>
      <c r="F152">
        <f t="shared" si="16"/>
        <v>1.17181314330958</v>
      </c>
    </row>
    <row r="153" spans="1:6" x14ac:dyDescent="0.2">
      <c r="A153">
        <v>6000000</v>
      </c>
      <c r="B153">
        <v>20</v>
      </c>
      <c r="C153">
        <f t="shared" si="17"/>
        <v>289000000</v>
      </c>
      <c r="D153">
        <f t="shared" si="14"/>
        <v>91.528107680126681</v>
      </c>
      <c r="E153">
        <f t="shared" si="15"/>
        <v>66.666666666666657</v>
      </c>
      <c r="F153">
        <f t="shared" si="16"/>
        <v>1.2351543942992869</v>
      </c>
    </row>
    <row r="154" spans="1:6" x14ac:dyDescent="0.2">
      <c r="A154">
        <v>5000000</v>
      </c>
      <c r="B154">
        <v>21</v>
      </c>
      <c r="C154">
        <f t="shared" si="17"/>
        <v>294000000</v>
      </c>
      <c r="D154">
        <f t="shared" si="14"/>
        <v>93.111638954869363</v>
      </c>
      <c r="E154">
        <f t="shared" si="15"/>
        <v>70</v>
      </c>
      <c r="F154">
        <f t="shared" si="16"/>
        <v>1.0820797044074997</v>
      </c>
    </row>
    <row r="155" spans="1:6" x14ac:dyDescent="0.2">
      <c r="A155">
        <v>5000000</v>
      </c>
      <c r="B155">
        <v>22</v>
      </c>
      <c r="C155">
        <f t="shared" si="17"/>
        <v>299000000</v>
      </c>
      <c r="D155">
        <f t="shared" si="14"/>
        <v>94.695170229612032</v>
      </c>
      <c r="E155">
        <f t="shared" si="15"/>
        <v>73.333333333333329</v>
      </c>
      <c r="F155">
        <f t="shared" si="16"/>
        <v>1.1348640802322456</v>
      </c>
    </row>
    <row r="156" spans="1:6" x14ac:dyDescent="0.2">
      <c r="A156">
        <v>4000000</v>
      </c>
      <c r="B156">
        <v>23</v>
      </c>
      <c r="C156">
        <f t="shared" si="17"/>
        <v>303000000</v>
      </c>
      <c r="D156">
        <f t="shared" si="14"/>
        <v>95.961995249406172</v>
      </c>
      <c r="E156">
        <f t="shared" si="15"/>
        <v>76.666666666666671</v>
      </c>
      <c r="F156">
        <f t="shared" si="16"/>
        <v>0.95011876484560531</v>
      </c>
    </row>
    <row r="157" spans="1:6" x14ac:dyDescent="0.2">
      <c r="A157">
        <v>4000000</v>
      </c>
      <c r="B157">
        <v>24</v>
      </c>
      <c r="C157">
        <f t="shared" si="17"/>
        <v>307000000</v>
      </c>
      <c r="D157">
        <f t="shared" si="14"/>
        <v>97.228820269200313</v>
      </c>
      <c r="E157">
        <f t="shared" si="15"/>
        <v>80</v>
      </c>
      <c r="F157">
        <f t="shared" si="16"/>
        <v>0.99234626550541005</v>
      </c>
    </row>
    <row r="158" spans="1:6" x14ac:dyDescent="0.2">
      <c r="A158">
        <v>2500000</v>
      </c>
      <c r="B158">
        <v>25</v>
      </c>
      <c r="C158">
        <f t="shared" si="17"/>
        <v>309500000</v>
      </c>
      <c r="D158">
        <f t="shared" si="14"/>
        <v>98.020585906571654</v>
      </c>
      <c r="E158">
        <f t="shared" si="15"/>
        <v>83.333333333333343</v>
      </c>
      <c r="F158">
        <f t="shared" si="16"/>
        <v>0.64660860385326213</v>
      </c>
    </row>
    <row r="159" spans="1:6" x14ac:dyDescent="0.2">
      <c r="A159">
        <v>2500000</v>
      </c>
      <c r="B159">
        <v>26</v>
      </c>
      <c r="C159">
        <f t="shared" si="17"/>
        <v>312000000</v>
      </c>
      <c r="D159">
        <f t="shared" si="14"/>
        <v>98.812351543942995</v>
      </c>
      <c r="E159">
        <f t="shared" si="15"/>
        <v>86.666666666666671</v>
      </c>
      <c r="F159">
        <f t="shared" si="16"/>
        <v>0.67300079176564009</v>
      </c>
    </row>
    <row r="160" spans="1:6" x14ac:dyDescent="0.2">
      <c r="A160">
        <v>1500000</v>
      </c>
      <c r="B160">
        <v>27</v>
      </c>
      <c r="C160">
        <f t="shared" si="17"/>
        <v>313500000</v>
      </c>
      <c r="D160">
        <f t="shared" si="14"/>
        <v>99.287410926365794</v>
      </c>
      <c r="E160">
        <f t="shared" si="15"/>
        <v>90</v>
      </c>
      <c r="F160">
        <f t="shared" si="16"/>
        <v>0.41963578780680594</v>
      </c>
    </row>
    <row r="161" spans="1:6" x14ac:dyDescent="0.2">
      <c r="A161">
        <v>1000000</v>
      </c>
      <c r="B161">
        <v>28</v>
      </c>
      <c r="C161">
        <f t="shared" si="17"/>
        <v>314500000</v>
      </c>
      <c r="D161">
        <f t="shared" si="14"/>
        <v>99.604117181314336</v>
      </c>
      <c r="E161">
        <f t="shared" si="15"/>
        <v>93.333333333333329</v>
      </c>
      <c r="F161">
        <f t="shared" si="16"/>
        <v>0.29031406703616364</v>
      </c>
    </row>
    <row r="162" spans="1:6" x14ac:dyDescent="0.2">
      <c r="A162">
        <v>750000</v>
      </c>
      <c r="B162">
        <v>29</v>
      </c>
      <c r="C162">
        <f t="shared" si="17"/>
        <v>315250000</v>
      </c>
      <c r="D162">
        <f t="shared" si="14"/>
        <v>99.841646872525729</v>
      </c>
      <c r="E162">
        <f t="shared" si="15"/>
        <v>96.666666666666671</v>
      </c>
      <c r="F162">
        <f t="shared" si="16"/>
        <v>0.22565320665082284</v>
      </c>
    </row>
    <row r="163" spans="1:6" x14ac:dyDescent="0.2">
      <c r="A163">
        <v>500000</v>
      </c>
      <c r="B163">
        <v>30</v>
      </c>
      <c r="C163">
        <f t="shared" si="17"/>
        <v>315750000</v>
      </c>
      <c r="D163">
        <f t="shared" si="14"/>
        <v>100</v>
      </c>
      <c r="E163">
        <f t="shared" si="15"/>
        <v>100</v>
      </c>
      <c r="F163">
        <f t="shared" si="16"/>
        <v>0.15571390868303328</v>
      </c>
    </row>
    <row r="164" spans="1:6" x14ac:dyDescent="0.2">
      <c r="E164" t="s">
        <v>76</v>
      </c>
      <c r="F164">
        <f>SUM(F134:F163)</f>
        <v>28.591976774874638</v>
      </c>
    </row>
    <row r="165" spans="1:6" x14ac:dyDescent="0.2">
      <c r="E165" t="s">
        <v>56</v>
      </c>
      <c r="F165">
        <f>50-F164</f>
        <v>21.408023225125362</v>
      </c>
    </row>
    <row r="166" spans="1:6" x14ac:dyDescent="0.2">
      <c r="E166" t="s">
        <v>64</v>
      </c>
      <c r="F166">
        <f>F165/50</f>
        <v>0.42816046450250722</v>
      </c>
    </row>
    <row r="170" spans="1:6" x14ac:dyDescent="0.2">
      <c r="A170" t="s">
        <v>69</v>
      </c>
    </row>
    <row r="171" spans="1:6" x14ac:dyDescent="0.2">
      <c r="A171" t="s">
        <v>77</v>
      </c>
      <c r="B171" t="s">
        <v>46</v>
      </c>
      <c r="C171" t="s">
        <v>47</v>
      </c>
      <c r="D171" t="s">
        <v>51</v>
      </c>
      <c r="E171" t="s">
        <v>50</v>
      </c>
      <c r="F171" t="s">
        <v>100</v>
      </c>
    </row>
    <row r="172" spans="1:6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">
      <c r="A173">
        <v>50000000</v>
      </c>
      <c r="B173">
        <v>1</v>
      </c>
      <c r="C173">
        <f>A173</f>
        <v>50000000</v>
      </c>
      <c r="D173">
        <f>(C173/C$209)*100</f>
        <v>12.961762799740765</v>
      </c>
      <c r="E173">
        <f>(B173/B$209)*100</f>
        <v>2.7027027027027026</v>
      </c>
      <c r="F173">
        <f>(E173+E172)/2*(D173-D172)/100</f>
        <v>0.17515895675325358</v>
      </c>
    </row>
    <row r="174" spans="1:6" x14ac:dyDescent="0.2">
      <c r="A174">
        <v>33000000</v>
      </c>
      <c r="B174">
        <v>2</v>
      </c>
      <c r="C174">
        <f>C173+A174</f>
        <v>83000000</v>
      </c>
      <c r="D174">
        <f t="shared" ref="D174:D209" si="18">(C174/C$209)*100</f>
        <v>21.516526247569669</v>
      </c>
      <c r="E174">
        <f t="shared" ref="E174:E209" si="19">(B174/B$209)*100</f>
        <v>5.4054054054054053</v>
      </c>
      <c r="F174">
        <f t="shared" ref="F174:F209" si="20">(E174+E173)/2*(D174-D173)/100</f>
        <v>0.34681473437144206</v>
      </c>
    </row>
    <row r="175" spans="1:6" x14ac:dyDescent="0.2">
      <c r="A175">
        <v>30000000</v>
      </c>
      <c r="B175">
        <v>3</v>
      </c>
      <c r="C175">
        <f t="shared" ref="C175:C209" si="21">C174+A175</f>
        <v>113000000</v>
      </c>
      <c r="D175">
        <f t="shared" si="18"/>
        <v>29.293583927414129</v>
      </c>
      <c r="E175">
        <f t="shared" si="19"/>
        <v>8.1081081081081088</v>
      </c>
      <c r="F175">
        <f t="shared" si="20"/>
        <v>0.52547687025976086</v>
      </c>
    </row>
    <row r="176" spans="1:6" x14ac:dyDescent="0.2">
      <c r="A176">
        <v>28000000</v>
      </c>
      <c r="B176">
        <v>4</v>
      </c>
      <c r="C176">
        <f t="shared" si="21"/>
        <v>141000000</v>
      </c>
      <c r="D176">
        <f t="shared" si="18"/>
        <v>36.552171095268953</v>
      </c>
      <c r="E176">
        <f t="shared" si="19"/>
        <v>10.810810810810811</v>
      </c>
      <c r="F176">
        <f t="shared" si="20"/>
        <v>0.68662311047275371</v>
      </c>
    </row>
    <row r="177" spans="1:6" x14ac:dyDescent="0.2">
      <c r="A177">
        <v>23000000</v>
      </c>
      <c r="B177">
        <v>5</v>
      </c>
      <c r="C177">
        <f t="shared" si="21"/>
        <v>164000000</v>
      </c>
      <c r="D177">
        <f t="shared" si="18"/>
        <v>42.514581983149711</v>
      </c>
      <c r="E177">
        <f t="shared" si="19"/>
        <v>13.513513513513514</v>
      </c>
      <c r="F177">
        <f t="shared" si="20"/>
        <v>0.72515808095847045</v>
      </c>
    </row>
    <row r="178" spans="1:6" x14ac:dyDescent="0.2">
      <c r="A178">
        <v>20000000</v>
      </c>
      <c r="B178">
        <v>6</v>
      </c>
      <c r="C178">
        <f t="shared" si="21"/>
        <v>184000000</v>
      </c>
      <c r="D178">
        <f t="shared" si="18"/>
        <v>47.699287103046011</v>
      </c>
      <c r="E178">
        <f t="shared" si="19"/>
        <v>16.216216216216218</v>
      </c>
      <c r="F178">
        <f t="shared" si="20"/>
        <v>0.77069940971431494</v>
      </c>
    </row>
    <row r="179" spans="1:6" x14ac:dyDescent="0.2">
      <c r="A179">
        <v>20000000</v>
      </c>
      <c r="B179">
        <v>7</v>
      </c>
      <c r="C179">
        <f t="shared" si="21"/>
        <v>204000000</v>
      </c>
      <c r="D179">
        <f t="shared" si="18"/>
        <v>52.883992222942325</v>
      </c>
      <c r="E179">
        <f t="shared" si="19"/>
        <v>18.918918918918919</v>
      </c>
      <c r="F179">
        <f t="shared" si="20"/>
        <v>0.91082657511692022</v>
      </c>
    </row>
    <row r="180" spans="1:6" x14ac:dyDescent="0.2">
      <c r="A180">
        <v>18000000</v>
      </c>
      <c r="B180">
        <v>8</v>
      </c>
      <c r="C180">
        <f t="shared" si="21"/>
        <v>222000000</v>
      </c>
      <c r="D180">
        <f t="shared" si="18"/>
        <v>57.550226830848992</v>
      </c>
      <c r="E180">
        <f t="shared" si="19"/>
        <v>21.621621621621621</v>
      </c>
      <c r="F180">
        <f t="shared" si="20"/>
        <v>0.9458583664675676</v>
      </c>
    </row>
    <row r="181" spans="1:6" x14ac:dyDescent="0.2">
      <c r="A181">
        <v>18000000</v>
      </c>
      <c r="B181">
        <v>9</v>
      </c>
      <c r="C181">
        <f t="shared" si="21"/>
        <v>240000000</v>
      </c>
      <c r="D181">
        <f t="shared" si="18"/>
        <v>62.216461438755665</v>
      </c>
      <c r="E181">
        <f t="shared" si="19"/>
        <v>24.324324324324326</v>
      </c>
      <c r="F181">
        <f t="shared" si="20"/>
        <v>1.0719728153299117</v>
      </c>
    </row>
    <row r="182" spans="1:6" x14ac:dyDescent="0.2">
      <c r="A182">
        <v>17000000</v>
      </c>
      <c r="B182">
        <v>10</v>
      </c>
      <c r="C182">
        <f t="shared" si="21"/>
        <v>257000000</v>
      </c>
      <c r="D182">
        <f t="shared" si="18"/>
        <v>66.623460790667536</v>
      </c>
      <c r="E182">
        <f t="shared" si="19"/>
        <v>27.027027027027028</v>
      </c>
      <c r="F182">
        <f t="shared" si="20"/>
        <v>1.1315268606260209</v>
      </c>
    </row>
    <row r="183" spans="1:6" x14ac:dyDescent="0.2">
      <c r="A183">
        <v>15000000</v>
      </c>
      <c r="B183">
        <v>11</v>
      </c>
      <c r="C183">
        <f t="shared" si="21"/>
        <v>272000000</v>
      </c>
      <c r="D183">
        <f t="shared" si="18"/>
        <v>70.511989630589753</v>
      </c>
      <c r="E183">
        <f t="shared" si="19"/>
        <v>29.72972972972973</v>
      </c>
      <c r="F183">
        <f t="shared" si="20"/>
        <v>1.1035014275454937</v>
      </c>
    </row>
    <row r="184" spans="1:6" x14ac:dyDescent="0.2">
      <c r="A184">
        <v>14000000</v>
      </c>
      <c r="B184">
        <v>12</v>
      </c>
      <c r="C184">
        <f t="shared" si="21"/>
        <v>286000000</v>
      </c>
      <c r="D184">
        <f t="shared" si="18"/>
        <v>74.141283214517173</v>
      </c>
      <c r="E184">
        <f t="shared" si="19"/>
        <v>32.432432432432435</v>
      </c>
      <c r="F184">
        <f t="shared" si="20"/>
        <v>1.1280236814909552</v>
      </c>
    </row>
    <row r="185" spans="1:6" x14ac:dyDescent="0.2">
      <c r="A185">
        <v>13000000</v>
      </c>
      <c r="B185">
        <v>13</v>
      </c>
      <c r="C185">
        <f t="shared" si="21"/>
        <v>299000000</v>
      </c>
      <c r="D185">
        <f t="shared" si="18"/>
        <v>77.51134154244977</v>
      </c>
      <c r="E185">
        <f t="shared" si="19"/>
        <v>35.135135135135137</v>
      </c>
      <c r="F185">
        <f t="shared" si="20"/>
        <v>1.1385332188961477</v>
      </c>
    </row>
    <row r="186" spans="1:6" x14ac:dyDescent="0.2">
      <c r="A186">
        <v>12000000</v>
      </c>
      <c r="B186">
        <v>14</v>
      </c>
      <c r="C186">
        <f t="shared" si="21"/>
        <v>311000000</v>
      </c>
      <c r="D186">
        <f t="shared" si="18"/>
        <v>80.622164614387557</v>
      </c>
      <c r="E186">
        <f t="shared" si="19"/>
        <v>37.837837837837839</v>
      </c>
      <c r="F186">
        <f t="shared" si="20"/>
        <v>1.1350300397610844</v>
      </c>
    </row>
    <row r="187" spans="1:6" x14ac:dyDescent="0.2">
      <c r="A187">
        <v>11000000</v>
      </c>
      <c r="B187">
        <v>15</v>
      </c>
      <c r="C187">
        <f t="shared" si="21"/>
        <v>322000000</v>
      </c>
      <c r="D187">
        <f t="shared" si="18"/>
        <v>83.473752430330535</v>
      </c>
      <c r="E187">
        <f t="shared" si="19"/>
        <v>40.54054054054054</v>
      </c>
      <c r="F187">
        <f t="shared" si="20"/>
        <v>1.1175141440857614</v>
      </c>
    </row>
    <row r="188" spans="1:6" x14ac:dyDescent="0.2">
      <c r="A188">
        <v>9000000</v>
      </c>
      <c r="B188">
        <v>16</v>
      </c>
      <c r="C188">
        <f t="shared" si="21"/>
        <v>331000000</v>
      </c>
      <c r="D188">
        <f t="shared" si="18"/>
        <v>85.806869734283865</v>
      </c>
      <c r="E188">
        <f t="shared" si="19"/>
        <v>43.243243243243242</v>
      </c>
      <c r="F188">
        <f t="shared" si="20"/>
        <v>0.97738697868315161</v>
      </c>
    </row>
    <row r="189" spans="1:6" x14ac:dyDescent="0.2">
      <c r="A189">
        <v>8000000</v>
      </c>
      <c r="B189">
        <v>17</v>
      </c>
      <c r="C189">
        <f t="shared" si="21"/>
        <v>339000000</v>
      </c>
      <c r="D189">
        <f t="shared" si="18"/>
        <v>87.880751782242385</v>
      </c>
      <c r="E189">
        <f t="shared" si="19"/>
        <v>45.945945945945951</v>
      </c>
      <c r="F189">
        <f t="shared" si="20"/>
        <v>0.92483929165717793</v>
      </c>
    </row>
    <row r="190" spans="1:6" x14ac:dyDescent="0.2">
      <c r="A190">
        <v>6000000</v>
      </c>
      <c r="B190">
        <v>18</v>
      </c>
      <c r="C190">
        <f t="shared" si="21"/>
        <v>345000000</v>
      </c>
      <c r="D190">
        <f t="shared" si="18"/>
        <v>89.436163318211285</v>
      </c>
      <c r="E190">
        <f t="shared" si="19"/>
        <v>48.648648648648653</v>
      </c>
      <c r="F190">
        <f t="shared" si="20"/>
        <v>0.73566761836366934</v>
      </c>
    </row>
    <row r="191" spans="1:6" x14ac:dyDescent="0.2">
      <c r="A191">
        <v>5000000</v>
      </c>
      <c r="B191">
        <v>19</v>
      </c>
      <c r="C191">
        <f t="shared" si="21"/>
        <v>350000000</v>
      </c>
      <c r="D191">
        <f t="shared" si="18"/>
        <v>90.732339598185348</v>
      </c>
      <c r="E191">
        <f t="shared" si="19"/>
        <v>51.351351351351347</v>
      </c>
      <c r="F191">
        <f t="shared" si="20"/>
        <v>0.6480881399870313</v>
      </c>
    </row>
    <row r="192" spans="1:6" x14ac:dyDescent="0.2">
      <c r="A192">
        <v>5000000</v>
      </c>
      <c r="B192">
        <v>20</v>
      </c>
      <c r="C192">
        <f t="shared" si="21"/>
        <v>355000000</v>
      </c>
      <c r="D192">
        <f t="shared" si="18"/>
        <v>92.028515878159439</v>
      </c>
      <c r="E192">
        <f t="shared" si="19"/>
        <v>54.054054054054056</v>
      </c>
      <c r="F192">
        <f t="shared" si="20"/>
        <v>0.68311993133769666</v>
      </c>
    </row>
    <row r="193" spans="1:6" x14ac:dyDescent="0.2">
      <c r="A193">
        <v>4000000</v>
      </c>
      <c r="B193">
        <v>21</v>
      </c>
      <c r="C193">
        <f t="shared" si="21"/>
        <v>359000000</v>
      </c>
      <c r="D193">
        <f t="shared" si="18"/>
        <v>93.065456902138692</v>
      </c>
      <c r="E193">
        <f t="shared" si="19"/>
        <v>56.756756756756758</v>
      </c>
      <c r="F193">
        <f t="shared" si="20"/>
        <v>0.57452137815066717</v>
      </c>
    </row>
    <row r="194" spans="1:6" x14ac:dyDescent="0.2">
      <c r="A194">
        <v>4000000</v>
      </c>
      <c r="B194">
        <v>22</v>
      </c>
      <c r="C194">
        <f t="shared" si="21"/>
        <v>363000000</v>
      </c>
      <c r="D194">
        <f t="shared" si="18"/>
        <v>94.102397926117959</v>
      </c>
      <c r="E194">
        <f t="shared" si="19"/>
        <v>59.45945945945946</v>
      </c>
      <c r="F194">
        <f t="shared" si="20"/>
        <v>0.6025468112311958</v>
      </c>
    </row>
    <row r="195" spans="1:6" x14ac:dyDescent="0.2">
      <c r="A195">
        <v>3000000</v>
      </c>
      <c r="B195">
        <v>23</v>
      </c>
      <c r="C195">
        <f t="shared" si="21"/>
        <v>366000000</v>
      </c>
      <c r="D195">
        <f t="shared" si="18"/>
        <v>94.880103694102402</v>
      </c>
      <c r="E195">
        <f t="shared" si="19"/>
        <v>62.162162162162161</v>
      </c>
      <c r="F195">
        <f t="shared" si="20"/>
        <v>0.47292918323378302</v>
      </c>
    </row>
    <row r="196" spans="1:6" x14ac:dyDescent="0.2">
      <c r="A196">
        <v>3000000</v>
      </c>
      <c r="B196">
        <v>24</v>
      </c>
      <c r="C196">
        <f t="shared" si="21"/>
        <v>369000000</v>
      </c>
      <c r="D196">
        <f t="shared" si="18"/>
        <v>95.657809462086846</v>
      </c>
      <c r="E196">
        <f t="shared" si="19"/>
        <v>64.86486486486487</v>
      </c>
      <c r="F196">
        <f t="shared" si="20"/>
        <v>0.49394825804417342</v>
      </c>
    </row>
    <row r="197" spans="1:6" x14ac:dyDescent="0.2">
      <c r="A197">
        <v>2500000</v>
      </c>
      <c r="B197">
        <v>25</v>
      </c>
      <c r="C197">
        <f t="shared" si="21"/>
        <v>371500000</v>
      </c>
      <c r="D197">
        <f t="shared" si="18"/>
        <v>96.305897602073884</v>
      </c>
      <c r="E197">
        <f t="shared" si="19"/>
        <v>67.567567567567565</v>
      </c>
      <c r="F197">
        <f t="shared" si="20"/>
        <v>0.42913944404547144</v>
      </c>
    </row>
    <row r="198" spans="1:6" x14ac:dyDescent="0.2">
      <c r="A198">
        <v>2000000</v>
      </c>
      <c r="B198">
        <v>26</v>
      </c>
      <c r="C198">
        <f t="shared" si="21"/>
        <v>373500000</v>
      </c>
      <c r="D198">
        <f t="shared" si="18"/>
        <v>96.824368114063503</v>
      </c>
      <c r="E198">
        <f t="shared" si="19"/>
        <v>70.270270270270274</v>
      </c>
      <c r="F198">
        <f t="shared" si="20"/>
        <v>0.35732427177662957</v>
      </c>
    </row>
    <row r="199" spans="1:6" x14ac:dyDescent="0.2">
      <c r="A199">
        <v>2000000</v>
      </c>
      <c r="B199">
        <v>27</v>
      </c>
      <c r="C199">
        <f t="shared" si="21"/>
        <v>375500000</v>
      </c>
      <c r="D199">
        <f t="shared" si="18"/>
        <v>97.342838626053137</v>
      </c>
      <c r="E199">
        <f t="shared" si="19"/>
        <v>72.972972972972968</v>
      </c>
      <c r="F199">
        <f t="shared" si="20"/>
        <v>0.37133698831689971</v>
      </c>
    </row>
    <row r="200" spans="1:6" x14ac:dyDescent="0.2">
      <c r="A200">
        <v>2000000</v>
      </c>
      <c r="B200">
        <v>28</v>
      </c>
      <c r="C200">
        <f t="shared" si="21"/>
        <v>377500000</v>
      </c>
      <c r="D200">
        <f t="shared" si="18"/>
        <v>97.86130913804277</v>
      </c>
      <c r="E200">
        <f t="shared" si="19"/>
        <v>75.675675675675677</v>
      </c>
      <c r="F200">
        <f t="shared" si="20"/>
        <v>0.38534970485716008</v>
      </c>
    </row>
    <row r="201" spans="1:6" x14ac:dyDescent="0.2">
      <c r="A201">
        <v>2000000</v>
      </c>
      <c r="B201">
        <v>29</v>
      </c>
      <c r="C201">
        <f t="shared" si="21"/>
        <v>379500000</v>
      </c>
      <c r="D201">
        <f t="shared" si="18"/>
        <v>98.379779650032404</v>
      </c>
      <c r="E201">
        <f t="shared" si="19"/>
        <v>78.378378378378372</v>
      </c>
      <c r="F201">
        <f t="shared" si="20"/>
        <v>0.39936242139742051</v>
      </c>
    </row>
    <row r="202" spans="1:6" x14ac:dyDescent="0.2">
      <c r="A202">
        <v>2000000</v>
      </c>
      <c r="B202">
        <v>30</v>
      </c>
      <c r="C202">
        <f t="shared" si="21"/>
        <v>381500000</v>
      </c>
      <c r="D202">
        <f t="shared" si="18"/>
        <v>98.898250162022038</v>
      </c>
      <c r="E202">
        <f t="shared" si="19"/>
        <v>81.081081081081081</v>
      </c>
      <c r="F202">
        <f t="shared" si="20"/>
        <v>0.41337513793768083</v>
      </c>
    </row>
    <row r="203" spans="1:6" x14ac:dyDescent="0.2">
      <c r="A203">
        <v>1500000</v>
      </c>
      <c r="B203">
        <v>31</v>
      </c>
      <c r="C203">
        <f t="shared" si="21"/>
        <v>383000000</v>
      </c>
      <c r="D203">
        <f t="shared" si="18"/>
        <v>99.287103046014252</v>
      </c>
      <c r="E203">
        <f t="shared" si="19"/>
        <v>83.78378378378379</v>
      </c>
      <c r="F203">
        <f t="shared" si="20"/>
        <v>0.32054089085844706</v>
      </c>
    </row>
    <row r="204" spans="1:6" x14ac:dyDescent="0.2">
      <c r="A204">
        <v>1000000</v>
      </c>
      <c r="B204">
        <v>32</v>
      </c>
      <c r="C204">
        <f t="shared" si="21"/>
        <v>384000000</v>
      </c>
      <c r="D204">
        <f t="shared" si="18"/>
        <v>99.546338302009076</v>
      </c>
      <c r="E204">
        <f t="shared" si="19"/>
        <v>86.486486486486484</v>
      </c>
      <c r="F204">
        <f t="shared" si="20"/>
        <v>0.22070028550910681</v>
      </c>
    </row>
    <row r="205" spans="1:6" x14ac:dyDescent="0.2">
      <c r="A205">
        <v>500000</v>
      </c>
      <c r="B205">
        <v>33</v>
      </c>
      <c r="C205">
        <f t="shared" si="21"/>
        <v>384500000</v>
      </c>
      <c r="D205">
        <f t="shared" si="18"/>
        <v>99.675955930006481</v>
      </c>
      <c r="E205">
        <f t="shared" si="19"/>
        <v>89.189189189189193</v>
      </c>
      <c r="F205">
        <f t="shared" si="20"/>
        <v>0.11385332188961236</v>
      </c>
    </row>
    <row r="206" spans="1:6" x14ac:dyDescent="0.2">
      <c r="A206">
        <v>400000</v>
      </c>
      <c r="B206">
        <v>34</v>
      </c>
      <c r="C206">
        <f t="shared" si="21"/>
        <v>384900000</v>
      </c>
      <c r="D206">
        <f t="shared" si="18"/>
        <v>99.779650032404405</v>
      </c>
      <c r="E206">
        <f t="shared" si="19"/>
        <v>91.891891891891902</v>
      </c>
      <c r="F206">
        <f t="shared" si="20"/>
        <v>9.3885200819741887E-2</v>
      </c>
    </row>
    <row r="207" spans="1:6" x14ac:dyDescent="0.2">
      <c r="A207">
        <v>300000</v>
      </c>
      <c r="B207">
        <v>35</v>
      </c>
      <c r="C207">
        <f t="shared" si="21"/>
        <v>385200000</v>
      </c>
      <c r="D207">
        <f t="shared" si="18"/>
        <v>99.857420609202848</v>
      </c>
      <c r="E207">
        <f t="shared" si="19"/>
        <v>94.594594594594597</v>
      </c>
      <c r="F207">
        <f t="shared" si="20"/>
        <v>7.2515808095845416E-2</v>
      </c>
    </row>
    <row r="208" spans="1:6" x14ac:dyDescent="0.2">
      <c r="A208">
        <v>300000</v>
      </c>
      <c r="B208">
        <v>36</v>
      </c>
      <c r="C208">
        <f t="shared" si="21"/>
        <v>385500000</v>
      </c>
      <c r="D208">
        <f t="shared" si="18"/>
        <v>99.93519118600129</v>
      </c>
      <c r="E208">
        <f t="shared" si="19"/>
        <v>97.297297297297305</v>
      </c>
      <c r="F208">
        <f t="shared" si="20"/>
        <v>7.4617715576884402E-2</v>
      </c>
    </row>
    <row r="209" spans="1:6" x14ac:dyDescent="0.2">
      <c r="A209">
        <v>250000</v>
      </c>
      <c r="B209">
        <v>37</v>
      </c>
      <c r="C209">
        <f t="shared" si="21"/>
        <v>385750000</v>
      </c>
      <c r="D209">
        <f t="shared" si="18"/>
        <v>100</v>
      </c>
      <c r="E209">
        <f t="shared" si="19"/>
        <v>100</v>
      </c>
      <c r="F209">
        <f t="shared" si="20"/>
        <v>6.3933019214943168E-2</v>
      </c>
    </row>
    <row r="210" spans="1:6" x14ac:dyDescent="0.2">
      <c r="E210" t="s">
        <v>78</v>
      </c>
      <c r="F210">
        <f>SUM(F173:F209)</f>
        <v>22.341700092834241</v>
      </c>
    </row>
    <row r="211" spans="1:6" x14ac:dyDescent="0.2">
      <c r="E211" t="s">
        <v>56</v>
      </c>
      <c r="F211">
        <f>50- F210</f>
        <v>27.658299907165759</v>
      </c>
    </row>
    <row r="212" spans="1:6" x14ac:dyDescent="0.2">
      <c r="E212" t="s">
        <v>64</v>
      </c>
      <c r="F212">
        <f>F211/50</f>
        <v>0.55316599814331513</v>
      </c>
    </row>
    <row r="214" spans="1:6" x14ac:dyDescent="0.2">
      <c r="A214" t="s">
        <v>70</v>
      </c>
    </row>
    <row r="215" spans="1:6" x14ac:dyDescent="0.2">
      <c r="A215" t="s">
        <v>77</v>
      </c>
      <c r="B215" t="s">
        <v>46</v>
      </c>
      <c r="C215" t="s">
        <v>47</v>
      </c>
      <c r="D215" t="s">
        <v>51</v>
      </c>
      <c r="E215" t="s">
        <v>50</v>
      </c>
      <c r="F215" t="s">
        <v>100</v>
      </c>
    </row>
    <row r="216" spans="1:6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">
      <c r="A217">
        <v>25000000</v>
      </c>
      <c r="B217">
        <v>1</v>
      </c>
      <c r="C217">
        <f>A217</f>
        <v>25000000</v>
      </c>
      <c r="D217">
        <f>(C217/C$246)*100</f>
        <v>11.904761904761903</v>
      </c>
      <c r="E217">
        <f>(B217/B$246)*100</f>
        <v>3.3333333333333335</v>
      </c>
      <c r="F217">
        <f>(E217+E216)/2*(D217-D216)/100</f>
        <v>0.19841269841269837</v>
      </c>
    </row>
    <row r="218" spans="1:6" x14ac:dyDescent="0.2">
      <c r="A218">
        <v>23000000</v>
      </c>
      <c r="B218">
        <v>2</v>
      </c>
      <c r="C218">
        <f>C217+A218</f>
        <v>48000000</v>
      </c>
      <c r="D218">
        <f t="shared" ref="D218:D246" si="22">(C218/C$246)*100</f>
        <v>22.857142857142858</v>
      </c>
      <c r="E218">
        <f t="shared" ref="E218:E246" si="23">(B218/B$246)*100</f>
        <v>6.666666666666667</v>
      </c>
      <c r="F218">
        <f t="shared" ref="F218:F246" si="24">(E218+E217)/2*(D218-D217)/100</f>
        <v>0.54761904761904778</v>
      </c>
    </row>
    <row r="219" spans="1:6" x14ac:dyDescent="0.2">
      <c r="A219">
        <v>20000000</v>
      </c>
      <c r="B219">
        <v>3</v>
      </c>
      <c r="C219">
        <f t="shared" ref="C219:C246" si="25">C218+A219</f>
        <v>68000000</v>
      </c>
      <c r="D219">
        <f t="shared" si="22"/>
        <v>32.38095238095238</v>
      </c>
      <c r="E219">
        <f t="shared" si="23"/>
        <v>10</v>
      </c>
      <c r="F219">
        <f t="shared" si="24"/>
        <v>0.7936507936507935</v>
      </c>
    </row>
    <row r="220" spans="1:6" x14ac:dyDescent="0.2">
      <c r="A220">
        <v>12000000</v>
      </c>
      <c r="B220">
        <v>4</v>
      </c>
      <c r="C220">
        <f t="shared" si="25"/>
        <v>80000000</v>
      </c>
      <c r="D220">
        <f t="shared" si="22"/>
        <v>38.095238095238095</v>
      </c>
      <c r="E220">
        <f t="shared" si="23"/>
        <v>13.333333333333334</v>
      </c>
      <c r="F220">
        <f t="shared" si="24"/>
        <v>0.66666666666666685</v>
      </c>
    </row>
    <row r="221" spans="1:6" x14ac:dyDescent="0.2">
      <c r="A221">
        <v>12000000</v>
      </c>
      <c r="B221">
        <v>5</v>
      </c>
      <c r="C221">
        <f t="shared" si="25"/>
        <v>92000000</v>
      </c>
      <c r="D221">
        <f t="shared" si="22"/>
        <v>43.80952380952381</v>
      </c>
      <c r="E221">
        <f t="shared" si="23"/>
        <v>16.666666666666664</v>
      </c>
      <c r="F221">
        <f t="shared" si="24"/>
        <v>0.85714285714285721</v>
      </c>
    </row>
    <row r="222" spans="1:6" x14ac:dyDescent="0.2">
      <c r="A222">
        <v>12000000</v>
      </c>
      <c r="B222">
        <v>6</v>
      </c>
      <c r="C222">
        <f t="shared" si="25"/>
        <v>104000000</v>
      </c>
      <c r="D222">
        <f t="shared" si="22"/>
        <v>49.523809523809526</v>
      </c>
      <c r="E222">
        <f t="shared" si="23"/>
        <v>20</v>
      </c>
      <c r="F222">
        <f t="shared" si="24"/>
        <v>1.0476190476190477</v>
      </c>
    </row>
    <row r="223" spans="1:6" x14ac:dyDescent="0.2">
      <c r="A223">
        <v>11000000</v>
      </c>
      <c r="B223">
        <v>7</v>
      </c>
      <c r="C223">
        <f t="shared" si="25"/>
        <v>115000000</v>
      </c>
      <c r="D223">
        <f t="shared" si="22"/>
        <v>54.761904761904766</v>
      </c>
      <c r="E223">
        <f t="shared" si="23"/>
        <v>23.333333333333332</v>
      </c>
      <c r="F223">
        <f t="shared" si="24"/>
        <v>1.1349206349206353</v>
      </c>
    </row>
    <row r="224" spans="1:6" x14ac:dyDescent="0.2">
      <c r="A224">
        <v>11000000</v>
      </c>
      <c r="B224">
        <v>8</v>
      </c>
      <c r="C224">
        <f t="shared" si="25"/>
        <v>126000000</v>
      </c>
      <c r="D224">
        <f t="shared" si="22"/>
        <v>60</v>
      </c>
      <c r="E224">
        <f t="shared" si="23"/>
        <v>26.666666666666668</v>
      </c>
      <c r="F224">
        <f t="shared" si="24"/>
        <v>1.3095238095238084</v>
      </c>
    </row>
    <row r="225" spans="1:6" x14ac:dyDescent="0.2">
      <c r="A225">
        <v>10000000</v>
      </c>
      <c r="B225">
        <v>9</v>
      </c>
      <c r="C225">
        <f t="shared" si="25"/>
        <v>136000000</v>
      </c>
      <c r="D225">
        <f t="shared" si="22"/>
        <v>64.761904761904759</v>
      </c>
      <c r="E225">
        <f t="shared" si="23"/>
        <v>30</v>
      </c>
      <c r="F225">
        <f t="shared" si="24"/>
        <v>1.3492063492063486</v>
      </c>
    </row>
    <row r="226" spans="1:6" x14ac:dyDescent="0.2">
      <c r="A226">
        <v>7500000</v>
      </c>
      <c r="B226">
        <v>10</v>
      </c>
      <c r="C226">
        <f t="shared" si="25"/>
        <v>143500000</v>
      </c>
      <c r="D226">
        <f t="shared" si="22"/>
        <v>68.333333333333329</v>
      </c>
      <c r="E226">
        <f t="shared" si="23"/>
        <v>33.333333333333329</v>
      </c>
      <c r="F226">
        <f t="shared" si="24"/>
        <v>1.1309523809523803</v>
      </c>
    </row>
    <row r="227" spans="1:6" x14ac:dyDescent="0.2">
      <c r="A227">
        <v>6500000</v>
      </c>
      <c r="B227">
        <v>11</v>
      </c>
      <c r="C227">
        <f t="shared" si="25"/>
        <v>150000000</v>
      </c>
      <c r="D227">
        <f t="shared" si="22"/>
        <v>71.428571428571431</v>
      </c>
      <c r="E227">
        <f t="shared" si="23"/>
        <v>36.666666666666664</v>
      </c>
      <c r="F227">
        <f t="shared" si="24"/>
        <v>1.0833333333333357</v>
      </c>
    </row>
    <row r="228" spans="1:6" x14ac:dyDescent="0.2">
      <c r="A228">
        <v>6000000</v>
      </c>
      <c r="B228">
        <v>12</v>
      </c>
      <c r="C228">
        <f t="shared" si="25"/>
        <v>156000000</v>
      </c>
      <c r="D228">
        <f t="shared" si="22"/>
        <v>74.285714285714292</v>
      </c>
      <c r="E228">
        <f t="shared" si="23"/>
        <v>40</v>
      </c>
      <c r="F228">
        <f t="shared" si="24"/>
        <v>1.0952380952380967</v>
      </c>
    </row>
    <row r="229" spans="1:6" x14ac:dyDescent="0.2">
      <c r="A229">
        <v>5000000</v>
      </c>
      <c r="B229">
        <v>13</v>
      </c>
      <c r="C229">
        <f t="shared" si="25"/>
        <v>161000000</v>
      </c>
      <c r="D229">
        <f t="shared" si="22"/>
        <v>76.666666666666671</v>
      </c>
      <c r="E229">
        <f t="shared" si="23"/>
        <v>43.333333333333336</v>
      </c>
      <c r="F229">
        <f t="shared" si="24"/>
        <v>0.99206349206349165</v>
      </c>
    </row>
    <row r="230" spans="1:6" x14ac:dyDescent="0.2">
      <c r="A230">
        <v>5000000</v>
      </c>
      <c r="B230">
        <v>14</v>
      </c>
      <c r="C230">
        <f t="shared" si="25"/>
        <v>166000000</v>
      </c>
      <c r="D230">
        <f t="shared" si="22"/>
        <v>79.047619047619051</v>
      </c>
      <c r="E230">
        <f t="shared" si="23"/>
        <v>46.666666666666664</v>
      </c>
      <c r="F230">
        <f t="shared" si="24"/>
        <v>1.0714285714285707</v>
      </c>
    </row>
    <row r="231" spans="1:6" x14ac:dyDescent="0.2">
      <c r="A231">
        <v>4500000</v>
      </c>
      <c r="B231">
        <v>15</v>
      </c>
      <c r="C231">
        <f t="shared" si="25"/>
        <v>170500000</v>
      </c>
      <c r="D231">
        <f t="shared" si="22"/>
        <v>81.19047619047619</v>
      </c>
      <c r="E231">
        <f t="shared" si="23"/>
        <v>50</v>
      </c>
      <c r="F231">
        <f t="shared" si="24"/>
        <v>1.0357142857142838</v>
      </c>
    </row>
    <row r="232" spans="1:6" x14ac:dyDescent="0.2">
      <c r="A232">
        <v>4000000</v>
      </c>
      <c r="B232">
        <v>16</v>
      </c>
      <c r="C232">
        <f t="shared" si="25"/>
        <v>174500000</v>
      </c>
      <c r="D232">
        <f t="shared" si="22"/>
        <v>83.095238095238102</v>
      </c>
      <c r="E232">
        <f t="shared" si="23"/>
        <v>53.333333333333336</v>
      </c>
      <c r="F232">
        <f t="shared" si="24"/>
        <v>0.98412698412698807</v>
      </c>
    </row>
    <row r="233" spans="1:6" x14ac:dyDescent="0.2">
      <c r="A233">
        <v>4000000</v>
      </c>
      <c r="B233">
        <v>17</v>
      </c>
      <c r="C233">
        <f t="shared" si="25"/>
        <v>178500000</v>
      </c>
      <c r="D233">
        <f t="shared" si="22"/>
        <v>85</v>
      </c>
      <c r="E233">
        <f t="shared" si="23"/>
        <v>56.666666666666664</v>
      </c>
      <c r="F233">
        <f t="shared" si="24"/>
        <v>1.0476190476190439</v>
      </c>
    </row>
    <row r="234" spans="1:6" x14ac:dyDescent="0.2">
      <c r="A234">
        <v>4000000</v>
      </c>
      <c r="B234">
        <v>18</v>
      </c>
      <c r="C234">
        <f t="shared" si="25"/>
        <v>182500000</v>
      </c>
      <c r="D234">
        <f t="shared" si="22"/>
        <v>86.904761904761912</v>
      </c>
      <c r="E234">
        <f t="shared" si="23"/>
        <v>60</v>
      </c>
      <c r="F234">
        <f t="shared" si="24"/>
        <v>1.1111111111111154</v>
      </c>
    </row>
    <row r="235" spans="1:6" x14ac:dyDescent="0.2">
      <c r="A235">
        <v>3500000</v>
      </c>
      <c r="B235">
        <v>19</v>
      </c>
      <c r="C235">
        <f t="shared" si="25"/>
        <v>186000000</v>
      </c>
      <c r="D235">
        <f t="shared" si="22"/>
        <v>88.571428571428569</v>
      </c>
      <c r="E235">
        <f t="shared" si="23"/>
        <v>63.333333333333329</v>
      </c>
      <c r="F235">
        <f t="shared" si="24"/>
        <v>1.0277777777777719</v>
      </c>
    </row>
    <row r="236" spans="1:6" x14ac:dyDescent="0.2">
      <c r="A236">
        <v>3500000</v>
      </c>
      <c r="B236">
        <v>20</v>
      </c>
      <c r="C236">
        <f t="shared" si="25"/>
        <v>189500000</v>
      </c>
      <c r="D236">
        <f t="shared" si="22"/>
        <v>90.238095238095241</v>
      </c>
      <c r="E236">
        <f t="shared" si="23"/>
        <v>66.666666666666657</v>
      </c>
      <c r="F236">
        <f t="shared" si="24"/>
        <v>1.0833333333333364</v>
      </c>
    </row>
    <row r="237" spans="1:6" x14ac:dyDescent="0.2">
      <c r="A237">
        <v>3500000</v>
      </c>
      <c r="B237">
        <v>21</v>
      </c>
      <c r="C237">
        <f t="shared" si="25"/>
        <v>193000000</v>
      </c>
      <c r="D237">
        <f t="shared" si="22"/>
        <v>91.904761904761898</v>
      </c>
      <c r="E237">
        <f t="shared" si="23"/>
        <v>70</v>
      </c>
      <c r="F237">
        <f t="shared" si="24"/>
        <v>1.1388888888888824</v>
      </c>
    </row>
    <row r="238" spans="1:6" x14ac:dyDescent="0.2">
      <c r="A238">
        <v>3500000</v>
      </c>
      <c r="B238">
        <v>22</v>
      </c>
      <c r="C238">
        <f t="shared" si="25"/>
        <v>196500000</v>
      </c>
      <c r="D238">
        <f t="shared" si="22"/>
        <v>93.571428571428569</v>
      </c>
      <c r="E238">
        <f t="shared" si="23"/>
        <v>73.333333333333329</v>
      </c>
      <c r="F238">
        <f t="shared" si="24"/>
        <v>1.1944444444444478</v>
      </c>
    </row>
    <row r="239" spans="1:6" x14ac:dyDescent="0.2">
      <c r="A239">
        <v>3500000</v>
      </c>
      <c r="B239">
        <v>23</v>
      </c>
      <c r="C239">
        <f t="shared" si="25"/>
        <v>200000000</v>
      </c>
      <c r="D239">
        <f t="shared" si="22"/>
        <v>95.238095238095227</v>
      </c>
      <c r="E239">
        <f t="shared" si="23"/>
        <v>76.666666666666671</v>
      </c>
      <c r="F239">
        <f t="shared" si="24"/>
        <v>1.2499999999999929</v>
      </c>
    </row>
    <row r="240" spans="1:6" x14ac:dyDescent="0.2">
      <c r="A240">
        <v>2500000</v>
      </c>
      <c r="B240">
        <v>24</v>
      </c>
      <c r="C240">
        <f t="shared" si="25"/>
        <v>202500000</v>
      </c>
      <c r="D240">
        <f t="shared" si="22"/>
        <v>96.428571428571431</v>
      </c>
      <c r="E240">
        <f t="shared" si="23"/>
        <v>80</v>
      </c>
      <c r="F240">
        <f t="shared" si="24"/>
        <v>0.93253968253969322</v>
      </c>
    </row>
    <row r="241" spans="1:6" x14ac:dyDescent="0.2">
      <c r="A241">
        <v>2000000</v>
      </c>
      <c r="B241">
        <v>25</v>
      </c>
      <c r="C241">
        <f t="shared" si="25"/>
        <v>204500000</v>
      </c>
      <c r="D241">
        <f t="shared" si="22"/>
        <v>97.38095238095238</v>
      </c>
      <c r="E241">
        <f t="shared" si="23"/>
        <v>83.333333333333343</v>
      </c>
      <c r="F241">
        <f t="shared" si="24"/>
        <v>0.77777777777777501</v>
      </c>
    </row>
    <row r="242" spans="1:6" x14ac:dyDescent="0.2">
      <c r="A242">
        <v>2000000</v>
      </c>
      <c r="B242">
        <v>26</v>
      </c>
      <c r="C242">
        <f t="shared" si="25"/>
        <v>206500000</v>
      </c>
      <c r="D242">
        <f t="shared" si="22"/>
        <v>98.333333333333329</v>
      </c>
      <c r="E242">
        <f t="shared" si="23"/>
        <v>86.666666666666671</v>
      </c>
      <c r="F242">
        <f t="shared" si="24"/>
        <v>0.80952380952380665</v>
      </c>
    </row>
    <row r="243" spans="1:6" x14ac:dyDescent="0.2">
      <c r="A243">
        <v>1500000</v>
      </c>
      <c r="B243">
        <v>27</v>
      </c>
      <c r="C243">
        <f t="shared" si="25"/>
        <v>208000000</v>
      </c>
      <c r="D243">
        <f t="shared" si="22"/>
        <v>99.047619047619051</v>
      </c>
      <c r="E243">
        <f t="shared" si="23"/>
        <v>90</v>
      </c>
      <c r="F243">
        <f t="shared" si="24"/>
        <v>0.63095238095238815</v>
      </c>
    </row>
    <row r="244" spans="1:6" x14ac:dyDescent="0.2">
      <c r="A244">
        <v>1000000</v>
      </c>
      <c r="B244">
        <v>28</v>
      </c>
      <c r="C244">
        <f t="shared" si="25"/>
        <v>209000000</v>
      </c>
      <c r="D244">
        <f t="shared" si="22"/>
        <v>99.523809523809518</v>
      </c>
      <c r="E244">
        <f t="shared" si="23"/>
        <v>93.333333333333329</v>
      </c>
      <c r="F244">
        <f t="shared" si="24"/>
        <v>0.43650793650792841</v>
      </c>
    </row>
    <row r="245" spans="1:6" x14ac:dyDescent="0.2">
      <c r="A245">
        <v>750000</v>
      </c>
      <c r="B245">
        <v>29</v>
      </c>
      <c r="C245">
        <f t="shared" si="25"/>
        <v>209750000</v>
      </c>
      <c r="D245">
        <f t="shared" si="22"/>
        <v>99.88095238095238</v>
      </c>
      <c r="E245">
        <f t="shared" si="23"/>
        <v>96.666666666666671</v>
      </c>
      <c r="F245">
        <f t="shared" si="24"/>
        <v>0.33928571428571813</v>
      </c>
    </row>
    <row r="246" spans="1:6" x14ac:dyDescent="0.2">
      <c r="A246">
        <v>250000</v>
      </c>
      <c r="B246">
        <v>30</v>
      </c>
      <c r="C246">
        <f t="shared" si="25"/>
        <v>210000000</v>
      </c>
      <c r="D246">
        <f t="shared" si="22"/>
        <v>100</v>
      </c>
      <c r="E246">
        <f t="shared" si="23"/>
        <v>100</v>
      </c>
      <c r="F246">
        <f t="shared" si="24"/>
        <v>0.11706349206349341</v>
      </c>
    </row>
    <row r="247" spans="1:6" x14ac:dyDescent="0.2">
      <c r="E247" t="s">
        <v>63</v>
      </c>
      <c r="F247">
        <f>SUM(F217:F246)</f>
        <v>27.194444444444443</v>
      </c>
    </row>
    <row r="248" spans="1:6" x14ac:dyDescent="0.2">
      <c r="E248" t="s">
        <v>56</v>
      </c>
      <c r="F248">
        <f>50-F247</f>
        <v>22.805555555555557</v>
      </c>
    </row>
    <row r="249" spans="1:6" x14ac:dyDescent="0.2">
      <c r="E249" t="s">
        <v>49</v>
      </c>
      <c r="F249">
        <f>F248/50</f>
        <v>0.45611111111111113</v>
      </c>
    </row>
    <row r="251" spans="1:6" x14ac:dyDescent="0.2">
      <c r="A251" t="s">
        <v>79</v>
      </c>
    </row>
    <row r="252" spans="1:6" x14ac:dyDescent="0.2">
      <c r="A252" t="s">
        <v>48</v>
      </c>
      <c r="B252" t="s">
        <v>46</v>
      </c>
      <c r="C252" t="s">
        <v>47</v>
      </c>
      <c r="D252" t="s">
        <v>51</v>
      </c>
      <c r="E252" t="s">
        <v>50</v>
      </c>
      <c r="F252" t="s">
        <v>100</v>
      </c>
    </row>
    <row r="253" spans="1:6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">
      <c r="A254">
        <v>25000000</v>
      </c>
      <c r="B254">
        <v>1</v>
      </c>
      <c r="C254">
        <f>A254</f>
        <v>25000000</v>
      </c>
      <c r="D254">
        <f>(C254/C$283)*100</f>
        <v>8.6520159197092923</v>
      </c>
      <c r="E254">
        <f>(B254/B$283)*100</f>
        <v>3.3333333333333335</v>
      </c>
      <c r="F254">
        <f>(E254+E253)/2*(D254-D253)/100</f>
        <v>0.1442002653284882</v>
      </c>
    </row>
    <row r="255" spans="1:6" x14ac:dyDescent="0.2">
      <c r="A255">
        <v>24000000</v>
      </c>
      <c r="B255">
        <v>2</v>
      </c>
      <c r="C255">
        <f>C254+A255</f>
        <v>49000000</v>
      </c>
      <c r="D255">
        <f t="shared" ref="D255:D283" si="26">(C255/C$283)*100</f>
        <v>16.957951202630213</v>
      </c>
      <c r="E255">
        <f t="shared" ref="E255:E283" si="27">(B255/B$283)*100</f>
        <v>6.666666666666667</v>
      </c>
      <c r="F255">
        <f t="shared" ref="F255:F283" si="28">(E255+E254)/2*(D255-D254)/100</f>
        <v>0.41529676414604599</v>
      </c>
    </row>
    <row r="256" spans="1:6" x14ac:dyDescent="0.2">
      <c r="A256">
        <v>22000000</v>
      </c>
      <c r="B256">
        <v>3</v>
      </c>
      <c r="C256">
        <f t="shared" ref="C256:C283" si="29">C255+A256</f>
        <v>71000000</v>
      </c>
      <c r="D256">
        <f t="shared" si="26"/>
        <v>24.571725211974389</v>
      </c>
      <c r="E256">
        <f t="shared" si="27"/>
        <v>10</v>
      </c>
      <c r="F256">
        <f t="shared" si="28"/>
        <v>0.6344811674453481</v>
      </c>
    </row>
    <row r="257" spans="1:6" x14ac:dyDescent="0.2">
      <c r="A257">
        <v>20000000</v>
      </c>
      <c r="B257">
        <v>4</v>
      </c>
      <c r="C257">
        <f t="shared" si="29"/>
        <v>91000000</v>
      </c>
      <c r="D257">
        <f t="shared" si="26"/>
        <v>31.493337947741821</v>
      </c>
      <c r="E257">
        <f t="shared" si="27"/>
        <v>13.333333333333334</v>
      </c>
      <c r="F257">
        <f t="shared" si="28"/>
        <v>0.80752148583953387</v>
      </c>
    </row>
    <row r="258" spans="1:6" x14ac:dyDescent="0.2">
      <c r="A258">
        <v>19000000</v>
      </c>
      <c r="B258">
        <v>5</v>
      </c>
      <c r="C258">
        <f t="shared" si="29"/>
        <v>110000000</v>
      </c>
      <c r="D258">
        <f t="shared" si="26"/>
        <v>38.068870046720889</v>
      </c>
      <c r="E258">
        <f t="shared" si="27"/>
        <v>16.666666666666664</v>
      </c>
      <c r="F258">
        <f t="shared" si="28"/>
        <v>0.98632981484686011</v>
      </c>
    </row>
    <row r="259" spans="1:6" x14ac:dyDescent="0.2">
      <c r="A259">
        <v>18000000</v>
      </c>
      <c r="B259">
        <v>6</v>
      </c>
      <c r="C259">
        <f t="shared" si="29"/>
        <v>128000000</v>
      </c>
      <c r="D259">
        <f t="shared" si="26"/>
        <v>44.298321508911577</v>
      </c>
      <c r="E259">
        <f t="shared" si="27"/>
        <v>20</v>
      </c>
      <c r="F259">
        <f t="shared" si="28"/>
        <v>1.142066101401626</v>
      </c>
    </row>
    <row r="260" spans="1:6" x14ac:dyDescent="0.2">
      <c r="A260">
        <v>16000000</v>
      </c>
      <c r="B260">
        <v>7</v>
      </c>
      <c r="C260">
        <f t="shared" si="29"/>
        <v>144000000</v>
      </c>
      <c r="D260">
        <f t="shared" si="26"/>
        <v>49.835611697525522</v>
      </c>
      <c r="E260">
        <f t="shared" si="27"/>
        <v>23.333333333333332</v>
      </c>
      <c r="F260">
        <f t="shared" si="28"/>
        <v>1.1997462075330212</v>
      </c>
    </row>
    <row r="261" spans="1:6" x14ac:dyDescent="0.2">
      <c r="A261">
        <v>16000000</v>
      </c>
      <c r="B261">
        <v>8</v>
      </c>
      <c r="C261">
        <f t="shared" si="29"/>
        <v>160000000</v>
      </c>
      <c r="D261">
        <f t="shared" si="26"/>
        <v>55.372901886139466</v>
      </c>
      <c r="E261">
        <f t="shared" si="27"/>
        <v>26.666666666666668</v>
      </c>
      <c r="F261">
        <f t="shared" si="28"/>
        <v>1.3843225471534861</v>
      </c>
    </row>
    <row r="262" spans="1:6" x14ac:dyDescent="0.2">
      <c r="A262">
        <v>15000000</v>
      </c>
      <c r="B262">
        <v>9</v>
      </c>
      <c r="C262">
        <f t="shared" si="29"/>
        <v>175000000</v>
      </c>
      <c r="D262">
        <f t="shared" si="26"/>
        <v>60.564111437965053</v>
      </c>
      <c r="E262">
        <f t="shared" si="27"/>
        <v>30</v>
      </c>
      <c r="F262">
        <f t="shared" si="28"/>
        <v>1.4708427063505831</v>
      </c>
    </row>
    <row r="263" spans="1:6" x14ac:dyDescent="0.2">
      <c r="A263">
        <v>14000000</v>
      </c>
      <c r="B263">
        <v>10</v>
      </c>
      <c r="C263">
        <f t="shared" si="29"/>
        <v>189000000</v>
      </c>
      <c r="D263">
        <f t="shared" si="26"/>
        <v>65.409240353002247</v>
      </c>
      <c r="E263">
        <f t="shared" si="27"/>
        <v>33.333333333333329</v>
      </c>
      <c r="F263">
        <f t="shared" si="28"/>
        <v>1.5342908230951111</v>
      </c>
    </row>
    <row r="264" spans="1:6" x14ac:dyDescent="0.2">
      <c r="A264">
        <v>11000000</v>
      </c>
      <c r="B264">
        <v>11</v>
      </c>
      <c r="C264">
        <f t="shared" si="29"/>
        <v>200000000</v>
      </c>
      <c r="D264">
        <f t="shared" si="26"/>
        <v>69.216127357674338</v>
      </c>
      <c r="E264">
        <f t="shared" si="27"/>
        <v>36.666666666666664</v>
      </c>
      <c r="F264">
        <f t="shared" si="28"/>
        <v>1.3324104516352322</v>
      </c>
    </row>
    <row r="265" spans="1:6" x14ac:dyDescent="0.2">
      <c r="A265">
        <v>9000000</v>
      </c>
      <c r="B265">
        <v>12</v>
      </c>
      <c r="C265">
        <f t="shared" si="29"/>
        <v>209000000</v>
      </c>
      <c r="D265">
        <f t="shared" si="26"/>
        <v>72.330853088769686</v>
      </c>
      <c r="E265">
        <f t="shared" si="27"/>
        <v>40</v>
      </c>
      <c r="F265">
        <f t="shared" si="28"/>
        <v>1.1939781969198833</v>
      </c>
    </row>
    <row r="266" spans="1:6" x14ac:dyDescent="0.2">
      <c r="A266">
        <v>8000000</v>
      </c>
      <c r="B266">
        <v>13</v>
      </c>
      <c r="C266">
        <f t="shared" si="29"/>
        <v>217000000</v>
      </c>
      <c r="D266">
        <f t="shared" si="26"/>
        <v>75.099498183076648</v>
      </c>
      <c r="E266">
        <f t="shared" si="27"/>
        <v>43.333333333333336</v>
      </c>
      <c r="F266">
        <f t="shared" si="28"/>
        <v>1.153602122627901</v>
      </c>
    </row>
    <row r="267" spans="1:6" x14ac:dyDescent="0.2">
      <c r="A267">
        <v>8000000</v>
      </c>
      <c r="B267">
        <v>14</v>
      </c>
      <c r="C267">
        <f t="shared" si="29"/>
        <v>225000000</v>
      </c>
      <c r="D267">
        <f t="shared" si="26"/>
        <v>77.868143277383624</v>
      </c>
      <c r="E267">
        <f t="shared" si="27"/>
        <v>46.666666666666664</v>
      </c>
      <c r="F267">
        <f t="shared" si="28"/>
        <v>1.2458902924381392</v>
      </c>
    </row>
    <row r="268" spans="1:6" x14ac:dyDescent="0.2">
      <c r="A268">
        <v>8000000</v>
      </c>
      <c r="B268">
        <v>15</v>
      </c>
      <c r="C268">
        <f t="shared" si="29"/>
        <v>233000000</v>
      </c>
      <c r="D268">
        <f t="shared" si="26"/>
        <v>80.636788371690599</v>
      </c>
      <c r="E268">
        <f t="shared" si="27"/>
        <v>50</v>
      </c>
      <c r="F268">
        <f t="shared" si="28"/>
        <v>1.3381784622483714</v>
      </c>
    </row>
    <row r="269" spans="1:6" x14ac:dyDescent="0.2">
      <c r="A269">
        <v>8000000</v>
      </c>
      <c r="B269">
        <v>16</v>
      </c>
      <c r="C269">
        <f t="shared" si="29"/>
        <v>241000000</v>
      </c>
      <c r="D269">
        <f t="shared" si="26"/>
        <v>83.405433465997575</v>
      </c>
      <c r="E269">
        <f t="shared" si="27"/>
        <v>53.333333333333336</v>
      </c>
      <c r="F269">
        <f t="shared" si="28"/>
        <v>1.4304666320586044</v>
      </c>
    </row>
    <row r="270" spans="1:6" x14ac:dyDescent="0.2">
      <c r="A270">
        <v>8000000</v>
      </c>
      <c r="B270">
        <v>17</v>
      </c>
      <c r="C270">
        <f t="shared" si="29"/>
        <v>249000000</v>
      </c>
      <c r="D270">
        <f t="shared" si="26"/>
        <v>86.174078560304551</v>
      </c>
      <c r="E270">
        <f t="shared" si="27"/>
        <v>56.666666666666664</v>
      </c>
      <c r="F270">
        <f t="shared" si="28"/>
        <v>1.5227548018688366</v>
      </c>
    </row>
    <row r="271" spans="1:6" x14ac:dyDescent="0.2">
      <c r="A271">
        <v>7500000</v>
      </c>
      <c r="B271">
        <v>18</v>
      </c>
      <c r="C271">
        <f t="shared" si="29"/>
        <v>256500000</v>
      </c>
      <c r="D271">
        <f t="shared" si="26"/>
        <v>88.769683336217341</v>
      </c>
      <c r="E271">
        <f t="shared" si="27"/>
        <v>60</v>
      </c>
      <c r="F271">
        <f t="shared" si="28"/>
        <v>1.5141027859491274</v>
      </c>
    </row>
    <row r="272" spans="1:6" x14ac:dyDescent="0.2">
      <c r="A272">
        <v>7000000</v>
      </c>
      <c r="B272">
        <v>19</v>
      </c>
      <c r="C272">
        <f t="shared" si="29"/>
        <v>263500000</v>
      </c>
      <c r="D272">
        <f t="shared" si="26"/>
        <v>91.19224779373593</v>
      </c>
      <c r="E272">
        <f t="shared" si="27"/>
        <v>63.333333333333329</v>
      </c>
      <c r="F272">
        <f t="shared" si="28"/>
        <v>1.4939147488031301</v>
      </c>
    </row>
    <row r="273" spans="1:6" x14ac:dyDescent="0.2">
      <c r="A273">
        <v>6000000</v>
      </c>
      <c r="B273">
        <v>20</v>
      </c>
      <c r="C273">
        <f t="shared" si="29"/>
        <v>269500000</v>
      </c>
      <c r="D273">
        <f t="shared" si="26"/>
        <v>93.268731614466176</v>
      </c>
      <c r="E273">
        <f t="shared" si="27"/>
        <v>66.666666666666657</v>
      </c>
      <c r="F273">
        <f t="shared" si="28"/>
        <v>1.3497144834746597</v>
      </c>
    </row>
    <row r="274" spans="1:6" x14ac:dyDescent="0.2">
      <c r="A274">
        <v>6000000</v>
      </c>
      <c r="B274">
        <v>21</v>
      </c>
      <c r="C274">
        <f t="shared" si="29"/>
        <v>275500000</v>
      </c>
      <c r="D274">
        <f t="shared" si="26"/>
        <v>95.345215435196394</v>
      </c>
      <c r="E274">
        <f t="shared" si="27"/>
        <v>70</v>
      </c>
      <c r="F274">
        <f t="shared" si="28"/>
        <v>1.4189306108323152</v>
      </c>
    </row>
    <row r="275" spans="1:6" x14ac:dyDescent="0.2">
      <c r="A275">
        <v>4000000</v>
      </c>
      <c r="B275">
        <v>22</v>
      </c>
      <c r="C275">
        <f t="shared" si="29"/>
        <v>279500000</v>
      </c>
      <c r="D275">
        <f t="shared" si="26"/>
        <v>96.729537982349882</v>
      </c>
      <c r="E275">
        <f t="shared" si="27"/>
        <v>73.333333333333329</v>
      </c>
      <c r="F275">
        <f t="shared" si="28"/>
        <v>0.99209782545999958</v>
      </c>
    </row>
    <row r="276" spans="1:6" x14ac:dyDescent="0.2">
      <c r="A276">
        <v>2500000</v>
      </c>
      <c r="B276">
        <v>23</v>
      </c>
      <c r="C276">
        <f t="shared" si="29"/>
        <v>282000000</v>
      </c>
      <c r="D276">
        <f t="shared" si="26"/>
        <v>97.594739574320826</v>
      </c>
      <c r="E276">
        <f t="shared" si="27"/>
        <v>76.666666666666671</v>
      </c>
      <c r="F276">
        <f t="shared" si="28"/>
        <v>0.64890119397820811</v>
      </c>
    </row>
    <row r="277" spans="1:6" x14ac:dyDescent="0.2">
      <c r="A277">
        <v>2000000</v>
      </c>
      <c r="B277">
        <v>24</v>
      </c>
      <c r="C277">
        <f t="shared" si="29"/>
        <v>284000000</v>
      </c>
      <c r="D277">
        <f t="shared" si="26"/>
        <v>98.286900847897556</v>
      </c>
      <c r="E277">
        <f t="shared" si="27"/>
        <v>80</v>
      </c>
      <c r="F277">
        <f t="shared" si="28"/>
        <v>0.54219299763510509</v>
      </c>
    </row>
    <row r="278" spans="1:6" x14ac:dyDescent="0.2">
      <c r="A278">
        <v>1800000</v>
      </c>
      <c r="B278">
        <v>25</v>
      </c>
      <c r="C278">
        <f t="shared" si="29"/>
        <v>285800000</v>
      </c>
      <c r="D278">
        <f t="shared" si="26"/>
        <v>98.909845994116637</v>
      </c>
      <c r="E278">
        <f t="shared" si="27"/>
        <v>83.333333333333343</v>
      </c>
      <c r="F278">
        <f t="shared" si="28"/>
        <v>0.50873853607891606</v>
      </c>
    </row>
    <row r="279" spans="1:6" x14ac:dyDescent="0.2">
      <c r="A279">
        <v>1000000</v>
      </c>
      <c r="B279">
        <v>26</v>
      </c>
      <c r="C279">
        <f t="shared" si="29"/>
        <v>286800000</v>
      </c>
      <c r="D279">
        <f t="shared" si="26"/>
        <v>99.255926630904995</v>
      </c>
      <c r="E279">
        <f t="shared" si="27"/>
        <v>86.666666666666671</v>
      </c>
      <c r="F279">
        <f t="shared" si="28"/>
        <v>0.29416854127010411</v>
      </c>
    </row>
    <row r="280" spans="1:6" x14ac:dyDescent="0.2">
      <c r="A280">
        <v>1000000</v>
      </c>
      <c r="B280">
        <v>27</v>
      </c>
      <c r="C280">
        <f t="shared" si="29"/>
        <v>287800000</v>
      </c>
      <c r="D280">
        <f t="shared" si="26"/>
        <v>99.602007267693367</v>
      </c>
      <c r="E280">
        <f t="shared" si="27"/>
        <v>90</v>
      </c>
      <c r="F280">
        <f t="shared" si="28"/>
        <v>0.30570456249639527</v>
      </c>
    </row>
    <row r="281" spans="1:6" x14ac:dyDescent="0.2">
      <c r="A281">
        <v>500000</v>
      </c>
      <c r="B281">
        <v>28</v>
      </c>
      <c r="C281">
        <f t="shared" si="29"/>
        <v>288300000</v>
      </c>
      <c r="D281">
        <f t="shared" si="26"/>
        <v>99.775047586087567</v>
      </c>
      <c r="E281">
        <f t="shared" si="27"/>
        <v>93.333333333333329</v>
      </c>
      <c r="F281">
        <f t="shared" si="28"/>
        <v>0.15862029186135015</v>
      </c>
    </row>
    <row r="282" spans="1:6" x14ac:dyDescent="0.2">
      <c r="A282">
        <v>500000</v>
      </c>
      <c r="B282">
        <v>29</v>
      </c>
      <c r="C282">
        <f t="shared" si="29"/>
        <v>288800000</v>
      </c>
      <c r="D282">
        <f t="shared" si="26"/>
        <v>99.948087904481739</v>
      </c>
      <c r="E282">
        <f t="shared" si="27"/>
        <v>96.666666666666671</v>
      </c>
      <c r="F282">
        <f t="shared" si="28"/>
        <v>0.16438830247446318</v>
      </c>
    </row>
    <row r="283" spans="1:6" x14ac:dyDescent="0.2">
      <c r="A283">
        <v>150000</v>
      </c>
      <c r="B283">
        <v>30</v>
      </c>
      <c r="C283">
        <f t="shared" si="29"/>
        <v>288950000</v>
      </c>
      <c r="D283">
        <f t="shared" si="26"/>
        <v>100</v>
      </c>
      <c r="E283">
        <f t="shared" si="27"/>
        <v>100</v>
      </c>
      <c r="F283">
        <f t="shared" si="28"/>
        <v>5.1046893926290464E-2</v>
      </c>
    </row>
    <row r="284" spans="1:6" x14ac:dyDescent="0.2">
      <c r="E284" t="s">
        <v>55</v>
      </c>
      <c r="F284">
        <f>SUM(F254:F283)</f>
        <v>28.378900617177138</v>
      </c>
    </row>
    <row r="285" spans="1:6" x14ac:dyDescent="0.2">
      <c r="E285" t="s">
        <v>56</v>
      </c>
      <c r="F285">
        <f>50-F284</f>
        <v>21.621099382822862</v>
      </c>
    </row>
    <row r="286" spans="1:6" x14ac:dyDescent="0.2">
      <c r="E286" t="s">
        <v>64</v>
      </c>
      <c r="F286">
        <f>F285/50</f>
        <v>0.43242198765645723</v>
      </c>
    </row>
    <row r="288" spans="1:6" x14ac:dyDescent="0.2">
      <c r="A288" t="s">
        <v>7</v>
      </c>
    </row>
    <row r="289" spans="1:6" x14ac:dyDescent="0.2">
      <c r="A289" t="s">
        <v>77</v>
      </c>
      <c r="B289" t="s">
        <v>46</v>
      </c>
      <c r="C289" t="s">
        <v>47</v>
      </c>
      <c r="D289" t="s">
        <v>51</v>
      </c>
      <c r="E289" t="s">
        <v>50</v>
      </c>
      <c r="F289" t="s">
        <v>100</v>
      </c>
    </row>
    <row r="290" spans="1:6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">
      <c r="A291">
        <v>14000000</v>
      </c>
      <c r="B291">
        <v>1</v>
      </c>
      <c r="C291">
        <f>A291</f>
        <v>14000000</v>
      </c>
      <c r="D291">
        <f>(C291/C$317)*100</f>
        <v>10.646387832699618</v>
      </c>
      <c r="E291">
        <f>(B291/B$317)*100</f>
        <v>3.7037037037037033</v>
      </c>
      <c r="F291">
        <f>(E291+E290)/2*(D291-D290)/100</f>
        <v>0.19715533023517812</v>
      </c>
    </row>
    <row r="292" spans="1:6" x14ac:dyDescent="0.2">
      <c r="A292">
        <v>13000000</v>
      </c>
      <c r="B292">
        <v>2</v>
      </c>
      <c r="C292">
        <f t="shared" ref="C292:C317" si="30">C291+A292</f>
        <v>27000000</v>
      </c>
      <c r="D292">
        <f t="shared" ref="D292:D317" si="31">(C292/C$317)*100</f>
        <v>20.532319391634982</v>
      </c>
      <c r="E292">
        <f t="shared" ref="E292:E317" si="32">(B292/B$317)*100</f>
        <v>7.4074074074074066</v>
      </c>
      <c r="F292">
        <f t="shared" ref="F292:F317" si="33">(E292+E291)/2*(D292-D291)/100</f>
        <v>0.54921841994085352</v>
      </c>
    </row>
    <row r="293" spans="1:6" x14ac:dyDescent="0.2">
      <c r="A293">
        <v>13000000</v>
      </c>
      <c r="B293">
        <v>3</v>
      </c>
      <c r="C293">
        <f t="shared" si="30"/>
        <v>40000000</v>
      </c>
      <c r="D293">
        <f t="shared" si="31"/>
        <v>30.418250950570343</v>
      </c>
      <c r="E293">
        <f t="shared" si="32"/>
        <v>11.111111111111111</v>
      </c>
      <c r="F293">
        <f t="shared" si="33"/>
        <v>0.91536403323475568</v>
      </c>
    </row>
    <row r="294" spans="1:6" x14ac:dyDescent="0.2">
      <c r="A294">
        <v>12000000</v>
      </c>
      <c r="B294">
        <v>4</v>
      </c>
      <c r="C294">
        <f t="shared" si="30"/>
        <v>52000000</v>
      </c>
      <c r="D294">
        <f t="shared" si="31"/>
        <v>39.543726235741445</v>
      </c>
      <c r="E294">
        <f t="shared" si="32"/>
        <v>14.814814814814813</v>
      </c>
      <c r="F294">
        <f t="shared" si="33"/>
        <v>1.1829319814110688</v>
      </c>
    </row>
    <row r="295" spans="1:6" x14ac:dyDescent="0.2">
      <c r="A295">
        <v>8500000</v>
      </c>
      <c r="B295">
        <v>5</v>
      </c>
      <c r="C295">
        <f t="shared" si="30"/>
        <v>60500000</v>
      </c>
      <c r="D295">
        <f t="shared" si="31"/>
        <v>46.00760456273764</v>
      </c>
      <c r="E295">
        <f t="shared" si="32"/>
        <v>18.518518518518519</v>
      </c>
      <c r="F295">
        <f t="shared" si="33"/>
        <v>1.0773130544993657</v>
      </c>
    </row>
    <row r="296" spans="1:6" x14ac:dyDescent="0.2">
      <c r="A296">
        <v>7500000</v>
      </c>
      <c r="B296">
        <v>6</v>
      </c>
      <c r="C296">
        <f t="shared" si="30"/>
        <v>68000000</v>
      </c>
      <c r="D296">
        <f t="shared" si="31"/>
        <v>51.71102661596958</v>
      </c>
      <c r="E296">
        <f t="shared" si="32"/>
        <v>22.222222222222221</v>
      </c>
      <c r="F296">
        <f t="shared" si="33"/>
        <v>1.1618081960287285</v>
      </c>
    </row>
    <row r="297" spans="1:6" x14ac:dyDescent="0.2">
      <c r="A297">
        <v>7500000</v>
      </c>
      <c r="B297">
        <v>7</v>
      </c>
      <c r="C297">
        <f t="shared" si="30"/>
        <v>75500000</v>
      </c>
      <c r="D297">
        <f t="shared" si="31"/>
        <v>57.414448669201526</v>
      </c>
      <c r="E297">
        <f t="shared" si="32"/>
        <v>25.925925925925924</v>
      </c>
      <c r="F297">
        <f t="shared" si="33"/>
        <v>1.3730460498521353</v>
      </c>
    </row>
    <row r="298" spans="1:6" x14ac:dyDescent="0.2">
      <c r="A298">
        <v>7500000</v>
      </c>
      <c r="B298">
        <v>8</v>
      </c>
      <c r="C298">
        <f t="shared" si="30"/>
        <v>83000000</v>
      </c>
      <c r="D298">
        <f t="shared" si="31"/>
        <v>63.117870722433459</v>
      </c>
      <c r="E298">
        <f t="shared" si="32"/>
        <v>29.629629629629626</v>
      </c>
      <c r="F298">
        <f t="shared" si="33"/>
        <v>1.5842839036755367</v>
      </c>
    </row>
    <row r="299" spans="1:6" x14ac:dyDescent="0.2">
      <c r="A299">
        <v>7000000</v>
      </c>
      <c r="B299">
        <v>9</v>
      </c>
      <c r="C299">
        <f t="shared" si="30"/>
        <v>90000000</v>
      </c>
      <c r="D299">
        <f t="shared" si="31"/>
        <v>68.44106463878326</v>
      </c>
      <c r="E299">
        <f t="shared" si="32"/>
        <v>33.333333333333329</v>
      </c>
      <c r="F299">
        <f t="shared" si="33"/>
        <v>1.6758203069990114</v>
      </c>
    </row>
    <row r="300" spans="1:6" x14ac:dyDescent="0.2">
      <c r="A300">
        <v>5500000</v>
      </c>
      <c r="B300">
        <v>10</v>
      </c>
      <c r="C300">
        <f t="shared" si="30"/>
        <v>95500000</v>
      </c>
      <c r="D300">
        <f t="shared" si="31"/>
        <v>72.623574144486696</v>
      </c>
      <c r="E300">
        <f t="shared" si="32"/>
        <v>37.037037037037038</v>
      </c>
      <c r="F300">
        <f t="shared" si="33"/>
        <v>1.4716237149697275</v>
      </c>
    </row>
    <row r="301" spans="1:6" x14ac:dyDescent="0.2">
      <c r="A301">
        <v>5000000</v>
      </c>
      <c r="B301">
        <v>11</v>
      </c>
      <c r="C301">
        <f t="shared" si="30"/>
        <v>100500000</v>
      </c>
      <c r="D301">
        <f t="shared" si="31"/>
        <v>76.42585551330798</v>
      </c>
      <c r="E301">
        <f t="shared" si="32"/>
        <v>40.74074074074074</v>
      </c>
      <c r="F301">
        <f t="shared" si="33"/>
        <v>1.4786649767638322</v>
      </c>
    </row>
    <row r="302" spans="1:6" x14ac:dyDescent="0.2">
      <c r="A302">
        <v>4500000</v>
      </c>
      <c r="B302">
        <v>12</v>
      </c>
      <c r="C302">
        <f t="shared" si="30"/>
        <v>105000000</v>
      </c>
      <c r="D302">
        <f t="shared" si="31"/>
        <v>79.847908745247153</v>
      </c>
      <c r="E302">
        <f t="shared" si="32"/>
        <v>44.444444444444443</v>
      </c>
      <c r="F302">
        <f t="shared" si="33"/>
        <v>1.4575411913815</v>
      </c>
    </row>
    <row r="303" spans="1:6" x14ac:dyDescent="0.2">
      <c r="A303">
        <v>3500000</v>
      </c>
      <c r="B303">
        <v>13</v>
      </c>
      <c r="C303">
        <f t="shared" si="30"/>
        <v>108500000</v>
      </c>
      <c r="D303">
        <f t="shared" si="31"/>
        <v>82.50950570342205</v>
      </c>
      <c r="E303">
        <f t="shared" si="32"/>
        <v>48.148148148148145</v>
      </c>
      <c r="F303">
        <f t="shared" si="33"/>
        <v>1.2322208139698596</v>
      </c>
    </row>
    <row r="304" spans="1:6" x14ac:dyDescent="0.2">
      <c r="A304">
        <v>3500000</v>
      </c>
      <c r="B304">
        <v>14</v>
      </c>
      <c r="C304">
        <f t="shared" si="30"/>
        <v>112000000</v>
      </c>
      <c r="D304">
        <f t="shared" si="31"/>
        <v>85.171102661596947</v>
      </c>
      <c r="E304">
        <f t="shared" si="32"/>
        <v>51.851851851851848</v>
      </c>
      <c r="F304">
        <f t="shared" si="33"/>
        <v>1.3307984790874485</v>
      </c>
    </row>
    <row r="305" spans="1:6" x14ac:dyDescent="0.2">
      <c r="A305">
        <v>3500000</v>
      </c>
      <c r="B305">
        <v>15</v>
      </c>
      <c r="C305">
        <f t="shared" si="30"/>
        <v>115500000</v>
      </c>
      <c r="D305">
        <f t="shared" si="31"/>
        <v>87.832699619771859</v>
      </c>
      <c r="E305">
        <f t="shared" si="32"/>
        <v>55.555555555555557</v>
      </c>
      <c r="F305">
        <f t="shared" si="33"/>
        <v>1.429376144205045</v>
      </c>
    </row>
    <row r="306" spans="1:6" x14ac:dyDescent="0.2">
      <c r="A306">
        <v>2000000</v>
      </c>
      <c r="B306">
        <v>16</v>
      </c>
      <c r="C306">
        <f t="shared" si="30"/>
        <v>117500000</v>
      </c>
      <c r="D306">
        <f t="shared" si="31"/>
        <v>89.353612167300383</v>
      </c>
      <c r="E306">
        <f t="shared" si="32"/>
        <v>59.259259259259252</v>
      </c>
      <c r="F306">
        <f t="shared" si="33"/>
        <v>0.87311646247007901</v>
      </c>
    </row>
    <row r="307" spans="1:6" x14ac:dyDescent="0.2">
      <c r="A307">
        <v>2000000</v>
      </c>
      <c r="B307">
        <v>17</v>
      </c>
      <c r="C307">
        <f t="shared" si="30"/>
        <v>119500000</v>
      </c>
      <c r="D307">
        <f t="shared" si="31"/>
        <v>90.874524714828894</v>
      </c>
      <c r="E307">
        <f t="shared" si="32"/>
        <v>62.962962962962962</v>
      </c>
      <c r="F307">
        <f t="shared" si="33"/>
        <v>0.92944655682297861</v>
      </c>
    </row>
    <row r="308" spans="1:6" x14ac:dyDescent="0.2">
      <c r="A308">
        <v>2000000</v>
      </c>
      <c r="B308">
        <v>18</v>
      </c>
      <c r="C308">
        <f t="shared" si="30"/>
        <v>121500000</v>
      </c>
      <c r="D308">
        <f t="shared" si="31"/>
        <v>92.395437262357419</v>
      </c>
      <c r="E308">
        <f t="shared" si="32"/>
        <v>66.666666666666657</v>
      </c>
      <c r="F308">
        <f t="shared" si="33"/>
        <v>0.98577665117589564</v>
      </c>
    </row>
    <row r="309" spans="1:6" x14ac:dyDescent="0.2">
      <c r="A309">
        <v>2000000</v>
      </c>
      <c r="B309">
        <v>19</v>
      </c>
      <c r="C309">
        <f t="shared" si="30"/>
        <v>123500000</v>
      </c>
      <c r="D309">
        <f t="shared" si="31"/>
        <v>93.916349809885929</v>
      </c>
      <c r="E309">
        <f t="shared" si="32"/>
        <v>70.370370370370367</v>
      </c>
      <c r="F309">
        <f t="shared" si="33"/>
        <v>1.042106745528794</v>
      </c>
    </row>
    <row r="310" spans="1:6" x14ac:dyDescent="0.2">
      <c r="A310">
        <v>2000000</v>
      </c>
      <c r="B310">
        <v>20</v>
      </c>
      <c r="C310">
        <f t="shared" si="30"/>
        <v>125500000</v>
      </c>
      <c r="D310">
        <f t="shared" si="31"/>
        <v>95.437262357414454</v>
      </c>
      <c r="E310">
        <f t="shared" si="32"/>
        <v>74.074074074074076</v>
      </c>
      <c r="F310">
        <f t="shared" si="33"/>
        <v>1.0984368398817126</v>
      </c>
    </row>
    <row r="311" spans="1:6" x14ac:dyDescent="0.2">
      <c r="A311">
        <v>1800000</v>
      </c>
      <c r="B311">
        <v>21</v>
      </c>
      <c r="C311">
        <f t="shared" si="30"/>
        <v>127300000</v>
      </c>
      <c r="D311">
        <f t="shared" si="31"/>
        <v>96.806083650190118</v>
      </c>
      <c r="E311">
        <f t="shared" si="32"/>
        <v>77.777777777777786</v>
      </c>
      <c r="F311">
        <f t="shared" si="33"/>
        <v>1.0392902408111522</v>
      </c>
    </row>
    <row r="312" spans="1:6" x14ac:dyDescent="0.2">
      <c r="A312">
        <v>1500000</v>
      </c>
      <c r="B312">
        <v>22</v>
      </c>
      <c r="C312">
        <f t="shared" si="30"/>
        <v>128800000</v>
      </c>
      <c r="D312">
        <f t="shared" si="31"/>
        <v>97.946768060836504</v>
      </c>
      <c r="E312">
        <f t="shared" si="32"/>
        <v>81.481481481481481</v>
      </c>
      <c r="F312">
        <f t="shared" si="33"/>
        <v>0.90832277144064111</v>
      </c>
    </row>
    <row r="313" spans="1:6" x14ac:dyDescent="0.2">
      <c r="A313">
        <v>1000000</v>
      </c>
      <c r="B313">
        <v>23</v>
      </c>
      <c r="C313">
        <f t="shared" si="30"/>
        <v>129800000</v>
      </c>
      <c r="D313">
        <f t="shared" si="31"/>
        <v>98.707224334600767</v>
      </c>
      <c r="E313">
        <f t="shared" si="32"/>
        <v>85.18518518518519</v>
      </c>
      <c r="F313">
        <f t="shared" si="33"/>
        <v>0.63371356147021873</v>
      </c>
    </row>
    <row r="314" spans="1:6" x14ac:dyDescent="0.2">
      <c r="A314">
        <v>800000</v>
      </c>
      <c r="B314">
        <v>24</v>
      </c>
      <c r="C314">
        <f t="shared" si="30"/>
        <v>130600000</v>
      </c>
      <c r="D314">
        <f t="shared" si="31"/>
        <v>99.315589353612168</v>
      </c>
      <c r="E314">
        <f t="shared" si="32"/>
        <v>88.888888888888886</v>
      </c>
      <c r="F314">
        <f t="shared" si="33"/>
        <v>0.52950288691733083</v>
      </c>
    </row>
    <row r="315" spans="1:6" x14ac:dyDescent="0.2">
      <c r="A315">
        <v>500000</v>
      </c>
      <c r="B315">
        <v>25</v>
      </c>
      <c r="C315">
        <f t="shared" si="30"/>
        <v>131100000</v>
      </c>
      <c r="D315">
        <f t="shared" si="31"/>
        <v>99.695817490494292</v>
      </c>
      <c r="E315">
        <f t="shared" si="32"/>
        <v>92.592592592592595</v>
      </c>
      <c r="F315">
        <f t="shared" si="33"/>
        <v>0.34502182791155706</v>
      </c>
    </row>
    <row r="316" spans="1:6" x14ac:dyDescent="0.2">
      <c r="A316">
        <v>250000</v>
      </c>
      <c r="B316">
        <v>26</v>
      </c>
      <c r="C316">
        <f t="shared" si="30"/>
        <v>131350000</v>
      </c>
      <c r="D316">
        <f t="shared" si="31"/>
        <v>99.885931558935354</v>
      </c>
      <c r="E316">
        <f t="shared" si="32"/>
        <v>96.296296296296291</v>
      </c>
      <c r="F316">
        <f t="shared" si="33"/>
        <v>0.17955217574989191</v>
      </c>
    </row>
    <row r="317" spans="1:6" x14ac:dyDescent="0.2">
      <c r="A317">
        <v>150000</v>
      </c>
      <c r="B317">
        <v>27</v>
      </c>
      <c r="C317">
        <f t="shared" si="30"/>
        <v>131500000</v>
      </c>
      <c r="D317">
        <f t="shared" si="31"/>
        <v>100</v>
      </c>
      <c r="E317">
        <f t="shared" si="32"/>
        <v>100</v>
      </c>
      <c r="F317">
        <f t="shared" si="33"/>
        <v>0.11195606252641158</v>
      </c>
    </row>
    <row r="318" spans="1:6" x14ac:dyDescent="0.2">
      <c r="E318" t="s">
        <v>61</v>
      </c>
      <c r="F318">
        <f>SUM(F291:F317)</f>
        <v>26.793409378960707</v>
      </c>
    </row>
    <row r="319" spans="1:6" x14ac:dyDescent="0.2">
      <c r="E319" t="s">
        <v>56</v>
      </c>
      <c r="F319">
        <f>50-F318</f>
        <v>23.206590621039293</v>
      </c>
    </row>
    <row r="320" spans="1:6" x14ac:dyDescent="0.2">
      <c r="E320" t="s">
        <v>64</v>
      </c>
      <c r="F320">
        <f>F319/50</f>
        <v>0.46413181242078588</v>
      </c>
    </row>
    <row r="322" spans="1:6" x14ac:dyDescent="0.2">
      <c r="A322" t="s">
        <v>13</v>
      </c>
    </row>
    <row r="324" spans="1:6" x14ac:dyDescent="0.2">
      <c r="A324" t="s">
        <v>48</v>
      </c>
      <c r="B324" t="s">
        <v>46</v>
      </c>
      <c r="C324" t="s">
        <v>47</v>
      </c>
      <c r="D324" t="s">
        <v>51</v>
      </c>
      <c r="E324" t="s">
        <v>50</v>
      </c>
      <c r="F324" t="s">
        <v>100</v>
      </c>
    </row>
    <row r="325" spans="1:6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">
      <c r="A326">
        <v>10000000</v>
      </c>
      <c r="B326">
        <v>1</v>
      </c>
      <c r="C326">
        <f>A326</f>
        <v>10000000</v>
      </c>
      <c r="D326">
        <f>(C326/C$355)*100</f>
        <v>9.5510983763132753</v>
      </c>
      <c r="E326">
        <f>(B326/B$355)*100</f>
        <v>3.3333333333333335</v>
      </c>
      <c r="F326">
        <f>(E326+E325)/2*(D326-D325)/100</f>
        <v>0.1591849729385546</v>
      </c>
    </row>
    <row r="327" spans="1:6" x14ac:dyDescent="0.2">
      <c r="A327">
        <v>9000000</v>
      </c>
      <c r="B327">
        <v>2</v>
      </c>
      <c r="C327">
        <f>C326+A327</f>
        <v>19000000</v>
      </c>
      <c r="D327">
        <f t="shared" ref="D327:D355" si="34">(C327/C$355)*100</f>
        <v>18.147086914995224</v>
      </c>
      <c r="E327">
        <f t="shared" ref="E327:E355" si="35">(B327/B$355)*100</f>
        <v>6.666666666666667</v>
      </c>
      <c r="F327">
        <f t="shared" ref="F327:F355" si="36">(E327+E326)/2*(D327-D326)/100</f>
        <v>0.42979942693409745</v>
      </c>
    </row>
    <row r="328" spans="1:6" x14ac:dyDescent="0.2">
      <c r="A328">
        <v>7000000</v>
      </c>
      <c r="B328">
        <v>3</v>
      </c>
      <c r="C328">
        <f t="shared" ref="C328:C355" si="37">C327+A328</f>
        <v>26000000</v>
      </c>
      <c r="D328">
        <f t="shared" si="34"/>
        <v>24.832855778414515</v>
      </c>
      <c r="E328">
        <f t="shared" si="35"/>
        <v>10</v>
      </c>
      <c r="F328">
        <f t="shared" si="36"/>
        <v>0.557147405284941</v>
      </c>
    </row>
    <row r="329" spans="1:6" x14ac:dyDescent="0.2">
      <c r="A329">
        <v>6000000</v>
      </c>
      <c r="B329">
        <v>4</v>
      </c>
      <c r="C329">
        <f t="shared" si="37"/>
        <v>32000000</v>
      </c>
      <c r="D329">
        <f t="shared" si="34"/>
        <v>30.563514804202484</v>
      </c>
      <c r="E329">
        <f t="shared" si="35"/>
        <v>13.333333333333334</v>
      </c>
      <c r="F329">
        <f t="shared" si="36"/>
        <v>0.66857688634192969</v>
      </c>
    </row>
    <row r="330" spans="1:6" x14ac:dyDescent="0.2">
      <c r="A330">
        <v>5000000</v>
      </c>
      <c r="B330">
        <v>5</v>
      </c>
      <c r="C330">
        <f t="shared" si="37"/>
        <v>37000000</v>
      </c>
      <c r="D330">
        <f t="shared" si="34"/>
        <v>35.339063992359122</v>
      </c>
      <c r="E330">
        <f t="shared" si="35"/>
        <v>16.666666666666664</v>
      </c>
      <c r="F330">
        <f t="shared" si="36"/>
        <v>0.71633237822349571</v>
      </c>
    </row>
    <row r="331" spans="1:6" x14ac:dyDescent="0.2">
      <c r="A331">
        <v>5000000</v>
      </c>
      <c r="B331">
        <v>6</v>
      </c>
      <c r="C331">
        <f t="shared" si="37"/>
        <v>42000000</v>
      </c>
      <c r="D331">
        <f t="shared" si="34"/>
        <v>40.114613180515754</v>
      </c>
      <c r="E331">
        <f t="shared" si="35"/>
        <v>20</v>
      </c>
      <c r="F331">
        <f t="shared" si="36"/>
        <v>0.8755173511620491</v>
      </c>
    </row>
    <row r="332" spans="1:6" x14ac:dyDescent="0.2">
      <c r="A332">
        <v>4500000</v>
      </c>
      <c r="B332">
        <v>7</v>
      </c>
      <c r="C332">
        <f t="shared" si="37"/>
        <v>46500000</v>
      </c>
      <c r="D332">
        <f t="shared" si="34"/>
        <v>44.412607449856736</v>
      </c>
      <c r="E332">
        <f t="shared" si="35"/>
        <v>23.333333333333332</v>
      </c>
      <c r="F332">
        <f t="shared" si="36"/>
        <v>0.93123209169054599</v>
      </c>
    </row>
    <row r="333" spans="1:6" x14ac:dyDescent="0.2">
      <c r="A333">
        <v>4500000</v>
      </c>
      <c r="B333">
        <v>8</v>
      </c>
      <c r="C333">
        <f t="shared" si="37"/>
        <v>51000000</v>
      </c>
      <c r="D333">
        <f t="shared" si="34"/>
        <v>48.710601719197712</v>
      </c>
      <c r="E333">
        <f t="shared" si="35"/>
        <v>26.666666666666668</v>
      </c>
      <c r="F333">
        <f t="shared" si="36"/>
        <v>1.0744985673352438</v>
      </c>
    </row>
    <row r="334" spans="1:6" x14ac:dyDescent="0.2">
      <c r="A334">
        <v>4500000</v>
      </c>
      <c r="B334">
        <v>9</v>
      </c>
      <c r="C334">
        <f t="shared" si="37"/>
        <v>55500000</v>
      </c>
      <c r="D334">
        <f t="shared" si="34"/>
        <v>53.008595988538687</v>
      </c>
      <c r="E334">
        <f t="shared" si="35"/>
        <v>30</v>
      </c>
      <c r="F334">
        <f t="shared" si="36"/>
        <v>1.2177650429799431</v>
      </c>
    </row>
    <row r="335" spans="1:6" x14ac:dyDescent="0.2">
      <c r="A335">
        <v>4500000</v>
      </c>
      <c r="B335">
        <v>10</v>
      </c>
      <c r="C335">
        <f t="shared" si="37"/>
        <v>60000000</v>
      </c>
      <c r="D335">
        <f t="shared" si="34"/>
        <v>57.306590257879655</v>
      </c>
      <c r="E335">
        <f t="shared" si="35"/>
        <v>33.333333333333329</v>
      </c>
      <c r="F335">
        <f t="shared" si="36"/>
        <v>1.3610315186246398</v>
      </c>
    </row>
    <row r="336" spans="1:6" x14ac:dyDescent="0.2">
      <c r="A336">
        <v>4000000</v>
      </c>
      <c r="B336">
        <v>11</v>
      </c>
      <c r="C336">
        <f t="shared" si="37"/>
        <v>64000000</v>
      </c>
      <c r="D336">
        <f t="shared" si="34"/>
        <v>61.127029608404968</v>
      </c>
      <c r="E336">
        <f t="shared" si="35"/>
        <v>36.666666666666664</v>
      </c>
      <c r="F336">
        <f t="shared" si="36"/>
        <v>1.3371537726838594</v>
      </c>
    </row>
    <row r="337" spans="1:6" x14ac:dyDescent="0.2">
      <c r="A337">
        <v>4000000</v>
      </c>
      <c r="B337">
        <v>12</v>
      </c>
      <c r="C337">
        <f t="shared" si="37"/>
        <v>68000000</v>
      </c>
      <c r="D337">
        <f t="shared" si="34"/>
        <v>64.947468958930273</v>
      </c>
      <c r="E337">
        <f t="shared" si="35"/>
        <v>40</v>
      </c>
      <c r="F337">
        <f t="shared" si="36"/>
        <v>1.4645017510347</v>
      </c>
    </row>
    <row r="338" spans="1:6" x14ac:dyDescent="0.2">
      <c r="A338">
        <v>3500000</v>
      </c>
      <c r="B338">
        <v>13</v>
      </c>
      <c r="C338">
        <f t="shared" si="37"/>
        <v>71500000</v>
      </c>
      <c r="D338">
        <f t="shared" si="34"/>
        <v>68.290353390639922</v>
      </c>
      <c r="E338">
        <f t="shared" si="35"/>
        <v>43.333333333333336</v>
      </c>
      <c r="F338">
        <f t="shared" si="36"/>
        <v>1.3928685132123539</v>
      </c>
    </row>
    <row r="339" spans="1:6" x14ac:dyDescent="0.2">
      <c r="A339">
        <v>3500000</v>
      </c>
      <c r="B339">
        <v>14</v>
      </c>
      <c r="C339">
        <f t="shared" si="37"/>
        <v>75000000</v>
      </c>
      <c r="D339">
        <f t="shared" si="34"/>
        <v>71.633237822349571</v>
      </c>
      <c r="E339">
        <f t="shared" si="35"/>
        <v>46.666666666666664</v>
      </c>
      <c r="F339">
        <f t="shared" si="36"/>
        <v>1.5042979942693422</v>
      </c>
    </row>
    <row r="340" spans="1:6" x14ac:dyDescent="0.2">
      <c r="A340">
        <v>3000000</v>
      </c>
      <c r="B340">
        <v>15</v>
      </c>
      <c r="C340">
        <f t="shared" si="37"/>
        <v>78000000</v>
      </c>
      <c r="D340">
        <f t="shared" si="34"/>
        <v>74.49856733524355</v>
      </c>
      <c r="E340">
        <f t="shared" si="35"/>
        <v>50</v>
      </c>
      <c r="F340">
        <f t="shared" si="36"/>
        <v>1.3849092645654231</v>
      </c>
    </row>
    <row r="341" spans="1:6" x14ac:dyDescent="0.2">
      <c r="A341">
        <v>3000000</v>
      </c>
      <c r="B341">
        <v>16</v>
      </c>
      <c r="C341">
        <f t="shared" si="37"/>
        <v>81000000</v>
      </c>
      <c r="D341">
        <f t="shared" si="34"/>
        <v>77.363896848137543</v>
      </c>
      <c r="E341">
        <f t="shared" si="35"/>
        <v>53.333333333333336</v>
      </c>
      <c r="F341">
        <f t="shared" si="36"/>
        <v>1.4804202483285633</v>
      </c>
    </row>
    <row r="342" spans="1:6" x14ac:dyDescent="0.2">
      <c r="A342">
        <v>2700000</v>
      </c>
      <c r="B342">
        <v>17</v>
      </c>
      <c r="C342">
        <f t="shared" si="37"/>
        <v>83700000</v>
      </c>
      <c r="D342">
        <f t="shared" si="34"/>
        <v>79.94269340974212</v>
      </c>
      <c r="E342">
        <f t="shared" si="35"/>
        <v>56.666666666666664</v>
      </c>
      <c r="F342">
        <f t="shared" si="36"/>
        <v>1.4183381088825171</v>
      </c>
    </row>
    <row r="343" spans="1:6" x14ac:dyDescent="0.2">
      <c r="A343">
        <v>2500000</v>
      </c>
      <c r="B343">
        <v>18</v>
      </c>
      <c r="C343">
        <f t="shared" si="37"/>
        <v>86200000</v>
      </c>
      <c r="D343">
        <f t="shared" si="34"/>
        <v>82.330468003820428</v>
      </c>
      <c r="E343">
        <f t="shared" si="35"/>
        <v>60</v>
      </c>
      <c r="F343">
        <f t="shared" si="36"/>
        <v>1.3928685132123464</v>
      </c>
    </row>
    <row r="344" spans="1:6" x14ac:dyDescent="0.2">
      <c r="A344">
        <v>2500000</v>
      </c>
      <c r="B344">
        <v>19</v>
      </c>
      <c r="C344">
        <f t="shared" si="37"/>
        <v>88700000</v>
      </c>
      <c r="D344">
        <f t="shared" si="34"/>
        <v>84.718242597898765</v>
      </c>
      <c r="E344">
        <f t="shared" si="35"/>
        <v>63.333333333333329</v>
      </c>
      <c r="F344">
        <f t="shared" si="36"/>
        <v>1.4724609996816411</v>
      </c>
    </row>
    <row r="345" spans="1:6" x14ac:dyDescent="0.2">
      <c r="A345">
        <v>2000000</v>
      </c>
      <c r="B345">
        <v>20</v>
      </c>
      <c r="C345">
        <f t="shared" si="37"/>
        <v>90700000</v>
      </c>
      <c r="D345">
        <f t="shared" si="34"/>
        <v>86.628462273161404</v>
      </c>
      <c r="E345">
        <f t="shared" si="35"/>
        <v>66.666666666666657</v>
      </c>
      <c r="F345">
        <f t="shared" si="36"/>
        <v>1.2416427889207149</v>
      </c>
    </row>
    <row r="346" spans="1:6" x14ac:dyDescent="0.2">
      <c r="A346">
        <v>2000000</v>
      </c>
      <c r="B346">
        <v>21</v>
      </c>
      <c r="C346">
        <f t="shared" si="37"/>
        <v>92700000</v>
      </c>
      <c r="D346">
        <f t="shared" si="34"/>
        <v>88.53868194842407</v>
      </c>
      <c r="E346">
        <f t="shared" si="35"/>
        <v>70</v>
      </c>
      <c r="F346">
        <f>(E346+E345)/2*(D346-D345)/100</f>
        <v>1.3053167780961556</v>
      </c>
    </row>
    <row r="347" spans="1:6" x14ac:dyDescent="0.2">
      <c r="A347">
        <v>2000000</v>
      </c>
      <c r="B347">
        <v>22</v>
      </c>
      <c r="C347">
        <f t="shared" si="37"/>
        <v>94700000</v>
      </c>
      <c r="D347">
        <f t="shared" si="34"/>
        <v>90.448901623686723</v>
      </c>
      <c r="E347">
        <f t="shared" si="35"/>
        <v>73.333333333333329</v>
      </c>
      <c r="F347">
        <f t="shared" si="36"/>
        <v>1.3689907672715673</v>
      </c>
    </row>
    <row r="348" spans="1:6" x14ac:dyDescent="0.2">
      <c r="A348">
        <v>1500000</v>
      </c>
      <c r="B348">
        <v>23</v>
      </c>
      <c r="C348">
        <f t="shared" si="37"/>
        <v>96200000</v>
      </c>
      <c r="D348">
        <f t="shared" si="34"/>
        <v>91.881566380133719</v>
      </c>
      <c r="E348">
        <f t="shared" si="35"/>
        <v>76.666666666666671</v>
      </c>
      <c r="F348">
        <f t="shared" si="36"/>
        <v>1.0744985673352474</v>
      </c>
    </row>
    <row r="349" spans="1:6" x14ac:dyDescent="0.2">
      <c r="A349">
        <v>1500000</v>
      </c>
      <c r="B349">
        <v>24</v>
      </c>
      <c r="C349">
        <f t="shared" si="37"/>
        <v>97700000</v>
      </c>
      <c r="D349">
        <f t="shared" si="34"/>
        <v>93.314231136580702</v>
      </c>
      <c r="E349">
        <f t="shared" si="35"/>
        <v>80</v>
      </c>
      <c r="F349">
        <f t="shared" si="36"/>
        <v>1.1222540592168029</v>
      </c>
    </row>
    <row r="350" spans="1:6" x14ac:dyDescent="0.2">
      <c r="A350">
        <v>1500000</v>
      </c>
      <c r="B350">
        <v>25</v>
      </c>
      <c r="C350">
        <f t="shared" si="37"/>
        <v>99200000</v>
      </c>
      <c r="D350">
        <f t="shared" si="34"/>
        <v>94.746895893027698</v>
      </c>
      <c r="E350">
        <f t="shared" si="35"/>
        <v>83.333333333333343</v>
      </c>
      <c r="F350">
        <f t="shared" si="36"/>
        <v>1.1700095510983806</v>
      </c>
    </row>
    <row r="351" spans="1:6" x14ac:dyDescent="0.2">
      <c r="A351">
        <v>1500000</v>
      </c>
      <c r="B351">
        <v>26</v>
      </c>
      <c r="C351">
        <f t="shared" si="37"/>
        <v>100700000</v>
      </c>
      <c r="D351">
        <f t="shared" si="34"/>
        <v>96.179560649474695</v>
      </c>
      <c r="E351">
        <f t="shared" si="35"/>
        <v>86.666666666666671</v>
      </c>
      <c r="F351">
        <f t="shared" si="36"/>
        <v>1.2177650429799471</v>
      </c>
    </row>
    <row r="352" spans="1:6" x14ac:dyDescent="0.2">
      <c r="A352">
        <v>1500000</v>
      </c>
      <c r="B352">
        <v>27</v>
      </c>
      <c r="C352">
        <f t="shared" si="37"/>
        <v>102200000</v>
      </c>
      <c r="D352">
        <f t="shared" si="34"/>
        <v>97.612225405921677</v>
      </c>
      <c r="E352">
        <f t="shared" si="35"/>
        <v>90</v>
      </c>
      <c r="F352">
        <f t="shared" si="36"/>
        <v>1.2655205348615011</v>
      </c>
    </row>
    <row r="353" spans="1:6" x14ac:dyDescent="0.2">
      <c r="A353">
        <v>1000000</v>
      </c>
      <c r="B353">
        <v>28</v>
      </c>
      <c r="C353">
        <f t="shared" si="37"/>
        <v>103200000</v>
      </c>
      <c r="D353">
        <f t="shared" si="34"/>
        <v>98.567335243553018</v>
      </c>
      <c r="E353">
        <f t="shared" si="35"/>
        <v>93.333333333333329</v>
      </c>
      <c r="F353">
        <f t="shared" si="36"/>
        <v>0.87551735116206197</v>
      </c>
    </row>
    <row r="354" spans="1:6" x14ac:dyDescent="0.2">
      <c r="A354">
        <v>1000000</v>
      </c>
      <c r="B354">
        <v>29</v>
      </c>
      <c r="C354">
        <f t="shared" si="37"/>
        <v>104200000</v>
      </c>
      <c r="D354">
        <f t="shared" si="34"/>
        <v>99.522445081184344</v>
      </c>
      <c r="E354">
        <f t="shared" si="35"/>
        <v>96.666666666666671</v>
      </c>
      <c r="F354">
        <f t="shared" si="36"/>
        <v>0.90735434574975993</v>
      </c>
    </row>
    <row r="355" spans="1:6" x14ac:dyDescent="0.2">
      <c r="A355">
        <v>500000</v>
      </c>
      <c r="B355">
        <v>30</v>
      </c>
      <c r="C355">
        <f t="shared" si="37"/>
        <v>104700000</v>
      </c>
      <c r="D355">
        <f t="shared" si="34"/>
        <v>100</v>
      </c>
      <c r="E355">
        <f t="shared" si="35"/>
        <v>100</v>
      </c>
      <c r="F355">
        <f t="shared" si="36"/>
        <v>0.46959567016872844</v>
      </c>
    </row>
    <row r="356" spans="1:6" x14ac:dyDescent="0.2">
      <c r="E356" t="s">
        <v>61</v>
      </c>
      <c r="F356">
        <f>SUM(F326:F355)</f>
        <v>32.857370264247052</v>
      </c>
    </row>
    <row r="357" spans="1:6" x14ac:dyDescent="0.2">
      <c r="E357" t="s">
        <v>56</v>
      </c>
      <c r="F357">
        <f>50-F356</f>
        <v>17.142629735752948</v>
      </c>
    </row>
    <row r="358" spans="1:6" x14ac:dyDescent="0.2">
      <c r="E358" t="s">
        <v>49</v>
      </c>
      <c r="F358">
        <f>F357/50</f>
        <v>0.34285259471505897</v>
      </c>
    </row>
    <row r="360" spans="1:6" x14ac:dyDescent="0.2">
      <c r="A360" t="s">
        <v>71</v>
      </c>
    </row>
    <row r="362" spans="1:6" x14ac:dyDescent="0.2">
      <c r="A362" t="s">
        <v>77</v>
      </c>
      <c r="B362" t="s">
        <v>46</v>
      </c>
      <c r="C362" t="s">
        <v>47</v>
      </c>
      <c r="D362" t="s">
        <v>51</v>
      </c>
      <c r="E362" t="s">
        <v>50</v>
      </c>
      <c r="F362" t="s">
        <v>100</v>
      </c>
    </row>
    <row r="363" spans="1:6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">
      <c r="A364">
        <v>22000000</v>
      </c>
      <c r="B364">
        <v>1</v>
      </c>
      <c r="C364">
        <f>A364</f>
        <v>22000000</v>
      </c>
      <c r="D364">
        <f>(C364/C$395)*100</f>
        <v>12.768427161926871</v>
      </c>
      <c r="E364">
        <f>(B364/B$395)*100</f>
        <v>3.125</v>
      </c>
      <c r="F364">
        <f>(E364+E363)/2*(D364-D363)/100</f>
        <v>0.19950667440510736</v>
      </c>
    </row>
    <row r="365" spans="1:6" x14ac:dyDescent="0.2">
      <c r="A365">
        <v>12000000</v>
      </c>
      <c r="B365">
        <v>2</v>
      </c>
      <c r="C365">
        <f>C364+A365</f>
        <v>34000000</v>
      </c>
      <c r="D365">
        <f t="shared" ref="D365:D395" si="38">(C365/C$395)*100</f>
        <v>19.733023795705165</v>
      </c>
      <c r="E365">
        <f t="shared" ref="E365:E395" si="39">(B365/B$395)*100</f>
        <v>6.25</v>
      </c>
      <c r="F365">
        <f t="shared" ref="F365:F395" si="40">(E365+E364)/2*(D365-D364)/100</f>
        <v>0.32646546720835751</v>
      </c>
    </row>
    <row r="366" spans="1:6" x14ac:dyDescent="0.2">
      <c r="A366">
        <v>12000000</v>
      </c>
      <c r="B366">
        <v>3</v>
      </c>
      <c r="C366">
        <f t="shared" ref="C366:C395" si="41">C365+A366</f>
        <v>46000000</v>
      </c>
      <c r="D366">
        <f t="shared" si="38"/>
        <v>26.697620429483461</v>
      </c>
      <c r="E366">
        <f t="shared" si="39"/>
        <v>9.375</v>
      </c>
      <c r="F366">
        <f t="shared" si="40"/>
        <v>0.54410911201392931</v>
      </c>
    </row>
    <row r="367" spans="1:6" x14ac:dyDescent="0.2">
      <c r="A367">
        <v>11000000</v>
      </c>
      <c r="B367">
        <v>4</v>
      </c>
      <c r="C367">
        <f t="shared" si="41"/>
        <v>57000000</v>
      </c>
      <c r="D367">
        <f t="shared" si="38"/>
        <v>33.08183401044689</v>
      </c>
      <c r="E367">
        <f t="shared" si="39"/>
        <v>12.5</v>
      </c>
      <c r="F367">
        <f t="shared" si="40"/>
        <v>0.69827336041787502</v>
      </c>
    </row>
    <row r="368" spans="1:6" x14ac:dyDescent="0.2">
      <c r="A368">
        <v>10000000</v>
      </c>
      <c r="B368">
        <v>5</v>
      </c>
      <c r="C368">
        <f t="shared" si="41"/>
        <v>67000000</v>
      </c>
      <c r="D368">
        <f t="shared" si="38"/>
        <v>38.885664538595471</v>
      </c>
      <c r="E368">
        <f t="shared" si="39"/>
        <v>15.625</v>
      </c>
      <c r="F368">
        <f t="shared" si="40"/>
        <v>0.81616366802089413</v>
      </c>
    </row>
    <row r="369" spans="1:6" x14ac:dyDescent="0.2">
      <c r="A369">
        <v>10000000</v>
      </c>
      <c r="B369">
        <v>6</v>
      </c>
      <c r="C369">
        <f t="shared" si="41"/>
        <v>77000000</v>
      </c>
      <c r="D369">
        <f t="shared" si="38"/>
        <v>44.689495066744051</v>
      </c>
      <c r="E369">
        <f t="shared" si="39"/>
        <v>18.75</v>
      </c>
      <c r="F369">
        <f t="shared" si="40"/>
        <v>0.99753337202553727</v>
      </c>
    </row>
    <row r="370" spans="1:6" x14ac:dyDescent="0.2">
      <c r="A370">
        <v>10000000</v>
      </c>
      <c r="B370">
        <v>7</v>
      </c>
      <c r="C370">
        <f t="shared" si="41"/>
        <v>87000000</v>
      </c>
      <c r="D370">
        <f t="shared" si="38"/>
        <v>50.493325594892625</v>
      </c>
      <c r="E370">
        <f t="shared" si="39"/>
        <v>21.875</v>
      </c>
      <c r="F370">
        <f t="shared" si="40"/>
        <v>1.1789030760301791</v>
      </c>
    </row>
    <row r="371" spans="1:6" x14ac:dyDescent="0.2">
      <c r="A371">
        <v>10000000</v>
      </c>
      <c r="B371">
        <v>8</v>
      </c>
      <c r="C371">
        <f t="shared" si="41"/>
        <v>97000000</v>
      </c>
      <c r="D371">
        <f t="shared" si="38"/>
        <v>56.297156123041205</v>
      </c>
      <c r="E371">
        <f t="shared" si="39"/>
        <v>25</v>
      </c>
      <c r="F371">
        <f t="shared" si="40"/>
        <v>1.3602727800348235</v>
      </c>
    </row>
    <row r="372" spans="1:6" x14ac:dyDescent="0.2">
      <c r="A372">
        <v>9000000</v>
      </c>
      <c r="B372">
        <v>9</v>
      </c>
      <c r="C372">
        <f t="shared" si="41"/>
        <v>106000000</v>
      </c>
      <c r="D372">
        <f t="shared" si="38"/>
        <v>61.520603598374926</v>
      </c>
      <c r="E372">
        <f t="shared" si="39"/>
        <v>28.125</v>
      </c>
      <c r="F372">
        <f t="shared" si="40"/>
        <v>1.3874782356355198</v>
      </c>
    </row>
    <row r="373" spans="1:6" x14ac:dyDescent="0.2">
      <c r="A373">
        <v>9000000</v>
      </c>
      <c r="B373">
        <v>10</v>
      </c>
      <c r="C373">
        <f t="shared" si="41"/>
        <v>115000000</v>
      </c>
      <c r="D373">
        <f t="shared" si="38"/>
        <v>66.744051073708647</v>
      </c>
      <c r="E373">
        <f t="shared" si="39"/>
        <v>31.25</v>
      </c>
      <c r="F373">
        <f t="shared" si="40"/>
        <v>1.5507109692396983</v>
      </c>
    </row>
    <row r="374" spans="1:6" x14ac:dyDescent="0.2">
      <c r="A374">
        <v>7500000</v>
      </c>
      <c r="B374">
        <v>11</v>
      </c>
      <c r="C374">
        <f t="shared" si="41"/>
        <v>122500000</v>
      </c>
      <c r="D374">
        <f t="shared" si="38"/>
        <v>71.096923969820082</v>
      </c>
      <c r="E374">
        <f t="shared" si="39"/>
        <v>34.375</v>
      </c>
      <c r="F374">
        <f t="shared" si="40"/>
        <v>1.4282864190365645</v>
      </c>
    </row>
    <row r="375" spans="1:6" x14ac:dyDescent="0.2">
      <c r="A375">
        <v>7000000</v>
      </c>
      <c r="B375">
        <v>12</v>
      </c>
      <c r="C375">
        <f t="shared" si="41"/>
        <v>129500000</v>
      </c>
      <c r="D375">
        <f t="shared" si="38"/>
        <v>75.159605339524077</v>
      </c>
      <c r="E375">
        <f t="shared" si="39"/>
        <v>37.5</v>
      </c>
      <c r="F375">
        <f t="shared" si="40"/>
        <v>1.4600261172373732</v>
      </c>
    </row>
    <row r="376" spans="1:6" x14ac:dyDescent="0.2">
      <c r="A376">
        <v>6000000</v>
      </c>
      <c r="B376">
        <v>13</v>
      </c>
      <c r="C376">
        <f t="shared" si="41"/>
        <v>135500000</v>
      </c>
      <c r="D376">
        <f t="shared" si="38"/>
        <v>78.641903656413234</v>
      </c>
      <c r="E376">
        <f t="shared" si="39"/>
        <v>40.625</v>
      </c>
      <c r="F376">
        <f t="shared" si="40"/>
        <v>1.3602727800348269</v>
      </c>
    </row>
    <row r="377" spans="1:6" x14ac:dyDescent="0.2">
      <c r="A377">
        <v>4500000</v>
      </c>
      <c r="B377">
        <v>14</v>
      </c>
      <c r="C377">
        <f t="shared" si="41"/>
        <v>140000000</v>
      </c>
      <c r="D377">
        <f t="shared" si="38"/>
        <v>81.253627394080098</v>
      </c>
      <c r="E377">
        <f t="shared" si="39"/>
        <v>43.75</v>
      </c>
      <c r="F377">
        <f t="shared" si="40"/>
        <v>1.1018209518282083</v>
      </c>
    </row>
    <row r="378" spans="1:6" x14ac:dyDescent="0.2">
      <c r="A378">
        <v>3500000</v>
      </c>
      <c r="B378">
        <v>15</v>
      </c>
      <c r="C378">
        <f t="shared" si="41"/>
        <v>143500000</v>
      </c>
      <c r="D378">
        <f t="shared" si="38"/>
        <v>83.284968078932096</v>
      </c>
      <c r="E378">
        <f t="shared" si="39"/>
        <v>46.875</v>
      </c>
      <c r="F378">
        <f t="shared" si="40"/>
        <v>0.92045124782356136</v>
      </c>
    </row>
    <row r="379" spans="1:6" x14ac:dyDescent="0.2">
      <c r="A379">
        <v>3500000</v>
      </c>
      <c r="B379">
        <v>16</v>
      </c>
      <c r="C379">
        <f t="shared" si="41"/>
        <v>147000000</v>
      </c>
      <c r="D379">
        <f t="shared" si="38"/>
        <v>85.316308763784093</v>
      </c>
      <c r="E379">
        <f t="shared" si="39"/>
        <v>50</v>
      </c>
      <c r="F379">
        <f t="shared" si="40"/>
        <v>0.98393064422518639</v>
      </c>
    </row>
    <row r="380" spans="1:6" x14ac:dyDescent="0.2">
      <c r="A380">
        <v>3000000</v>
      </c>
      <c r="B380">
        <v>17</v>
      </c>
      <c r="C380">
        <f t="shared" si="41"/>
        <v>150000000</v>
      </c>
      <c r="D380">
        <f t="shared" si="38"/>
        <v>87.057457922228679</v>
      </c>
      <c r="E380">
        <f t="shared" si="39"/>
        <v>53.125</v>
      </c>
      <c r="F380">
        <f t="shared" si="40"/>
        <v>0.8977800348229894</v>
      </c>
    </row>
    <row r="381" spans="1:6" x14ac:dyDescent="0.2">
      <c r="A381">
        <v>3000000</v>
      </c>
      <c r="B381">
        <v>18</v>
      </c>
      <c r="C381">
        <f t="shared" si="41"/>
        <v>153000000</v>
      </c>
      <c r="D381">
        <f t="shared" si="38"/>
        <v>88.798607080673236</v>
      </c>
      <c r="E381">
        <f t="shared" si="39"/>
        <v>56.25</v>
      </c>
      <c r="F381">
        <f t="shared" si="40"/>
        <v>0.95219094602436716</v>
      </c>
    </row>
    <row r="382" spans="1:6" x14ac:dyDescent="0.2">
      <c r="A382">
        <v>2500000</v>
      </c>
      <c r="B382">
        <v>19</v>
      </c>
      <c r="C382">
        <f t="shared" si="41"/>
        <v>155500000</v>
      </c>
      <c r="D382">
        <f t="shared" si="38"/>
        <v>90.249564712710381</v>
      </c>
      <c r="E382">
        <f t="shared" si="39"/>
        <v>59.375</v>
      </c>
      <c r="F382">
        <f t="shared" si="40"/>
        <v>0.83883488102147452</v>
      </c>
    </row>
    <row r="383" spans="1:6" x14ac:dyDescent="0.2">
      <c r="A383">
        <v>2500000</v>
      </c>
      <c r="B383">
        <v>20</v>
      </c>
      <c r="C383">
        <f t="shared" si="41"/>
        <v>158000000</v>
      </c>
      <c r="D383">
        <f t="shared" si="38"/>
        <v>91.70052234474754</v>
      </c>
      <c r="E383">
        <f t="shared" si="39"/>
        <v>62.5</v>
      </c>
      <c r="F383">
        <f t="shared" si="40"/>
        <v>0.88417730702264397</v>
      </c>
    </row>
    <row r="384" spans="1:6" x14ac:dyDescent="0.2">
      <c r="A384">
        <v>2000000</v>
      </c>
      <c r="B384">
        <v>21</v>
      </c>
      <c r="C384">
        <f t="shared" si="41"/>
        <v>160000000</v>
      </c>
      <c r="D384">
        <f t="shared" si="38"/>
        <v>92.861288450377245</v>
      </c>
      <c r="E384">
        <f t="shared" si="39"/>
        <v>65.625</v>
      </c>
      <c r="F384">
        <f t="shared" si="40"/>
        <v>0.74361578641902948</v>
      </c>
    </row>
    <row r="385" spans="1:6" x14ac:dyDescent="0.2">
      <c r="A385">
        <v>2000000</v>
      </c>
      <c r="B385">
        <v>22</v>
      </c>
      <c r="C385">
        <f t="shared" si="41"/>
        <v>162000000</v>
      </c>
      <c r="D385">
        <f t="shared" si="38"/>
        <v>94.022054556006964</v>
      </c>
      <c r="E385">
        <f t="shared" si="39"/>
        <v>68.75</v>
      </c>
      <c r="F385">
        <f t="shared" si="40"/>
        <v>0.77988972721996741</v>
      </c>
    </row>
    <row r="386" spans="1:6" x14ac:dyDescent="0.2">
      <c r="A386">
        <v>2000000</v>
      </c>
      <c r="B386">
        <v>23</v>
      </c>
      <c r="C386">
        <f t="shared" si="41"/>
        <v>164000000</v>
      </c>
      <c r="D386">
        <f t="shared" si="38"/>
        <v>95.182820661636683</v>
      </c>
      <c r="E386">
        <f t="shared" si="39"/>
        <v>71.875</v>
      </c>
      <c r="F386">
        <f t="shared" si="40"/>
        <v>0.81616366802089613</v>
      </c>
    </row>
    <row r="387" spans="1:6" x14ac:dyDescent="0.2">
      <c r="A387">
        <v>1500000</v>
      </c>
      <c r="B387">
        <v>24</v>
      </c>
      <c r="C387">
        <f t="shared" si="41"/>
        <v>165500000</v>
      </c>
      <c r="D387">
        <f t="shared" si="38"/>
        <v>96.053395240858961</v>
      </c>
      <c r="E387">
        <f t="shared" si="39"/>
        <v>75</v>
      </c>
      <c r="F387">
        <f t="shared" si="40"/>
        <v>0.63932820661636081</v>
      </c>
    </row>
    <row r="388" spans="1:6" x14ac:dyDescent="0.2">
      <c r="A388">
        <v>1500000</v>
      </c>
      <c r="B388">
        <v>25</v>
      </c>
      <c r="C388">
        <f t="shared" si="41"/>
        <v>167000000</v>
      </c>
      <c r="D388">
        <f t="shared" si="38"/>
        <v>96.923969820081254</v>
      </c>
      <c r="E388">
        <f t="shared" si="39"/>
        <v>78.125</v>
      </c>
      <c r="F388">
        <f t="shared" si="40"/>
        <v>0.66653366221706789</v>
      </c>
    </row>
    <row r="389" spans="1:6" x14ac:dyDescent="0.2">
      <c r="A389">
        <v>1000000</v>
      </c>
      <c r="B389">
        <v>26</v>
      </c>
      <c r="C389">
        <f t="shared" si="41"/>
        <v>168000000</v>
      </c>
      <c r="D389">
        <f t="shared" si="38"/>
        <v>97.504352872896121</v>
      </c>
      <c r="E389">
        <f t="shared" si="39"/>
        <v>81.25</v>
      </c>
      <c r="F389">
        <f t="shared" si="40"/>
        <v>0.4624927452118468</v>
      </c>
    </row>
    <row r="390" spans="1:6" x14ac:dyDescent="0.2">
      <c r="A390">
        <v>1000000</v>
      </c>
      <c r="B390">
        <v>27</v>
      </c>
      <c r="C390">
        <f t="shared" si="41"/>
        <v>169000000</v>
      </c>
      <c r="D390">
        <f t="shared" si="38"/>
        <v>98.084735925710959</v>
      </c>
      <c r="E390">
        <f t="shared" si="39"/>
        <v>84.375</v>
      </c>
      <c r="F390">
        <f t="shared" si="40"/>
        <v>0.48062971561228784</v>
      </c>
    </row>
    <row r="391" spans="1:6" x14ac:dyDescent="0.2">
      <c r="A391">
        <v>1000000</v>
      </c>
      <c r="B391">
        <v>28</v>
      </c>
      <c r="C391">
        <f t="shared" si="41"/>
        <v>170000000</v>
      </c>
      <c r="D391">
        <f t="shared" si="38"/>
        <v>98.665118978525825</v>
      </c>
      <c r="E391">
        <f t="shared" si="39"/>
        <v>87.5</v>
      </c>
      <c r="F391">
        <f t="shared" si="40"/>
        <v>0.49876668601277596</v>
      </c>
    </row>
    <row r="392" spans="1:6" x14ac:dyDescent="0.2">
      <c r="A392">
        <v>750000</v>
      </c>
      <c r="B392">
        <v>29</v>
      </c>
      <c r="C392">
        <f t="shared" si="41"/>
        <v>170750000</v>
      </c>
      <c r="D392">
        <f t="shared" si="38"/>
        <v>99.100406268136979</v>
      </c>
      <c r="E392">
        <f t="shared" si="39"/>
        <v>90.625</v>
      </c>
      <c r="F392">
        <f t="shared" si="40"/>
        <v>0.38767774230993352</v>
      </c>
    </row>
    <row r="393" spans="1:6" x14ac:dyDescent="0.2">
      <c r="A393">
        <v>750000</v>
      </c>
      <c r="B393">
        <v>30</v>
      </c>
      <c r="C393">
        <f t="shared" si="41"/>
        <v>171500000</v>
      </c>
      <c r="D393">
        <f t="shared" si="38"/>
        <v>99.535693557748118</v>
      </c>
      <c r="E393">
        <f t="shared" si="39"/>
        <v>93.75</v>
      </c>
      <c r="F393">
        <f t="shared" si="40"/>
        <v>0.40128047011026902</v>
      </c>
    </row>
    <row r="394" spans="1:6" x14ac:dyDescent="0.2">
      <c r="A394">
        <v>500000</v>
      </c>
      <c r="B394">
        <v>31</v>
      </c>
      <c r="C394">
        <f t="shared" si="41"/>
        <v>172000000</v>
      </c>
      <c r="D394">
        <f t="shared" si="38"/>
        <v>99.825885084155544</v>
      </c>
      <c r="E394">
        <f t="shared" si="39"/>
        <v>96.875</v>
      </c>
      <c r="F394">
        <f t="shared" si="40"/>
        <v>0.27658879860707808</v>
      </c>
    </row>
    <row r="395" spans="1:6" x14ac:dyDescent="0.2">
      <c r="A395">
        <v>300000</v>
      </c>
      <c r="B395">
        <v>32</v>
      </c>
      <c r="C395">
        <f t="shared" si="41"/>
        <v>172300000</v>
      </c>
      <c r="D395">
        <f t="shared" si="38"/>
        <v>100</v>
      </c>
      <c r="E395">
        <f t="shared" si="39"/>
        <v>100</v>
      </c>
      <c r="F395">
        <f t="shared" si="40"/>
        <v>0.17139437028438606</v>
      </c>
    </row>
    <row r="396" spans="1:6" x14ac:dyDescent="0.2">
      <c r="E396" t="s">
        <v>61</v>
      </c>
      <c r="F396">
        <f>SUM(F364:F395)</f>
        <v>26.211549622751008</v>
      </c>
    </row>
    <row r="397" spans="1:6" x14ac:dyDescent="0.2">
      <c r="E397" t="s">
        <v>56</v>
      </c>
      <c r="F397">
        <f>50-F396</f>
        <v>23.788450377248992</v>
      </c>
    </row>
    <row r="398" spans="1:6" x14ac:dyDescent="0.2">
      <c r="E398" t="s">
        <v>49</v>
      </c>
      <c r="F398">
        <f>F397/50</f>
        <v>0.47576900754497986</v>
      </c>
    </row>
    <row r="401" spans="1:6" x14ac:dyDescent="0.2">
      <c r="A401" t="s">
        <v>80</v>
      </c>
    </row>
    <row r="403" spans="1:6" x14ac:dyDescent="0.2">
      <c r="A403" t="s">
        <v>77</v>
      </c>
      <c r="B403" t="s">
        <v>46</v>
      </c>
      <c r="C403" t="s">
        <v>47</v>
      </c>
      <c r="D403" t="s">
        <v>51</v>
      </c>
      <c r="E403" t="s">
        <v>50</v>
      </c>
      <c r="F403" t="s">
        <v>100</v>
      </c>
    </row>
    <row r="404" spans="1:6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">
      <c r="A405">
        <v>8</v>
      </c>
      <c r="B405">
        <v>1</v>
      </c>
      <c r="C405">
        <f>A405</f>
        <v>8</v>
      </c>
      <c r="D405">
        <f>(C405/C$441)*100</f>
        <v>12.269938650306749</v>
      </c>
      <c r="E405">
        <f>(B405/B$441)*100</f>
        <v>2.7027027027027026</v>
      </c>
      <c r="F405">
        <f>(E405+E404)/2*(D405-D404)/100</f>
        <v>0.165809981760902</v>
      </c>
    </row>
    <row r="406" spans="1:6" x14ac:dyDescent="0.2">
      <c r="A406">
        <v>4</v>
      </c>
      <c r="B406">
        <v>2</v>
      </c>
      <c r="C406">
        <f>C405+A406</f>
        <v>12</v>
      </c>
      <c r="D406">
        <f t="shared" ref="D406:D441" si="42">(C406/C$441)*100</f>
        <v>18.404907975460123</v>
      </c>
      <c r="E406">
        <f t="shared" ref="E406:E441" si="43">(B406/B$441)*100</f>
        <v>5.4054054054054053</v>
      </c>
      <c r="F406">
        <f t="shared" ref="F406:F441" si="44">(E406+E405)/2*(D406-D405)/100</f>
        <v>0.24871497264135303</v>
      </c>
    </row>
    <row r="407" spans="1:6" x14ac:dyDescent="0.2">
      <c r="A407">
        <v>3.5</v>
      </c>
      <c r="B407">
        <v>3</v>
      </c>
      <c r="C407">
        <f t="shared" ref="C407:C441" si="45">C406+A407</f>
        <v>15.5</v>
      </c>
      <c r="D407">
        <f t="shared" si="42"/>
        <v>23.773006134969325</v>
      </c>
      <c r="E407">
        <f t="shared" si="43"/>
        <v>8.1081081081081088</v>
      </c>
      <c r="F407">
        <f t="shared" si="44"/>
        <v>0.36270933510197312</v>
      </c>
    </row>
    <row r="408" spans="1:6" x14ac:dyDescent="0.2">
      <c r="A408">
        <v>3</v>
      </c>
      <c r="B408">
        <v>4</v>
      </c>
      <c r="C408">
        <f t="shared" si="45"/>
        <v>18.5</v>
      </c>
      <c r="D408">
        <f t="shared" si="42"/>
        <v>28.374233128834351</v>
      </c>
      <c r="E408">
        <f t="shared" si="43"/>
        <v>10.810810810810811</v>
      </c>
      <c r="F408">
        <f t="shared" si="44"/>
        <v>0.43525120212236734</v>
      </c>
    </row>
    <row r="409" spans="1:6" x14ac:dyDescent="0.2">
      <c r="A409">
        <v>3</v>
      </c>
      <c r="B409">
        <v>5</v>
      </c>
      <c r="C409">
        <f t="shared" si="45"/>
        <v>21.5</v>
      </c>
      <c r="D409">
        <f t="shared" si="42"/>
        <v>32.975460122699388</v>
      </c>
      <c r="E409">
        <f t="shared" si="43"/>
        <v>13.513513513513514</v>
      </c>
      <c r="F409">
        <f t="shared" si="44"/>
        <v>0.55960868844304501</v>
      </c>
    </row>
    <row r="410" spans="1:6" x14ac:dyDescent="0.2">
      <c r="A410">
        <v>3</v>
      </c>
      <c r="B410">
        <v>6</v>
      </c>
      <c r="C410">
        <f t="shared" si="45"/>
        <v>24.5</v>
      </c>
      <c r="D410">
        <f t="shared" si="42"/>
        <v>37.576687116564415</v>
      </c>
      <c r="E410">
        <f t="shared" si="43"/>
        <v>16.216216216216218</v>
      </c>
      <c r="F410">
        <f t="shared" si="44"/>
        <v>0.68396617476372013</v>
      </c>
    </row>
    <row r="411" spans="1:6" x14ac:dyDescent="0.2">
      <c r="A411">
        <v>3</v>
      </c>
      <c r="B411">
        <v>7</v>
      </c>
      <c r="C411">
        <f t="shared" si="45"/>
        <v>27.5</v>
      </c>
      <c r="D411">
        <f t="shared" si="42"/>
        <v>42.177914110429448</v>
      </c>
      <c r="E411">
        <f t="shared" si="43"/>
        <v>18.918918918918919</v>
      </c>
      <c r="F411">
        <f t="shared" si="44"/>
        <v>0.8083236610843979</v>
      </c>
    </row>
    <row r="412" spans="1:6" x14ac:dyDescent="0.2">
      <c r="A412">
        <v>2.5</v>
      </c>
      <c r="B412">
        <v>8</v>
      </c>
      <c r="C412">
        <f t="shared" si="45"/>
        <v>30</v>
      </c>
      <c r="D412">
        <f t="shared" si="42"/>
        <v>46.012269938650299</v>
      </c>
      <c r="E412">
        <f t="shared" si="43"/>
        <v>21.621621621621621</v>
      </c>
      <c r="F412">
        <f t="shared" si="44"/>
        <v>0.77723428950422646</v>
      </c>
    </row>
    <row r="413" spans="1:6" x14ac:dyDescent="0.2">
      <c r="A413">
        <v>2.5</v>
      </c>
      <c r="B413">
        <v>9</v>
      </c>
      <c r="C413">
        <f t="shared" si="45"/>
        <v>32.5</v>
      </c>
      <c r="D413">
        <f t="shared" si="42"/>
        <v>49.846625766871163</v>
      </c>
      <c r="E413">
        <f t="shared" si="43"/>
        <v>24.324324324324326</v>
      </c>
      <c r="F413">
        <f t="shared" si="44"/>
        <v>0.88086552810479335</v>
      </c>
    </row>
    <row r="414" spans="1:6" x14ac:dyDescent="0.2">
      <c r="A414">
        <v>2.5</v>
      </c>
      <c r="B414">
        <v>10</v>
      </c>
      <c r="C414">
        <f t="shared" si="45"/>
        <v>35</v>
      </c>
      <c r="D414">
        <f t="shared" si="42"/>
        <v>53.680981595092028</v>
      </c>
      <c r="E414">
        <f t="shared" si="43"/>
        <v>27.027027027027028</v>
      </c>
      <c r="F414">
        <f t="shared" si="44"/>
        <v>0.98449676670535724</v>
      </c>
    </row>
    <row r="415" spans="1:6" x14ac:dyDescent="0.2">
      <c r="A415">
        <v>2.5</v>
      </c>
      <c r="B415">
        <v>11</v>
      </c>
      <c r="C415">
        <f t="shared" si="45"/>
        <v>37.5</v>
      </c>
      <c r="D415">
        <f t="shared" si="42"/>
        <v>57.515337423312886</v>
      </c>
      <c r="E415">
        <f t="shared" si="43"/>
        <v>29.72972972972973</v>
      </c>
      <c r="F415">
        <f t="shared" si="44"/>
        <v>1.0881280053059192</v>
      </c>
    </row>
    <row r="416" spans="1:6" x14ac:dyDescent="0.2">
      <c r="A416">
        <v>2</v>
      </c>
      <c r="B416">
        <v>12</v>
      </c>
      <c r="C416">
        <f t="shared" si="45"/>
        <v>39.5</v>
      </c>
      <c r="D416">
        <f t="shared" si="42"/>
        <v>60.582822085889568</v>
      </c>
      <c r="E416">
        <f t="shared" si="43"/>
        <v>32.432432432432435</v>
      </c>
      <c r="F416">
        <f t="shared" si="44"/>
        <v>0.9534073951251848</v>
      </c>
    </row>
    <row r="417" spans="1:6" x14ac:dyDescent="0.2">
      <c r="A417">
        <v>2</v>
      </c>
      <c r="B417">
        <v>13</v>
      </c>
      <c r="C417">
        <f t="shared" si="45"/>
        <v>41.5</v>
      </c>
      <c r="D417">
        <f t="shared" si="42"/>
        <v>63.650306748466257</v>
      </c>
      <c r="E417">
        <f t="shared" si="43"/>
        <v>35.135135135135137</v>
      </c>
      <c r="F417">
        <f t="shared" si="44"/>
        <v>1.0363123860056382</v>
      </c>
    </row>
    <row r="418" spans="1:6" x14ac:dyDescent="0.2">
      <c r="A418">
        <v>2</v>
      </c>
      <c r="B418">
        <v>14</v>
      </c>
      <c r="C418">
        <f t="shared" si="45"/>
        <v>43.5</v>
      </c>
      <c r="D418">
        <f t="shared" si="42"/>
        <v>66.717791411042938</v>
      </c>
      <c r="E418">
        <f t="shared" si="43"/>
        <v>37.837837837837839</v>
      </c>
      <c r="F418">
        <f t="shared" si="44"/>
        <v>1.1192173768860867</v>
      </c>
    </row>
    <row r="419" spans="1:6" x14ac:dyDescent="0.2">
      <c r="A419">
        <v>2</v>
      </c>
      <c r="B419">
        <v>15</v>
      </c>
      <c r="C419">
        <f t="shared" si="45"/>
        <v>45.5</v>
      </c>
      <c r="D419">
        <f t="shared" si="42"/>
        <v>69.785276073619627</v>
      </c>
      <c r="E419">
        <f t="shared" si="43"/>
        <v>40.54054054054054</v>
      </c>
      <c r="F419">
        <f t="shared" si="44"/>
        <v>1.2021223677665405</v>
      </c>
    </row>
    <row r="420" spans="1:6" x14ac:dyDescent="0.2">
      <c r="A420">
        <v>2</v>
      </c>
      <c r="B420">
        <v>16</v>
      </c>
      <c r="C420">
        <f t="shared" si="45"/>
        <v>47.5</v>
      </c>
      <c r="D420">
        <f t="shared" si="42"/>
        <v>72.852760736196316</v>
      </c>
      <c r="E420">
        <f t="shared" si="43"/>
        <v>43.243243243243242</v>
      </c>
      <c r="F420">
        <f t="shared" si="44"/>
        <v>1.2850273586469911</v>
      </c>
    </row>
    <row r="421" spans="1:6" x14ac:dyDescent="0.2">
      <c r="A421">
        <v>2</v>
      </c>
      <c r="B421">
        <v>17</v>
      </c>
      <c r="C421">
        <f t="shared" si="45"/>
        <v>49.5</v>
      </c>
      <c r="D421">
        <f t="shared" si="42"/>
        <v>75.920245398773005</v>
      </c>
      <c r="E421">
        <f t="shared" si="43"/>
        <v>45.945945945945951</v>
      </c>
      <c r="F421">
        <f t="shared" si="44"/>
        <v>1.3679323495274425</v>
      </c>
    </row>
    <row r="422" spans="1:6" x14ac:dyDescent="0.2">
      <c r="A422">
        <v>1.5</v>
      </c>
      <c r="B422">
        <v>18</v>
      </c>
      <c r="C422">
        <f t="shared" si="45"/>
        <v>51</v>
      </c>
      <c r="D422">
        <f t="shared" si="42"/>
        <v>78.220858895705518</v>
      </c>
      <c r="E422">
        <f t="shared" si="43"/>
        <v>48.648648648648653</v>
      </c>
      <c r="F422">
        <f t="shared" si="44"/>
        <v>1.0881280053059186</v>
      </c>
    </row>
    <row r="423" spans="1:6" x14ac:dyDescent="0.2">
      <c r="A423">
        <v>1.5</v>
      </c>
      <c r="B423">
        <v>19</v>
      </c>
      <c r="C423">
        <f t="shared" si="45"/>
        <v>52.5</v>
      </c>
      <c r="D423">
        <f t="shared" si="42"/>
        <v>80.521472392638032</v>
      </c>
      <c r="E423">
        <f t="shared" si="43"/>
        <v>51.351351351351347</v>
      </c>
      <c r="F423">
        <f t="shared" si="44"/>
        <v>1.1503067484662566</v>
      </c>
    </row>
    <row r="424" spans="1:6" x14ac:dyDescent="0.2">
      <c r="A424">
        <v>1.5</v>
      </c>
      <c r="B424">
        <v>20</v>
      </c>
      <c r="C424">
        <f t="shared" si="45"/>
        <v>54</v>
      </c>
      <c r="D424">
        <f t="shared" si="42"/>
        <v>82.822085889570545</v>
      </c>
      <c r="E424">
        <f t="shared" si="43"/>
        <v>54.054054054054056</v>
      </c>
      <c r="F424">
        <f t="shared" si="44"/>
        <v>1.2124854916265948</v>
      </c>
    </row>
    <row r="425" spans="1:6" x14ac:dyDescent="0.2">
      <c r="A425">
        <v>1.2</v>
      </c>
      <c r="B425">
        <v>21</v>
      </c>
      <c r="C425">
        <f t="shared" si="45"/>
        <v>55.2</v>
      </c>
      <c r="D425">
        <f t="shared" si="42"/>
        <v>84.662576687116569</v>
      </c>
      <c r="E425">
        <f t="shared" si="43"/>
        <v>56.756756756756758</v>
      </c>
      <c r="F425">
        <f t="shared" si="44"/>
        <v>1.0197313878295542</v>
      </c>
    </row>
    <row r="426" spans="1:6" x14ac:dyDescent="0.2">
      <c r="A426">
        <v>1</v>
      </c>
      <c r="B426">
        <v>22</v>
      </c>
      <c r="C426">
        <f t="shared" si="45"/>
        <v>56.2</v>
      </c>
      <c r="D426">
        <f t="shared" si="42"/>
        <v>86.196319018404907</v>
      </c>
      <c r="E426">
        <f t="shared" si="43"/>
        <v>59.45945945945946</v>
      </c>
      <c r="F426">
        <f t="shared" si="44"/>
        <v>0.89122865196484469</v>
      </c>
    </row>
    <row r="427" spans="1:6" x14ac:dyDescent="0.2">
      <c r="A427">
        <v>1</v>
      </c>
      <c r="B427">
        <v>23</v>
      </c>
      <c r="C427">
        <f t="shared" si="45"/>
        <v>57.2</v>
      </c>
      <c r="D427">
        <f t="shared" si="42"/>
        <v>87.730061349693258</v>
      </c>
      <c r="E427">
        <f t="shared" si="43"/>
        <v>62.162162162162161</v>
      </c>
      <c r="F427">
        <f t="shared" si="44"/>
        <v>0.93268114740507857</v>
      </c>
    </row>
    <row r="428" spans="1:6" x14ac:dyDescent="0.2">
      <c r="A428">
        <v>1</v>
      </c>
      <c r="B428">
        <v>24</v>
      </c>
      <c r="C428">
        <f t="shared" si="45"/>
        <v>58.2</v>
      </c>
      <c r="D428">
        <f t="shared" si="42"/>
        <v>89.263803680981596</v>
      </c>
      <c r="E428">
        <f t="shared" si="43"/>
        <v>64.86486486486487</v>
      </c>
      <c r="F428">
        <f t="shared" si="44"/>
        <v>0.97413364284529536</v>
      </c>
    </row>
    <row r="429" spans="1:6" x14ac:dyDescent="0.2">
      <c r="A429">
        <v>1</v>
      </c>
      <c r="B429">
        <v>25</v>
      </c>
      <c r="C429">
        <f t="shared" si="45"/>
        <v>59.2</v>
      </c>
      <c r="D429">
        <f t="shared" si="42"/>
        <v>90.797546012269933</v>
      </c>
      <c r="E429">
        <f t="shared" si="43"/>
        <v>67.567567567567565</v>
      </c>
      <c r="F429">
        <f t="shared" si="44"/>
        <v>1.0155861382855209</v>
      </c>
    </row>
    <row r="430" spans="1:6" x14ac:dyDescent="0.2">
      <c r="A430">
        <v>1</v>
      </c>
      <c r="B430">
        <v>26</v>
      </c>
      <c r="C430">
        <f t="shared" si="45"/>
        <v>60.2</v>
      </c>
      <c r="D430">
        <f t="shared" si="42"/>
        <v>92.331288343558285</v>
      </c>
      <c r="E430">
        <f t="shared" si="43"/>
        <v>70.270270270270274</v>
      </c>
      <c r="F430">
        <f t="shared" si="44"/>
        <v>1.0570386337257558</v>
      </c>
    </row>
    <row r="431" spans="1:6" x14ac:dyDescent="0.2">
      <c r="A431">
        <v>1</v>
      </c>
      <c r="B431">
        <v>27</v>
      </c>
      <c r="C431">
        <f t="shared" si="45"/>
        <v>61.2</v>
      </c>
      <c r="D431">
        <f t="shared" si="42"/>
        <v>93.865030674846622</v>
      </c>
      <c r="E431">
        <f t="shared" si="43"/>
        <v>72.972972972972968</v>
      </c>
      <c r="F431">
        <f t="shared" si="44"/>
        <v>1.0984911291659711</v>
      </c>
    </row>
    <row r="432" spans="1:6" x14ac:dyDescent="0.2">
      <c r="A432">
        <v>0.75</v>
      </c>
      <c r="B432">
        <v>28</v>
      </c>
      <c r="C432">
        <f t="shared" si="45"/>
        <v>61.95</v>
      </c>
      <c r="D432">
        <f t="shared" si="42"/>
        <v>95.015337423312886</v>
      </c>
      <c r="E432">
        <f t="shared" si="43"/>
        <v>75.675675675675677</v>
      </c>
      <c r="F432">
        <f t="shared" si="44"/>
        <v>0.8549577184546554</v>
      </c>
    </row>
    <row r="433" spans="1:6" x14ac:dyDescent="0.2">
      <c r="A433">
        <v>0.5</v>
      </c>
      <c r="B433">
        <v>29</v>
      </c>
      <c r="C433">
        <f t="shared" si="45"/>
        <v>62.45</v>
      </c>
      <c r="D433">
        <f t="shared" si="42"/>
        <v>95.782208588957047</v>
      </c>
      <c r="E433">
        <f t="shared" si="43"/>
        <v>78.378378378378372</v>
      </c>
      <c r="F433">
        <f t="shared" si="44"/>
        <v>0.59069806002320557</v>
      </c>
    </row>
    <row r="434" spans="1:6" x14ac:dyDescent="0.2">
      <c r="A434">
        <v>0.5</v>
      </c>
      <c r="B434">
        <v>30</v>
      </c>
      <c r="C434">
        <f t="shared" si="45"/>
        <v>62.95</v>
      </c>
      <c r="D434">
        <f t="shared" si="42"/>
        <v>96.549079754601223</v>
      </c>
      <c r="E434">
        <f t="shared" si="43"/>
        <v>81.081081081081081</v>
      </c>
      <c r="F434">
        <f t="shared" si="44"/>
        <v>0.61142430774332934</v>
      </c>
    </row>
    <row r="435" spans="1:6" x14ac:dyDescent="0.2">
      <c r="A435">
        <v>0.5</v>
      </c>
      <c r="B435">
        <v>31</v>
      </c>
      <c r="C435">
        <f t="shared" si="45"/>
        <v>63.45</v>
      </c>
      <c r="D435">
        <f t="shared" si="42"/>
        <v>97.315950920245399</v>
      </c>
      <c r="E435">
        <f t="shared" si="43"/>
        <v>83.78378378378379</v>
      </c>
      <c r="F435">
        <f t="shared" si="44"/>
        <v>0.63215055546344223</v>
      </c>
    </row>
    <row r="436" spans="1:6" x14ac:dyDescent="0.2">
      <c r="A436">
        <v>0.5</v>
      </c>
      <c r="B436">
        <v>32</v>
      </c>
      <c r="C436">
        <f t="shared" si="45"/>
        <v>63.95</v>
      </c>
      <c r="D436">
        <f t="shared" si="42"/>
        <v>98.082822085889575</v>
      </c>
      <c r="E436">
        <f t="shared" si="43"/>
        <v>86.486486486486484</v>
      </c>
      <c r="F436">
        <f t="shared" si="44"/>
        <v>0.65287680318355501</v>
      </c>
    </row>
    <row r="437" spans="1:6" x14ac:dyDescent="0.2">
      <c r="A437">
        <v>0.25</v>
      </c>
      <c r="B437">
        <v>33</v>
      </c>
      <c r="C437">
        <f t="shared" si="45"/>
        <v>64.2</v>
      </c>
      <c r="D437">
        <f t="shared" si="42"/>
        <v>98.466257668711648</v>
      </c>
      <c r="E437">
        <f t="shared" si="43"/>
        <v>89.189189189189193</v>
      </c>
      <c r="F437">
        <f t="shared" si="44"/>
        <v>0.33680152545182146</v>
      </c>
    </row>
    <row r="438" spans="1:6" x14ac:dyDescent="0.2">
      <c r="A438">
        <v>0.25</v>
      </c>
      <c r="B438">
        <v>34</v>
      </c>
      <c r="C438">
        <f t="shared" si="45"/>
        <v>64.45</v>
      </c>
      <c r="D438">
        <f t="shared" si="42"/>
        <v>98.849693251533751</v>
      </c>
      <c r="E438">
        <f t="shared" si="43"/>
        <v>91.891891891891902</v>
      </c>
      <c r="F438">
        <f t="shared" si="44"/>
        <v>0.34716464931190333</v>
      </c>
    </row>
    <row r="439" spans="1:6" x14ac:dyDescent="0.2">
      <c r="A439">
        <v>0.25</v>
      </c>
      <c r="B439">
        <v>35</v>
      </c>
      <c r="C439">
        <f t="shared" si="45"/>
        <v>64.7</v>
      </c>
      <c r="D439">
        <f t="shared" si="42"/>
        <v>99.233128834355838</v>
      </c>
      <c r="E439">
        <f t="shared" si="43"/>
        <v>94.594594594594597</v>
      </c>
      <c r="F439">
        <f t="shared" si="44"/>
        <v>0.35752777317194684</v>
      </c>
    </row>
    <row r="440" spans="1:6" x14ac:dyDescent="0.2">
      <c r="A440">
        <v>0.25</v>
      </c>
      <c r="B440">
        <v>36</v>
      </c>
      <c r="C440">
        <f t="shared" si="45"/>
        <v>64.95</v>
      </c>
      <c r="D440">
        <f t="shared" si="42"/>
        <v>99.616564417177912</v>
      </c>
      <c r="E440">
        <f t="shared" si="43"/>
        <v>97.297297297297305</v>
      </c>
      <c r="F440">
        <f t="shared" si="44"/>
        <v>0.36789089703198963</v>
      </c>
    </row>
    <row r="441" spans="1:6" x14ac:dyDescent="0.2">
      <c r="A441">
        <v>0.25</v>
      </c>
      <c r="B441">
        <v>37</v>
      </c>
      <c r="C441">
        <f t="shared" si="45"/>
        <v>65.2</v>
      </c>
      <c r="D441">
        <f t="shared" si="42"/>
        <v>100</v>
      </c>
      <c r="E441">
        <f t="shared" si="43"/>
        <v>100</v>
      </c>
      <c r="F441">
        <f t="shared" si="44"/>
        <v>0.37825402089205967</v>
      </c>
    </row>
    <row r="442" spans="1:6" x14ac:dyDescent="0.2">
      <c r="E442" t="s">
        <v>63</v>
      </c>
      <c r="F442">
        <f>SUM(F405:F441)</f>
        <v>29.528685126844639</v>
      </c>
    </row>
    <row r="443" spans="1:6" x14ac:dyDescent="0.2">
      <c r="E443" t="s">
        <v>56</v>
      </c>
      <c r="F443">
        <f>50-F442</f>
        <v>20.471314873155361</v>
      </c>
    </row>
    <row r="444" spans="1:6" x14ac:dyDescent="0.2">
      <c r="E444" t="s">
        <v>49</v>
      </c>
      <c r="F444">
        <f>F443/50</f>
        <v>0.40942629746310721</v>
      </c>
    </row>
    <row r="446" spans="1:6" x14ac:dyDescent="0.2">
      <c r="A446" t="s">
        <v>81</v>
      </c>
    </row>
    <row r="448" spans="1:6" x14ac:dyDescent="0.2">
      <c r="A448" t="s">
        <v>48</v>
      </c>
      <c r="B448" t="s">
        <v>46</v>
      </c>
      <c r="C448" t="s">
        <v>47</v>
      </c>
      <c r="D448" t="s">
        <v>51</v>
      </c>
      <c r="E448" t="s">
        <v>50</v>
      </c>
      <c r="F448" t="s">
        <v>100</v>
      </c>
    </row>
    <row r="449" spans="1:6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">
      <c r="A450">
        <v>15</v>
      </c>
      <c r="B450">
        <v>1</v>
      </c>
      <c r="C450">
        <f>A450</f>
        <v>15</v>
      </c>
      <c r="D450">
        <f>(C450/C$480)*100</f>
        <v>11.771630370806358</v>
      </c>
      <c r="E450">
        <f>(B450/B$480)*100</f>
        <v>3.225806451612903</v>
      </c>
      <c r="F450">
        <f>(E450+E449)/2*(D450-D449)/100</f>
        <v>0.18986500598074771</v>
      </c>
    </row>
    <row r="451" spans="1:6" x14ac:dyDescent="0.2">
      <c r="A451">
        <v>12</v>
      </c>
      <c r="B451">
        <v>2</v>
      </c>
      <c r="C451">
        <f>C450+A451</f>
        <v>27</v>
      </c>
      <c r="D451">
        <f t="shared" ref="D451:D480" si="46">(C451/C$480)*100</f>
        <v>21.188934667451441</v>
      </c>
      <c r="E451">
        <f t="shared" ref="E451:E480" si="47">(B451/B$480)*100</f>
        <v>6.4516129032258061</v>
      </c>
      <c r="F451">
        <f t="shared" ref="F451:F480" si="48">(E451+E450)/2*(D451-D450)/100</f>
        <v>0.45567601435379429</v>
      </c>
    </row>
    <row r="452" spans="1:6" x14ac:dyDescent="0.2">
      <c r="A452">
        <v>9</v>
      </c>
      <c r="B452">
        <v>3</v>
      </c>
      <c r="C452">
        <f t="shared" ref="C452:C480" si="49">C451+A452</f>
        <v>36</v>
      </c>
      <c r="D452">
        <f t="shared" si="46"/>
        <v>28.251912889935255</v>
      </c>
      <c r="E452">
        <f t="shared" si="47"/>
        <v>9.67741935483871</v>
      </c>
      <c r="F452">
        <f t="shared" si="48"/>
        <v>0.56959501794224299</v>
      </c>
    </row>
    <row r="453" spans="1:6" x14ac:dyDescent="0.2">
      <c r="A453">
        <v>8</v>
      </c>
      <c r="B453">
        <v>4</v>
      </c>
      <c r="C453">
        <f t="shared" si="49"/>
        <v>44</v>
      </c>
      <c r="D453">
        <f t="shared" si="46"/>
        <v>34.530115754365312</v>
      </c>
      <c r="E453">
        <f t="shared" si="47"/>
        <v>12.903225806451612</v>
      </c>
      <c r="F453">
        <f t="shared" si="48"/>
        <v>0.70882935566145788</v>
      </c>
    </row>
    <row r="454" spans="1:6" x14ac:dyDescent="0.2">
      <c r="A454">
        <v>8</v>
      </c>
      <c r="B454">
        <v>5</v>
      </c>
      <c r="C454">
        <f t="shared" si="49"/>
        <v>52</v>
      </c>
      <c r="D454">
        <f t="shared" si="46"/>
        <v>40.808318618795369</v>
      </c>
      <c r="E454">
        <f t="shared" si="47"/>
        <v>16.129032258064516</v>
      </c>
      <c r="F454">
        <f t="shared" si="48"/>
        <v>0.91135202870758891</v>
      </c>
    </row>
    <row r="455" spans="1:6" x14ac:dyDescent="0.2">
      <c r="A455">
        <v>7.5</v>
      </c>
      <c r="B455">
        <v>6</v>
      </c>
      <c r="C455">
        <f t="shared" si="49"/>
        <v>59.5</v>
      </c>
      <c r="D455">
        <f t="shared" si="46"/>
        <v>46.69413380419855</v>
      </c>
      <c r="E455">
        <f t="shared" si="47"/>
        <v>19.35483870967742</v>
      </c>
      <c r="F455">
        <f t="shared" si="48"/>
        <v>1.0442575328941128</v>
      </c>
    </row>
    <row r="456" spans="1:6" x14ac:dyDescent="0.2">
      <c r="A456">
        <v>7</v>
      </c>
      <c r="B456">
        <v>7</v>
      </c>
      <c r="C456">
        <f t="shared" si="49"/>
        <v>66.5</v>
      </c>
      <c r="D456">
        <f t="shared" si="46"/>
        <v>52.18756131057485</v>
      </c>
      <c r="E456">
        <f t="shared" si="47"/>
        <v>22.58064516129032</v>
      </c>
      <c r="F456">
        <f t="shared" si="48"/>
        <v>1.1518477029498693</v>
      </c>
    </row>
    <row r="457" spans="1:6" x14ac:dyDescent="0.2">
      <c r="A457">
        <v>6.5</v>
      </c>
      <c r="B457">
        <v>8</v>
      </c>
      <c r="C457">
        <f t="shared" si="49"/>
        <v>73</v>
      </c>
      <c r="D457">
        <f t="shared" si="46"/>
        <v>57.288601137924267</v>
      </c>
      <c r="E457">
        <f t="shared" si="47"/>
        <v>25.806451612903224</v>
      </c>
      <c r="F457">
        <f t="shared" si="48"/>
        <v>1.2341225388748591</v>
      </c>
    </row>
    <row r="458" spans="1:6" x14ac:dyDescent="0.2">
      <c r="A458">
        <v>6.5</v>
      </c>
      <c r="B458">
        <v>9</v>
      </c>
      <c r="C458">
        <f t="shared" si="49"/>
        <v>79.5</v>
      </c>
      <c r="D458">
        <f t="shared" si="46"/>
        <v>62.389640965273699</v>
      </c>
      <c r="E458">
        <f t="shared" si="47"/>
        <v>29.032258064516132</v>
      </c>
      <c r="F458">
        <f t="shared" si="48"/>
        <v>1.3986722107248442</v>
      </c>
    </row>
    <row r="459" spans="1:6" x14ac:dyDescent="0.2">
      <c r="A459">
        <v>5.5</v>
      </c>
      <c r="B459">
        <v>10</v>
      </c>
      <c r="C459">
        <f t="shared" si="49"/>
        <v>85</v>
      </c>
      <c r="D459">
        <f t="shared" si="46"/>
        <v>66.70590543456936</v>
      </c>
      <c r="E459">
        <f t="shared" si="47"/>
        <v>32.258064516129032</v>
      </c>
      <c r="F459">
        <f t="shared" si="48"/>
        <v>1.3227262083325411</v>
      </c>
    </row>
    <row r="460" spans="1:6" x14ac:dyDescent="0.2">
      <c r="A460">
        <v>5</v>
      </c>
      <c r="B460">
        <v>11</v>
      </c>
      <c r="C460">
        <f t="shared" si="49"/>
        <v>90</v>
      </c>
      <c r="D460">
        <f t="shared" si="46"/>
        <v>70.629782224838138</v>
      </c>
      <c r="E460">
        <f t="shared" si="47"/>
        <v>35.483870967741936</v>
      </c>
      <c r="F460">
        <f t="shared" si="48"/>
        <v>1.3290550418652316</v>
      </c>
    </row>
    <row r="461" spans="1:6" x14ac:dyDescent="0.2">
      <c r="A461">
        <v>4.5</v>
      </c>
      <c r="B461">
        <v>12</v>
      </c>
      <c r="C461">
        <f t="shared" si="49"/>
        <v>94.5</v>
      </c>
      <c r="D461">
        <f t="shared" si="46"/>
        <v>74.161271336080048</v>
      </c>
      <c r="E461">
        <f t="shared" si="47"/>
        <v>38.70967741935484</v>
      </c>
      <c r="F461">
        <f t="shared" si="48"/>
        <v>1.3100685412671604</v>
      </c>
    </row>
    <row r="462" spans="1:6" x14ac:dyDescent="0.2">
      <c r="A462">
        <v>4.5</v>
      </c>
      <c r="B462">
        <v>13</v>
      </c>
      <c r="C462">
        <f t="shared" si="49"/>
        <v>99</v>
      </c>
      <c r="D462">
        <f t="shared" si="46"/>
        <v>77.692760447321945</v>
      </c>
      <c r="E462">
        <f t="shared" si="47"/>
        <v>41.935483870967744</v>
      </c>
      <c r="F462">
        <f t="shared" si="48"/>
        <v>1.4239875448556034</v>
      </c>
    </row>
    <row r="463" spans="1:6" x14ac:dyDescent="0.2">
      <c r="A463">
        <v>3.5</v>
      </c>
      <c r="B463">
        <v>14</v>
      </c>
      <c r="C463">
        <f t="shared" si="49"/>
        <v>102.5</v>
      </c>
      <c r="D463">
        <f t="shared" si="46"/>
        <v>80.439474200510105</v>
      </c>
      <c r="E463">
        <f t="shared" si="47"/>
        <v>45.161290322580641</v>
      </c>
      <c r="F463">
        <f t="shared" si="48"/>
        <v>1.196149537678715</v>
      </c>
    </row>
    <row r="464" spans="1:6" x14ac:dyDescent="0.2">
      <c r="A464">
        <v>3</v>
      </c>
      <c r="B464">
        <v>15</v>
      </c>
      <c r="C464">
        <f t="shared" si="49"/>
        <v>105.5</v>
      </c>
      <c r="D464">
        <f t="shared" si="46"/>
        <v>82.793800274671383</v>
      </c>
      <c r="E464">
        <f t="shared" si="47"/>
        <v>48.387096774193552</v>
      </c>
      <c r="F464">
        <f t="shared" si="48"/>
        <v>1.1012170346883399</v>
      </c>
    </row>
    <row r="465" spans="1:6" x14ac:dyDescent="0.2">
      <c r="A465">
        <v>3</v>
      </c>
      <c r="B465">
        <v>16</v>
      </c>
      <c r="C465">
        <f t="shared" si="49"/>
        <v>108.5</v>
      </c>
      <c r="D465">
        <f t="shared" si="46"/>
        <v>85.148126348832648</v>
      </c>
      <c r="E465">
        <f t="shared" si="47"/>
        <v>51.612903225806448</v>
      </c>
      <c r="F465">
        <f t="shared" si="48"/>
        <v>1.1771630370806321</v>
      </c>
    </row>
    <row r="466" spans="1:6" x14ac:dyDescent="0.2">
      <c r="A466">
        <v>3</v>
      </c>
      <c r="B466">
        <v>17</v>
      </c>
      <c r="C466">
        <f t="shared" si="49"/>
        <v>111.5</v>
      </c>
      <c r="D466">
        <f t="shared" si="46"/>
        <v>87.502452422993912</v>
      </c>
      <c r="E466">
        <f t="shared" si="47"/>
        <v>54.838709677419352</v>
      </c>
      <c r="F466">
        <f t="shared" si="48"/>
        <v>1.2531090394729307</v>
      </c>
    </row>
    <row r="467" spans="1:6" x14ac:dyDescent="0.2">
      <c r="A467">
        <v>3</v>
      </c>
      <c r="B467">
        <v>18</v>
      </c>
      <c r="C467">
        <f t="shared" si="49"/>
        <v>114.5</v>
      </c>
      <c r="D467">
        <f t="shared" si="46"/>
        <v>89.85677849715519</v>
      </c>
      <c r="E467">
        <f t="shared" si="47"/>
        <v>58.064516129032263</v>
      </c>
      <c r="F467">
        <f t="shared" si="48"/>
        <v>1.3290550418652378</v>
      </c>
    </row>
    <row r="468" spans="1:6" x14ac:dyDescent="0.2">
      <c r="A468">
        <v>2.5</v>
      </c>
      <c r="B468">
        <v>19</v>
      </c>
      <c r="C468">
        <f t="shared" si="49"/>
        <v>117</v>
      </c>
      <c r="D468">
        <f t="shared" si="46"/>
        <v>91.818716892289586</v>
      </c>
      <c r="E468">
        <f t="shared" si="47"/>
        <v>61.29032258064516</v>
      </c>
      <c r="F468">
        <f t="shared" si="48"/>
        <v>1.1708342035479462</v>
      </c>
    </row>
    <row r="469" spans="1:6" x14ac:dyDescent="0.2">
      <c r="A469">
        <v>2</v>
      </c>
      <c r="B469">
        <v>20</v>
      </c>
      <c r="C469">
        <f t="shared" si="49"/>
        <v>119</v>
      </c>
      <c r="D469">
        <f t="shared" si="46"/>
        <v>93.388267608397101</v>
      </c>
      <c r="E469">
        <f t="shared" si="47"/>
        <v>64.516129032258064</v>
      </c>
      <c r="F469">
        <f t="shared" si="48"/>
        <v>0.9872980310998879</v>
      </c>
    </row>
    <row r="470" spans="1:6" x14ac:dyDescent="0.2">
      <c r="A470">
        <v>2</v>
      </c>
      <c r="B470">
        <v>21</v>
      </c>
      <c r="C470">
        <f t="shared" si="49"/>
        <v>121</v>
      </c>
      <c r="D470">
        <f t="shared" si="46"/>
        <v>94.957818324504615</v>
      </c>
      <c r="E470">
        <f t="shared" si="47"/>
        <v>67.741935483870961</v>
      </c>
      <c r="F470">
        <f t="shared" si="48"/>
        <v>1.0379286993614205</v>
      </c>
    </row>
    <row r="471" spans="1:6" x14ac:dyDescent="0.2">
      <c r="A471">
        <v>1.5</v>
      </c>
      <c r="B471">
        <v>22</v>
      </c>
      <c r="C471">
        <f t="shared" si="49"/>
        <v>122.5</v>
      </c>
      <c r="D471">
        <f t="shared" si="46"/>
        <v>96.134981361585247</v>
      </c>
      <c r="E471">
        <f t="shared" si="47"/>
        <v>70.967741935483872</v>
      </c>
      <c r="F471">
        <f t="shared" si="48"/>
        <v>0.81641952571721244</v>
      </c>
    </row>
    <row r="472" spans="1:6" x14ac:dyDescent="0.2">
      <c r="A472">
        <v>1</v>
      </c>
      <c r="B472">
        <v>23</v>
      </c>
      <c r="C472">
        <f t="shared" si="49"/>
        <v>123.5</v>
      </c>
      <c r="D472">
        <f t="shared" si="46"/>
        <v>96.919756719639011</v>
      </c>
      <c r="E472">
        <f t="shared" si="47"/>
        <v>74.193548387096769</v>
      </c>
      <c r="F472">
        <f t="shared" si="48"/>
        <v>0.56959501794224821</v>
      </c>
    </row>
    <row r="473" spans="1:6" x14ac:dyDescent="0.2">
      <c r="A473">
        <v>1</v>
      </c>
      <c r="B473">
        <v>24</v>
      </c>
      <c r="C473">
        <f t="shared" si="49"/>
        <v>124.5</v>
      </c>
      <c r="D473">
        <f t="shared" si="46"/>
        <v>97.704532077692761</v>
      </c>
      <c r="E473">
        <f t="shared" si="47"/>
        <v>77.41935483870968</v>
      </c>
      <c r="F473">
        <f t="shared" si="48"/>
        <v>0.59491035207300402</v>
      </c>
    </row>
    <row r="474" spans="1:6" x14ac:dyDescent="0.2">
      <c r="A474">
        <v>1</v>
      </c>
      <c r="B474">
        <v>25</v>
      </c>
      <c r="C474">
        <f t="shared" si="49"/>
        <v>125.5</v>
      </c>
      <c r="D474">
        <f t="shared" si="46"/>
        <v>98.489307435746525</v>
      </c>
      <c r="E474">
        <f t="shared" si="47"/>
        <v>80.645161290322577</v>
      </c>
      <c r="F474">
        <f t="shared" si="48"/>
        <v>0.62022568620378138</v>
      </c>
    </row>
    <row r="475" spans="1:6" x14ac:dyDescent="0.2">
      <c r="A475">
        <v>0.75</v>
      </c>
      <c r="B475">
        <v>26</v>
      </c>
      <c r="C475">
        <f t="shared" si="49"/>
        <v>126.25</v>
      </c>
      <c r="D475">
        <f t="shared" si="46"/>
        <v>99.077888954286834</v>
      </c>
      <c r="E475">
        <f t="shared" si="47"/>
        <v>83.870967741935488</v>
      </c>
      <c r="F475">
        <f t="shared" si="48"/>
        <v>0.48415576525089926</v>
      </c>
    </row>
    <row r="476" spans="1:6" x14ac:dyDescent="0.2">
      <c r="A476">
        <v>0.75</v>
      </c>
      <c r="B476">
        <v>27</v>
      </c>
      <c r="C476">
        <f t="shared" si="49"/>
        <v>127</v>
      </c>
      <c r="D476">
        <f t="shared" si="46"/>
        <v>99.666470472827157</v>
      </c>
      <c r="E476">
        <f t="shared" si="47"/>
        <v>87.096774193548384</v>
      </c>
      <c r="F476">
        <f t="shared" si="48"/>
        <v>0.50314226584898591</v>
      </c>
    </row>
    <row r="477" spans="1:6" x14ac:dyDescent="0.2">
      <c r="A477">
        <v>0.2</v>
      </c>
      <c r="B477">
        <v>28</v>
      </c>
      <c r="C477">
        <f t="shared" si="49"/>
        <v>127.2</v>
      </c>
      <c r="D477">
        <f t="shared" si="46"/>
        <v>99.82342554443791</v>
      </c>
      <c r="E477">
        <f t="shared" si="47"/>
        <v>90.322580645161281</v>
      </c>
      <c r="F477">
        <f t="shared" si="48"/>
        <v>0.1392343377192162</v>
      </c>
    </row>
    <row r="478" spans="1:6" x14ac:dyDescent="0.2">
      <c r="A478">
        <v>0.1</v>
      </c>
      <c r="B478">
        <v>29</v>
      </c>
      <c r="C478">
        <f t="shared" si="49"/>
        <v>127.3</v>
      </c>
      <c r="D478">
        <f t="shared" si="46"/>
        <v>99.901903080243287</v>
      </c>
      <c r="E478">
        <f t="shared" si="47"/>
        <v>93.548387096774192</v>
      </c>
      <c r="F478">
        <f t="shared" si="48"/>
        <v>7.2148702272684773E-2</v>
      </c>
    </row>
    <row r="479" spans="1:6" x14ac:dyDescent="0.2">
      <c r="A479">
        <v>7.4999999999999997E-2</v>
      </c>
      <c r="B479">
        <v>30</v>
      </c>
      <c r="C479">
        <f t="shared" si="49"/>
        <v>127.375</v>
      </c>
      <c r="D479">
        <f t="shared" si="46"/>
        <v>99.960761232097312</v>
      </c>
      <c r="E479">
        <f t="shared" si="47"/>
        <v>96.774193548387103</v>
      </c>
      <c r="F479">
        <f t="shared" si="48"/>
        <v>5.6010176764314308E-2</v>
      </c>
    </row>
    <row r="480" spans="1:6" x14ac:dyDescent="0.2">
      <c r="A480">
        <v>0.05</v>
      </c>
      <c r="B480">
        <v>31</v>
      </c>
      <c r="C480">
        <f t="shared" si="49"/>
        <v>127.425</v>
      </c>
      <c r="D480">
        <f t="shared" si="46"/>
        <v>100</v>
      </c>
      <c r="E480">
        <f t="shared" si="47"/>
        <v>100</v>
      </c>
      <c r="F480">
        <f t="shared" si="48"/>
        <v>3.8605884549419045E-2</v>
      </c>
    </row>
    <row r="481" spans="1:6" x14ac:dyDescent="0.2">
      <c r="E481" t="s">
        <v>63</v>
      </c>
      <c r="F481">
        <f>SUM(F450:F480)</f>
        <v>26.19725708354693</v>
      </c>
    </row>
    <row r="482" spans="1:6" x14ac:dyDescent="0.2">
      <c r="E482" t="s">
        <v>56</v>
      </c>
      <c r="F482">
        <f>50-F481</f>
        <v>23.80274291645307</v>
      </c>
    </row>
    <row r="483" spans="1:6" x14ac:dyDescent="0.2">
      <c r="E483" t="s">
        <v>49</v>
      </c>
      <c r="F483">
        <f>F482/50</f>
        <v>0.47605485832906141</v>
      </c>
    </row>
    <row r="485" spans="1:6" x14ac:dyDescent="0.2">
      <c r="A485" t="s">
        <v>67</v>
      </c>
    </row>
    <row r="486" spans="1:6" x14ac:dyDescent="0.2">
      <c r="A486" t="s">
        <v>48</v>
      </c>
      <c r="B486" t="s">
        <v>46</v>
      </c>
      <c r="C486" t="s">
        <v>47</v>
      </c>
      <c r="D486" t="s">
        <v>51</v>
      </c>
      <c r="E486" t="s">
        <v>50</v>
      </c>
      <c r="F486" t="s">
        <v>100</v>
      </c>
    </row>
    <row r="487" spans="1:6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">
      <c r="A488">
        <v>16</v>
      </c>
      <c r="B488">
        <v>1</v>
      </c>
      <c r="C488">
        <f>A488</f>
        <v>16</v>
      </c>
      <c r="D488">
        <f>(C488/C$521)*100</f>
        <v>14.611872146118721</v>
      </c>
      <c r="E488">
        <f>(B488/B$521)*100</f>
        <v>2.9411764705882351</v>
      </c>
      <c r="F488">
        <f>(E488+E487)/2*(D488-D487)/100</f>
        <v>0.21488047273703997</v>
      </c>
    </row>
    <row r="489" spans="1:6" x14ac:dyDescent="0.2">
      <c r="A489">
        <v>7</v>
      </c>
      <c r="B489">
        <v>2</v>
      </c>
      <c r="C489">
        <f>C488+A489</f>
        <v>23</v>
      </c>
      <c r="D489">
        <f t="shared" ref="D489:D521" si="50">(C489/C$521)*100</f>
        <v>21.00456621004566</v>
      </c>
      <c r="E489">
        <f t="shared" ref="E489:E521" si="51">(B489/B$521)*100</f>
        <v>5.8823529411764701</v>
      </c>
      <c r="F489">
        <f t="shared" ref="F489:F521" si="52">(E489+E488)/2*(D489-D488)/100</f>
        <v>0.28203062046736493</v>
      </c>
    </row>
    <row r="490" spans="1:6" x14ac:dyDescent="0.2">
      <c r="A490">
        <v>7</v>
      </c>
      <c r="B490">
        <v>3</v>
      </c>
      <c r="C490">
        <f t="shared" ref="C490:C521" si="53">C489+A490</f>
        <v>30</v>
      </c>
      <c r="D490">
        <f t="shared" si="50"/>
        <v>27.397260273972602</v>
      </c>
      <c r="E490">
        <f t="shared" si="51"/>
        <v>8.8235294117647065</v>
      </c>
      <c r="F490">
        <f t="shared" si="52"/>
        <v>0.47005103411227522</v>
      </c>
    </row>
    <row r="491" spans="1:6" x14ac:dyDescent="0.2">
      <c r="A491">
        <v>7</v>
      </c>
      <c r="B491">
        <v>4</v>
      </c>
      <c r="C491">
        <f t="shared" si="53"/>
        <v>37</v>
      </c>
      <c r="D491">
        <f t="shared" si="50"/>
        <v>33.789954337899545</v>
      </c>
      <c r="E491">
        <f t="shared" si="51"/>
        <v>11.76470588235294</v>
      </c>
      <c r="F491">
        <f t="shared" si="52"/>
        <v>0.65807144775718518</v>
      </c>
    </row>
    <row r="492" spans="1:6" x14ac:dyDescent="0.2">
      <c r="A492">
        <v>6</v>
      </c>
      <c r="B492">
        <v>5</v>
      </c>
      <c r="C492">
        <f t="shared" si="53"/>
        <v>43</v>
      </c>
      <c r="D492">
        <f t="shared" si="50"/>
        <v>39.269406392694059</v>
      </c>
      <c r="E492">
        <f t="shared" si="51"/>
        <v>14.705882352941178</v>
      </c>
      <c r="F492">
        <f t="shared" si="52"/>
        <v>0.7252215954875092</v>
      </c>
    </row>
    <row r="493" spans="1:6" x14ac:dyDescent="0.2">
      <c r="A493">
        <v>5.5</v>
      </c>
      <c r="B493">
        <v>6</v>
      </c>
      <c r="C493">
        <f t="shared" si="53"/>
        <v>48.5</v>
      </c>
      <c r="D493">
        <f t="shared" si="50"/>
        <v>44.292237442922371</v>
      </c>
      <c r="E493">
        <f t="shared" si="51"/>
        <v>17.647058823529413</v>
      </c>
      <c r="F493">
        <f t="shared" si="52"/>
        <v>0.81251678753693302</v>
      </c>
    </row>
    <row r="494" spans="1:6" x14ac:dyDescent="0.2">
      <c r="A494">
        <v>5</v>
      </c>
      <c r="B494">
        <v>7</v>
      </c>
      <c r="C494">
        <f t="shared" si="53"/>
        <v>53.5</v>
      </c>
      <c r="D494">
        <f t="shared" si="50"/>
        <v>48.858447488584474</v>
      </c>
      <c r="E494">
        <f t="shared" si="51"/>
        <v>20.588235294117645</v>
      </c>
      <c r="F494">
        <f t="shared" si="52"/>
        <v>0.87295192049422565</v>
      </c>
    </row>
    <row r="495" spans="1:6" x14ac:dyDescent="0.2">
      <c r="A495">
        <v>5</v>
      </c>
      <c r="B495">
        <v>8</v>
      </c>
      <c r="C495">
        <f t="shared" si="53"/>
        <v>58.5</v>
      </c>
      <c r="D495">
        <f t="shared" si="50"/>
        <v>53.424657534246577</v>
      </c>
      <c r="E495">
        <f t="shared" si="51"/>
        <v>23.52941176470588</v>
      </c>
      <c r="F495">
        <f t="shared" si="52"/>
        <v>1.0072522159548756</v>
      </c>
    </row>
    <row r="496" spans="1:6" x14ac:dyDescent="0.2">
      <c r="A496">
        <v>5</v>
      </c>
      <c r="B496">
        <v>9</v>
      </c>
      <c r="C496">
        <f t="shared" si="53"/>
        <v>63.5</v>
      </c>
      <c r="D496">
        <f t="shared" si="50"/>
        <v>57.990867579908681</v>
      </c>
      <c r="E496">
        <f t="shared" si="51"/>
        <v>26.47058823529412</v>
      </c>
      <c r="F496">
        <f t="shared" si="52"/>
        <v>1.1415525114155258</v>
      </c>
    </row>
    <row r="497" spans="1:6" x14ac:dyDescent="0.2">
      <c r="A497">
        <v>4.5</v>
      </c>
      <c r="B497">
        <v>10</v>
      </c>
      <c r="C497">
        <f t="shared" si="53"/>
        <v>68</v>
      </c>
      <c r="D497">
        <f t="shared" si="50"/>
        <v>62.100456621004561</v>
      </c>
      <c r="E497">
        <f t="shared" si="51"/>
        <v>29.411764705882355</v>
      </c>
      <c r="F497">
        <f t="shared" si="52"/>
        <v>1.1482675261885549</v>
      </c>
    </row>
    <row r="498" spans="1:6" x14ac:dyDescent="0.2">
      <c r="A498">
        <v>4.5</v>
      </c>
      <c r="B498">
        <v>11</v>
      </c>
      <c r="C498">
        <f t="shared" si="53"/>
        <v>72.5</v>
      </c>
      <c r="D498">
        <f t="shared" si="50"/>
        <v>66.210045662100455</v>
      </c>
      <c r="E498">
        <f t="shared" si="51"/>
        <v>32.352941176470587</v>
      </c>
      <c r="F498">
        <f t="shared" si="52"/>
        <v>1.2691377921031439</v>
      </c>
    </row>
    <row r="499" spans="1:6" x14ac:dyDescent="0.2">
      <c r="A499">
        <v>4</v>
      </c>
      <c r="B499">
        <v>12</v>
      </c>
      <c r="C499">
        <f t="shared" si="53"/>
        <v>76.5</v>
      </c>
      <c r="D499">
        <f t="shared" si="50"/>
        <v>69.863013698630141</v>
      </c>
      <c r="E499">
        <f t="shared" si="51"/>
        <v>35.294117647058826</v>
      </c>
      <c r="F499">
        <f t="shared" si="52"/>
        <v>1.235562718237982</v>
      </c>
    </row>
    <row r="500" spans="1:6" x14ac:dyDescent="0.2">
      <c r="A500">
        <v>3</v>
      </c>
      <c r="B500">
        <v>13</v>
      </c>
      <c r="C500">
        <f t="shared" si="53"/>
        <v>79.5</v>
      </c>
      <c r="D500">
        <f t="shared" si="50"/>
        <v>72.602739726027394</v>
      </c>
      <c r="E500">
        <f t="shared" si="51"/>
        <v>38.235294117647058</v>
      </c>
      <c r="F500">
        <f t="shared" si="52"/>
        <v>1.0072522159548725</v>
      </c>
    </row>
    <row r="501" spans="1:6" x14ac:dyDescent="0.2">
      <c r="A501">
        <v>3</v>
      </c>
      <c r="B501">
        <v>14</v>
      </c>
      <c r="C501">
        <f t="shared" si="53"/>
        <v>82.5</v>
      </c>
      <c r="D501">
        <f t="shared" si="50"/>
        <v>75.342465753424662</v>
      </c>
      <c r="E501">
        <f t="shared" si="51"/>
        <v>41.17647058823529</v>
      </c>
      <c r="F501">
        <f t="shared" si="52"/>
        <v>1.0878323932312679</v>
      </c>
    </row>
    <row r="502" spans="1:6" x14ac:dyDescent="0.2">
      <c r="A502">
        <v>2.5</v>
      </c>
      <c r="B502">
        <v>15</v>
      </c>
      <c r="C502">
        <f t="shared" si="53"/>
        <v>85</v>
      </c>
      <c r="D502">
        <f t="shared" si="50"/>
        <v>77.625570776255699</v>
      </c>
      <c r="E502">
        <f t="shared" si="51"/>
        <v>44.117647058823529</v>
      </c>
      <c r="F502">
        <f t="shared" si="52"/>
        <v>0.97367714208970702</v>
      </c>
    </row>
    <row r="503" spans="1:6" x14ac:dyDescent="0.2">
      <c r="A503">
        <v>2.5</v>
      </c>
      <c r="B503">
        <v>16</v>
      </c>
      <c r="C503">
        <f t="shared" si="53"/>
        <v>87.5</v>
      </c>
      <c r="D503">
        <f t="shared" si="50"/>
        <v>79.908675799086765</v>
      </c>
      <c r="E503">
        <f t="shared" si="51"/>
        <v>47.058823529411761</v>
      </c>
      <c r="F503">
        <f t="shared" si="52"/>
        <v>1.0408272898200446</v>
      </c>
    </row>
    <row r="504" spans="1:6" x14ac:dyDescent="0.2">
      <c r="A504">
        <v>2.5</v>
      </c>
      <c r="B504">
        <v>17</v>
      </c>
      <c r="C504">
        <f t="shared" si="53"/>
        <v>90</v>
      </c>
      <c r="D504">
        <f t="shared" si="50"/>
        <v>82.191780821917803</v>
      </c>
      <c r="E504">
        <f t="shared" si="51"/>
        <v>50</v>
      </c>
      <c r="F504">
        <f t="shared" si="52"/>
        <v>1.1079774375503564</v>
      </c>
    </row>
    <row r="505" spans="1:6" x14ac:dyDescent="0.2">
      <c r="A505">
        <v>2</v>
      </c>
      <c r="B505">
        <v>18</v>
      </c>
      <c r="C505">
        <f t="shared" si="53"/>
        <v>92</v>
      </c>
      <c r="D505">
        <f t="shared" si="50"/>
        <v>84.018264840182638</v>
      </c>
      <c r="E505">
        <f t="shared" si="51"/>
        <v>52.941176470588239</v>
      </c>
      <c r="F505">
        <f t="shared" si="52"/>
        <v>0.94010206822454778</v>
      </c>
    </row>
    <row r="506" spans="1:6" x14ac:dyDescent="0.2">
      <c r="A506">
        <v>2</v>
      </c>
      <c r="B506">
        <v>19</v>
      </c>
      <c r="C506">
        <f t="shared" si="53"/>
        <v>94</v>
      </c>
      <c r="D506">
        <f t="shared" si="50"/>
        <v>85.844748858447488</v>
      </c>
      <c r="E506">
        <f t="shared" si="51"/>
        <v>55.882352941176471</v>
      </c>
      <c r="F506">
        <f t="shared" si="52"/>
        <v>0.99382218640881548</v>
      </c>
    </row>
    <row r="507" spans="1:6" x14ac:dyDescent="0.2">
      <c r="A507">
        <v>2</v>
      </c>
      <c r="B507">
        <v>20</v>
      </c>
      <c r="C507">
        <f t="shared" si="53"/>
        <v>96</v>
      </c>
      <c r="D507">
        <f t="shared" si="50"/>
        <v>87.671232876712324</v>
      </c>
      <c r="E507">
        <f t="shared" si="51"/>
        <v>58.82352941176471</v>
      </c>
      <c r="F507">
        <f t="shared" si="52"/>
        <v>1.0475423045930676</v>
      </c>
    </row>
    <row r="508" spans="1:6" x14ac:dyDescent="0.2">
      <c r="A508">
        <v>1.5</v>
      </c>
      <c r="B508">
        <v>21</v>
      </c>
      <c r="C508">
        <f t="shared" si="53"/>
        <v>97.5</v>
      </c>
      <c r="D508">
        <f t="shared" si="50"/>
        <v>89.041095890410958</v>
      </c>
      <c r="E508">
        <f t="shared" si="51"/>
        <v>61.764705882352942</v>
      </c>
      <c r="F508">
        <f t="shared" si="52"/>
        <v>0.82594681708299988</v>
      </c>
    </row>
    <row r="509" spans="1:6" x14ac:dyDescent="0.2">
      <c r="A509">
        <v>1.5</v>
      </c>
      <c r="B509">
        <v>22</v>
      </c>
      <c r="C509">
        <f t="shared" si="53"/>
        <v>99</v>
      </c>
      <c r="D509">
        <f t="shared" si="50"/>
        <v>90.410958904109577</v>
      </c>
      <c r="E509">
        <f t="shared" si="51"/>
        <v>64.705882352941174</v>
      </c>
      <c r="F509">
        <f t="shared" si="52"/>
        <v>0.86623690572118595</v>
      </c>
    </row>
    <row r="510" spans="1:6" x14ac:dyDescent="0.2">
      <c r="A510">
        <v>1.5</v>
      </c>
      <c r="B510">
        <v>23</v>
      </c>
      <c r="C510">
        <f t="shared" si="53"/>
        <v>100.5</v>
      </c>
      <c r="D510">
        <f t="shared" si="50"/>
        <v>91.780821917808225</v>
      </c>
      <c r="E510">
        <f t="shared" si="51"/>
        <v>67.64705882352942</v>
      </c>
      <c r="F510">
        <f t="shared" si="52"/>
        <v>0.90652699435939954</v>
      </c>
    </row>
    <row r="511" spans="1:6" x14ac:dyDescent="0.2">
      <c r="A511">
        <v>1.5</v>
      </c>
      <c r="B511">
        <v>24</v>
      </c>
      <c r="C511">
        <f t="shared" si="53"/>
        <v>102</v>
      </c>
      <c r="D511">
        <f t="shared" si="50"/>
        <v>93.150684931506845</v>
      </c>
      <c r="E511">
        <f t="shared" si="51"/>
        <v>70.588235294117652</v>
      </c>
      <c r="F511">
        <f t="shared" si="52"/>
        <v>0.9468170829975755</v>
      </c>
    </row>
    <row r="512" spans="1:6" x14ac:dyDescent="0.2">
      <c r="A512">
        <v>1.5</v>
      </c>
      <c r="B512">
        <v>25</v>
      </c>
      <c r="C512">
        <f t="shared" si="53"/>
        <v>103.5</v>
      </c>
      <c r="D512">
        <f t="shared" si="50"/>
        <v>94.520547945205479</v>
      </c>
      <c r="E512">
        <f t="shared" si="51"/>
        <v>73.529411764705884</v>
      </c>
      <c r="F512">
        <f>(E512+E511)/2*(D512-D511)/100</f>
        <v>0.98710717163578021</v>
      </c>
    </row>
    <row r="513" spans="1:6" x14ac:dyDescent="0.2">
      <c r="A513">
        <v>1</v>
      </c>
      <c r="B513">
        <v>26</v>
      </c>
      <c r="C513">
        <f t="shared" si="53"/>
        <v>104.5</v>
      </c>
      <c r="D513">
        <f t="shared" si="50"/>
        <v>95.433789954337897</v>
      </c>
      <c r="E513">
        <f t="shared" si="51"/>
        <v>76.470588235294116</v>
      </c>
      <c r="F513">
        <f t="shared" si="52"/>
        <v>0.68493150684931337</v>
      </c>
    </row>
    <row r="514" spans="1:6" x14ac:dyDescent="0.2">
      <c r="A514">
        <v>1</v>
      </c>
      <c r="B514">
        <v>27</v>
      </c>
      <c r="C514">
        <f t="shared" si="53"/>
        <v>105.5</v>
      </c>
      <c r="D514">
        <f t="shared" si="50"/>
        <v>96.347031963470315</v>
      </c>
      <c r="E514">
        <f t="shared" si="51"/>
        <v>79.411764705882348</v>
      </c>
      <c r="F514">
        <f t="shared" si="52"/>
        <v>0.71179156594144333</v>
      </c>
    </row>
    <row r="515" spans="1:6" x14ac:dyDescent="0.2">
      <c r="A515">
        <v>1</v>
      </c>
      <c r="B515">
        <v>28</v>
      </c>
      <c r="C515">
        <f t="shared" si="53"/>
        <v>106.5</v>
      </c>
      <c r="D515">
        <f t="shared" si="50"/>
        <v>97.260273972602747</v>
      </c>
      <c r="E515">
        <f t="shared" si="51"/>
        <v>82.35294117647058</v>
      </c>
      <c r="F515">
        <f t="shared" si="52"/>
        <v>0.73865162503358461</v>
      </c>
    </row>
    <row r="516" spans="1:6" x14ac:dyDescent="0.2">
      <c r="A516">
        <v>1</v>
      </c>
      <c r="B516">
        <v>29</v>
      </c>
      <c r="C516">
        <f t="shared" si="53"/>
        <v>107.5</v>
      </c>
      <c r="D516">
        <f t="shared" si="50"/>
        <v>98.173515981735164</v>
      </c>
      <c r="E516">
        <f t="shared" si="51"/>
        <v>85.294117647058826</v>
      </c>
      <c r="F516">
        <f t="shared" si="52"/>
        <v>0.76551168412570303</v>
      </c>
    </row>
    <row r="517" spans="1:6" x14ac:dyDescent="0.2">
      <c r="A517">
        <v>0.7</v>
      </c>
      <c r="B517">
        <v>30</v>
      </c>
      <c r="C517">
        <f t="shared" si="53"/>
        <v>108.2</v>
      </c>
      <c r="D517">
        <f t="shared" si="50"/>
        <v>98.81278538812785</v>
      </c>
      <c r="E517">
        <f t="shared" si="51"/>
        <v>88.235294117647058</v>
      </c>
      <c r="F517">
        <f t="shared" si="52"/>
        <v>0.55466022025247708</v>
      </c>
    </row>
    <row r="518" spans="1:6" x14ac:dyDescent="0.2">
      <c r="A518">
        <v>0.5</v>
      </c>
      <c r="B518">
        <v>31</v>
      </c>
      <c r="C518">
        <f t="shared" si="53"/>
        <v>108.7</v>
      </c>
      <c r="D518">
        <f t="shared" si="50"/>
        <v>99.269406392694066</v>
      </c>
      <c r="E518">
        <f t="shared" si="51"/>
        <v>91.17647058823529</v>
      </c>
      <c r="F518">
        <f t="shared" si="52"/>
        <v>0.40961590115498786</v>
      </c>
    </row>
    <row r="519" spans="1:6" x14ac:dyDescent="0.2">
      <c r="A519">
        <v>0.3</v>
      </c>
      <c r="B519">
        <v>32</v>
      </c>
      <c r="C519">
        <f t="shared" si="53"/>
        <v>109</v>
      </c>
      <c r="D519">
        <f t="shared" si="50"/>
        <v>99.543378995433784</v>
      </c>
      <c r="E519">
        <f t="shared" si="51"/>
        <v>94.117647058823522</v>
      </c>
      <c r="F519">
        <f t="shared" si="52"/>
        <v>0.25382755842062127</v>
      </c>
    </row>
    <row r="520" spans="1:6" x14ac:dyDescent="0.2">
      <c r="A520">
        <v>0.25</v>
      </c>
      <c r="B520">
        <v>33</v>
      </c>
      <c r="C520">
        <f>C519+A520</f>
        <v>109.25</v>
      </c>
      <c r="D520">
        <f t="shared" si="50"/>
        <v>99.771689497716892</v>
      </c>
      <c r="E520">
        <f t="shared" si="51"/>
        <v>97.058823529411768</v>
      </c>
      <c r="F520">
        <f t="shared" si="52"/>
        <v>0.21823798012355911</v>
      </c>
    </row>
    <row r="521" spans="1:6" x14ac:dyDescent="0.2">
      <c r="A521">
        <v>0.25</v>
      </c>
      <c r="B521">
        <v>34</v>
      </c>
      <c r="C521">
        <f t="shared" si="53"/>
        <v>109.5</v>
      </c>
      <c r="D521">
        <f t="shared" si="50"/>
        <v>100</v>
      </c>
      <c r="E521">
        <f t="shared" si="51"/>
        <v>100</v>
      </c>
      <c r="F521">
        <f t="shared" si="52"/>
        <v>0.22495299489659171</v>
      </c>
    </row>
    <row r="522" spans="1:6" x14ac:dyDescent="0.2">
      <c r="E522" t="s">
        <v>63</v>
      </c>
      <c r="F522">
        <f>SUM(F488:F521)</f>
        <v>27.131345688960518</v>
      </c>
    </row>
    <row r="523" spans="1:6" x14ac:dyDescent="0.2">
      <c r="E523" t="s">
        <v>56</v>
      </c>
      <c r="F523">
        <f>50-F522</f>
        <v>22.868654311039482</v>
      </c>
    </row>
    <row r="524" spans="1:6" x14ac:dyDescent="0.2">
      <c r="E524" t="s">
        <v>49</v>
      </c>
      <c r="F524">
        <f>F523/50</f>
        <v>0.45737308622078965</v>
      </c>
    </row>
    <row r="526" spans="1:6" x14ac:dyDescent="0.2">
      <c r="A526" t="s">
        <v>82</v>
      </c>
    </row>
    <row r="527" spans="1:6" x14ac:dyDescent="0.2">
      <c r="A527" t="s">
        <v>48</v>
      </c>
      <c r="B527" t="s">
        <v>46</v>
      </c>
      <c r="C527" t="s">
        <v>47</v>
      </c>
      <c r="D527" t="s">
        <v>51</v>
      </c>
      <c r="E527" t="s">
        <v>50</v>
      </c>
      <c r="F527" t="s">
        <v>100</v>
      </c>
    </row>
    <row r="528" spans="1:6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">
      <c r="A529">
        <v>9</v>
      </c>
      <c r="B529">
        <v>1</v>
      </c>
      <c r="C529">
        <f>A529</f>
        <v>9</v>
      </c>
      <c r="D529">
        <f>(C529/C$563)*100</f>
        <v>7.3770491803278686</v>
      </c>
      <c r="E529">
        <f>(B529/B$563)*100</f>
        <v>2.8571428571428572</v>
      </c>
      <c r="F529">
        <f>(E529+E528)/2*(D529-D528)/100</f>
        <v>0.1053864168618267</v>
      </c>
    </row>
    <row r="530" spans="1:6" x14ac:dyDescent="0.2">
      <c r="A530">
        <v>8.5</v>
      </c>
      <c r="B530">
        <v>2</v>
      </c>
      <c r="C530">
        <f>C529+A530</f>
        <v>17.5</v>
      </c>
      <c r="D530">
        <f t="shared" ref="D530:D563" si="54">(C530/C$563)*100</f>
        <v>14.344262295081966</v>
      </c>
      <c r="E530">
        <f t="shared" ref="E530:E563" si="55">(B530/B$563)*100</f>
        <v>5.7142857142857144</v>
      </c>
      <c r="F530">
        <f t="shared" ref="F530:F563" si="56">(E530+E529)/2*(D530-D529)/100</f>
        <v>0.29859484777517564</v>
      </c>
    </row>
    <row r="531" spans="1:6" x14ac:dyDescent="0.2">
      <c r="A531">
        <v>8.5</v>
      </c>
      <c r="B531">
        <v>3</v>
      </c>
      <c r="C531">
        <f t="shared" ref="C531:C563" si="57">C530+A531</f>
        <v>26</v>
      </c>
      <c r="D531">
        <f t="shared" si="54"/>
        <v>21.311475409836063</v>
      </c>
      <c r="E531">
        <f t="shared" si="55"/>
        <v>8.5714285714285712</v>
      </c>
      <c r="F531">
        <f t="shared" si="56"/>
        <v>0.49765807962529257</v>
      </c>
    </row>
    <row r="532" spans="1:6" x14ac:dyDescent="0.2">
      <c r="A532">
        <v>7.5</v>
      </c>
      <c r="B532">
        <v>4</v>
      </c>
      <c r="C532">
        <f t="shared" si="57"/>
        <v>33.5</v>
      </c>
      <c r="D532">
        <f t="shared" si="54"/>
        <v>27.459016393442624</v>
      </c>
      <c r="E532">
        <f t="shared" si="55"/>
        <v>11.428571428571429</v>
      </c>
      <c r="F532">
        <f t="shared" si="56"/>
        <v>0.61475409836065609</v>
      </c>
    </row>
    <row r="533" spans="1:6" x14ac:dyDescent="0.2">
      <c r="A533">
        <v>7</v>
      </c>
      <c r="B533">
        <v>5</v>
      </c>
      <c r="C533">
        <f t="shared" si="57"/>
        <v>40.5</v>
      </c>
      <c r="D533">
        <f t="shared" si="54"/>
        <v>33.196721311475407</v>
      </c>
      <c r="E533">
        <f t="shared" si="55"/>
        <v>14.285714285714285</v>
      </c>
      <c r="F533">
        <f t="shared" si="56"/>
        <v>0.73770491803278648</v>
      </c>
    </row>
    <row r="534" spans="1:6" x14ac:dyDescent="0.2">
      <c r="A534">
        <v>6.5</v>
      </c>
      <c r="B534">
        <v>6</v>
      </c>
      <c r="C534">
        <f t="shared" si="57"/>
        <v>47</v>
      </c>
      <c r="D534">
        <f t="shared" si="54"/>
        <v>38.524590163934427</v>
      </c>
      <c r="E534">
        <f t="shared" si="55"/>
        <v>17.142857142857142</v>
      </c>
      <c r="F534">
        <f t="shared" si="56"/>
        <v>0.83723653395784581</v>
      </c>
    </row>
    <row r="535" spans="1:6" x14ac:dyDescent="0.2">
      <c r="A535">
        <v>6</v>
      </c>
      <c r="B535">
        <v>7</v>
      </c>
      <c r="C535">
        <f t="shared" si="57"/>
        <v>53</v>
      </c>
      <c r="D535">
        <f t="shared" si="54"/>
        <v>43.442622950819668</v>
      </c>
      <c r="E535">
        <f t="shared" si="55"/>
        <v>20</v>
      </c>
      <c r="F535">
        <f t="shared" si="56"/>
        <v>0.91334894613583051</v>
      </c>
    </row>
    <row r="536" spans="1:6" x14ac:dyDescent="0.2">
      <c r="A536">
        <v>5</v>
      </c>
      <c r="B536">
        <v>8</v>
      </c>
      <c r="C536">
        <f t="shared" si="57"/>
        <v>58</v>
      </c>
      <c r="D536">
        <f t="shared" si="54"/>
        <v>47.540983606557376</v>
      </c>
      <c r="E536">
        <f t="shared" si="55"/>
        <v>22.857142857142858</v>
      </c>
      <c r="F536">
        <f t="shared" si="56"/>
        <v>0.87822014051522301</v>
      </c>
    </row>
    <row r="537" spans="1:6" x14ac:dyDescent="0.2">
      <c r="A537">
        <v>5</v>
      </c>
      <c r="B537">
        <v>9</v>
      </c>
      <c r="C537">
        <f t="shared" si="57"/>
        <v>63</v>
      </c>
      <c r="D537">
        <f t="shared" si="54"/>
        <v>51.639344262295083</v>
      </c>
      <c r="E537">
        <f t="shared" si="55"/>
        <v>25.714285714285712</v>
      </c>
      <c r="F537">
        <f t="shared" si="56"/>
        <v>0.99531615925058603</v>
      </c>
    </row>
    <row r="538" spans="1:6" x14ac:dyDescent="0.2">
      <c r="A538">
        <v>5</v>
      </c>
      <c r="B538">
        <v>10</v>
      </c>
      <c r="C538">
        <f t="shared" si="57"/>
        <v>68</v>
      </c>
      <c r="D538">
        <f t="shared" si="54"/>
        <v>55.737704918032783</v>
      </c>
      <c r="E538">
        <f t="shared" si="55"/>
        <v>28.571428571428569</v>
      </c>
      <c r="F538">
        <f t="shared" si="56"/>
        <v>1.112412177985947</v>
      </c>
    </row>
    <row r="539" spans="1:6" x14ac:dyDescent="0.2">
      <c r="A539">
        <v>4.5</v>
      </c>
      <c r="B539">
        <v>11</v>
      </c>
      <c r="C539">
        <f t="shared" si="57"/>
        <v>72.5</v>
      </c>
      <c r="D539">
        <f t="shared" si="54"/>
        <v>59.426229508196727</v>
      </c>
      <c r="E539">
        <f t="shared" si="55"/>
        <v>31.428571428571427</v>
      </c>
      <c r="F539">
        <f t="shared" si="56"/>
        <v>1.106557377049183</v>
      </c>
    </row>
    <row r="540" spans="1:6" x14ac:dyDescent="0.2">
      <c r="A540">
        <v>4.5</v>
      </c>
      <c r="B540">
        <v>12</v>
      </c>
      <c r="C540">
        <f t="shared" si="57"/>
        <v>77</v>
      </c>
      <c r="D540">
        <f t="shared" si="54"/>
        <v>63.114754098360656</v>
      </c>
      <c r="E540">
        <f t="shared" si="55"/>
        <v>34.285714285714285</v>
      </c>
      <c r="F540">
        <f t="shared" si="56"/>
        <v>1.2119437939110052</v>
      </c>
    </row>
    <row r="541" spans="1:6" x14ac:dyDescent="0.2">
      <c r="A541">
        <v>4.5</v>
      </c>
      <c r="B541">
        <v>13</v>
      </c>
      <c r="C541">
        <f t="shared" si="57"/>
        <v>81.5</v>
      </c>
      <c r="D541">
        <f t="shared" si="54"/>
        <v>66.803278688524586</v>
      </c>
      <c r="E541">
        <f t="shared" si="55"/>
        <v>37.142857142857146</v>
      </c>
      <c r="F541">
        <f t="shared" si="56"/>
        <v>1.3173302107728317</v>
      </c>
    </row>
    <row r="542" spans="1:6" x14ac:dyDescent="0.2">
      <c r="A542">
        <v>4.5</v>
      </c>
      <c r="B542">
        <v>14</v>
      </c>
      <c r="C542">
        <f t="shared" si="57"/>
        <v>86</v>
      </c>
      <c r="D542">
        <f t="shared" si="54"/>
        <v>70.491803278688522</v>
      </c>
      <c r="E542">
        <f t="shared" si="55"/>
        <v>40</v>
      </c>
      <c r="F542">
        <f t="shared" si="56"/>
        <v>1.422716627634661</v>
      </c>
    </row>
    <row r="543" spans="1:6" x14ac:dyDescent="0.2">
      <c r="A543">
        <v>3.5</v>
      </c>
      <c r="B543">
        <v>15</v>
      </c>
      <c r="C543">
        <f t="shared" si="57"/>
        <v>89.5</v>
      </c>
      <c r="D543">
        <f t="shared" si="54"/>
        <v>73.360655737704917</v>
      </c>
      <c r="E543">
        <f t="shared" si="55"/>
        <v>42.857142857142854</v>
      </c>
      <c r="F543">
        <f t="shared" si="56"/>
        <v>1.1885245901639352</v>
      </c>
    </row>
    <row r="544" spans="1:6" x14ac:dyDescent="0.2">
      <c r="A544">
        <v>3</v>
      </c>
      <c r="B544">
        <v>16</v>
      </c>
      <c r="C544">
        <f t="shared" si="57"/>
        <v>92.5</v>
      </c>
      <c r="D544">
        <f t="shared" si="54"/>
        <v>75.819672131147541</v>
      </c>
      <c r="E544">
        <f t="shared" si="55"/>
        <v>45.714285714285715</v>
      </c>
      <c r="F544">
        <f t="shared" si="56"/>
        <v>1.0889929742388764</v>
      </c>
    </row>
    <row r="545" spans="1:6" x14ac:dyDescent="0.2">
      <c r="A545">
        <v>3</v>
      </c>
      <c r="B545">
        <v>17</v>
      </c>
      <c r="C545">
        <f t="shared" si="57"/>
        <v>95.5</v>
      </c>
      <c r="D545">
        <f t="shared" si="54"/>
        <v>78.278688524590166</v>
      </c>
      <c r="E545">
        <f t="shared" si="55"/>
        <v>48.571428571428569</v>
      </c>
      <c r="F545">
        <f t="shared" si="56"/>
        <v>1.1592505854800941</v>
      </c>
    </row>
    <row r="546" spans="1:6" x14ac:dyDescent="0.2">
      <c r="A546">
        <v>2.5</v>
      </c>
      <c r="B546">
        <v>18</v>
      </c>
      <c r="C546">
        <f t="shared" si="57"/>
        <v>98</v>
      </c>
      <c r="D546">
        <f t="shared" si="54"/>
        <v>80.327868852459019</v>
      </c>
      <c r="E546">
        <f t="shared" si="55"/>
        <v>51.428571428571423</v>
      </c>
      <c r="F546">
        <f t="shared" si="56"/>
        <v>1.0245901639344268</v>
      </c>
    </row>
    <row r="547" spans="1:6" x14ac:dyDescent="0.2">
      <c r="A547">
        <v>2.5</v>
      </c>
      <c r="B547">
        <v>19</v>
      </c>
      <c r="C547">
        <f t="shared" si="57"/>
        <v>100.5</v>
      </c>
      <c r="D547">
        <f t="shared" si="54"/>
        <v>82.377049180327873</v>
      </c>
      <c r="E547">
        <f t="shared" si="55"/>
        <v>54.285714285714285</v>
      </c>
      <c r="F547">
        <f t="shared" si="56"/>
        <v>1.0831381733021082</v>
      </c>
    </row>
    <row r="548" spans="1:6" x14ac:dyDescent="0.2">
      <c r="A548">
        <v>2.5</v>
      </c>
      <c r="B548">
        <v>20</v>
      </c>
      <c r="C548">
        <f t="shared" si="57"/>
        <v>103</v>
      </c>
      <c r="D548">
        <f t="shared" si="54"/>
        <v>84.426229508196727</v>
      </c>
      <c r="E548">
        <f t="shared" si="55"/>
        <v>57.142857142857139</v>
      </c>
      <c r="F548">
        <f t="shared" si="56"/>
        <v>1.1416861826697897</v>
      </c>
    </row>
    <row r="549" spans="1:6" x14ac:dyDescent="0.2">
      <c r="A549">
        <v>2</v>
      </c>
      <c r="B549">
        <v>21</v>
      </c>
      <c r="C549">
        <f t="shared" si="57"/>
        <v>105</v>
      </c>
      <c r="D549">
        <f t="shared" si="54"/>
        <v>86.065573770491795</v>
      </c>
      <c r="E549">
        <f t="shared" si="55"/>
        <v>60</v>
      </c>
      <c r="F549">
        <f t="shared" si="56"/>
        <v>0.96018735362996877</v>
      </c>
    </row>
    <row r="550" spans="1:6" x14ac:dyDescent="0.2">
      <c r="A550">
        <v>2</v>
      </c>
      <c r="B550">
        <v>22</v>
      </c>
      <c r="C550">
        <f t="shared" si="57"/>
        <v>107</v>
      </c>
      <c r="D550">
        <f t="shared" si="54"/>
        <v>87.704918032786878</v>
      </c>
      <c r="E550">
        <f t="shared" si="55"/>
        <v>62.857142857142854</v>
      </c>
      <c r="F550">
        <f t="shared" si="56"/>
        <v>1.0070257611241225</v>
      </c>
    </row>
    <row r="551" spans="1:6" x14ac:dyDescent="0.2">
      <c r="A551">
        <v>2</v>
      </c>
      <c r="B551">
        <v>23</v>
      </c>
      <c r="C551">
        <f t="shared" si="57"/>
        <v>109</v>
      </c>
      <c r="D551">
        <f t="shared" si="54"/>
        <v>89.344262295081961</v>
      </c>
      <c r="E551">
        <f t="shared" si="55"/>
        <v>65.714285714285708</v>
      </c>
      <c r="F551">
        <f t="shared" si="56"/>
        <v>1.0538641686182675</v>
      </c>
    </row>
    <row r="552" spans="1:6" x14ac:dyDescent="0.2">
      <c r="A552">
        <v>2</v>
      </c>
      <c r="B552">
        <v>24</v>
      </c>
      <c r="C552">
        <f t="shared" si="57"/>
        <v>111</v>
      </c>
      <c r="D552">
        <f t="shared" si="54"/>
        <v>90.983606557377044</v>
      </c>
      <c r="E552">
        <f t="shared" si="55"/>
        <v>68.571428571428569</v>
      </c>
      <c r="F552">
        <f t="shared" si="56"/>
        <v>1.1007025761124127</v>
      </c>
    </row>
    <row r="553" spans="1:6" x14ac:dyDescent="0.2">
      <c r="A553">
        <v>1.7</v>
      </c>
      <c r="B553">
        <v>25</v>
      </c>
      <c r="C553">
        <f t="shared" si="57"/>
        <v>112.7</v>
      </c>
      <c r="D553">
        <f t="shared" si="54"/>
        <v>92.377049180327873</v>
      </c>
      <c r="E553">
        <f t="shared" si="55"/>
        <v>71.428571428571431</v>
      </c>
      <c r="F553">
        <f t="shared" si="56"/>
        <v>0.97540983606558029</v>
      </c>
    </row>
    <row r="554" spans="1:6" x14ac:dyDescent="0.2">
      <c r="A554">
        <v>1.5</v>
      </c>
      <c r="B554">
        <v>26</v>
      </c>
      <c r="C554">
        <f t="shared" si="57"/>
        <v>114.2</v>
      </c>
      <c r="D554">
        <f t="shared" si="54"/>
        <v>93.606557377049185</v>
      </c>
      <c r="E554">
        <f t="shared" si="55"/>
        <v>74.285714285714292</v>
      </c>
      <c r="F554">
        <f t="shared" si="56"/>
        <v>0.89578454332552748</v>
      </c>
    </row>
    <row r="555" spans="1:6" x14ac:dyDescent="0.2">
      <c r="A555">
        <v>1.5</v>
      </c>
      <c r="B555">
        <v>27</v>
      </c>
      <c r="C555">
        <f t="shared" si="57"/>
        <v>115.7</v>
      </c>
      <c r="D555">
        <f t="shared" si="54"/>
        <v>94.836065573770483</v>
      </c>
      <c r="E555">
        <f t="shared" si="55"/>
        <v>77.142857142857153</v>
      </c>
      <c r="F555">
        <f t="shared" si="56"/>
        <v>0.93091334894612576</v>
      </c>
    </row>
    <row r="556" spans="1:6" x14ac:dyDescent="0.2">
      <c r="A556">
        <v>1.5</v>
      </c>
      <c r="B556">
        <v>28</v>
      </c>
      <c r="C556">
        <f t="shared" si="57"/>
        <v>117.2</v>
      </c>
      <c r="D556">
        <f t="shared" si="54"/>
        <v>96.06557377049181</v>
      </c>
      <c r="E556">
        <f t="shared" si="55"/>
        <v>80</v>
      </c>
      <c r="F556">
        <f t="shared" si="56"/>
        <v>0.96604215456675657</v>
      </c>
    </row>
    <row r="557" spans="1:6" x14ac:dyDescent="0.2">
      <c r="A557">
        <v>1</v>
      </c>
      <c r="B557">
        <v>29</v>
      </c>
      <c r="C557">
        <f t="shared" si="57"/>
        <v>118.2</v>
      </c>
      <c r="D557">
        <f t="shared" si="54"/>
        <v>96.885245901639351</v>
      </c>
      <c r="E557">
        <f t="shared" si="55"/>
        <v>82.857142857142861</v>
      </c>
      <c r="F557">
        <f t="shared" si="56"/>
        <v>0.66744730679156949</v>
      </c>
    </row>
    <row r="558" spans="1:6" x14ac:dyDescent="0.2">
      <c r="A558">
        <v>1</v>
      </c>
      <c r="B558">
        <v>30</v>
      </c>
      <c r="C558">
        <f t="shared" si="57"/>
        <v>119.2</v>
      </c>
      <c r="D558">
        <f t="shared" si="54"/>
        <v>97.704918032786892</v>
      </c>
      <c r="E558">
        <f t="shared" si="55"/>
        <v>85.714285714285708</v>
      </c>
      <c r="F558">
        <f t="shared" si="56"/>
        <v>0.69086651053864201</v>
      </c>
    </row>
    <row r="559" spans="1:6" x14ac:dyDescent="0.2">
      <c r="A559">
        <v>1</v>
      </c>
      <c r="B559">
        <v>31</v>
      </c>
      <c r="C559">
        <f t="shared" si="57"/>
        <v>120.2</v>
      </c>
      <c r="D559">
        <f t="shared" si="54"/>
        <v>98.524590163934434</v>
      </c>
      <c r="E559">
        <f t="shared" si="55"/>
        <v>88.571428571428569</v>
      </c>
      <c r="F559">
        <f t="shared" si="56"/>
        <v>0.71428571428571463</v>
      </c>
    </row>
    <row r="560" spans="1:6" x14ac:dyDescent="0.2">
      <c r="A560">
        <v>0.75</v>
      </c>
      <c r="B560">
        <v>32</v>
      </c>
      <c r="C560">
        <f t="shared" si="57"/>
        <v>120.95</v>
      </c>
      <c r="D560">
        <f t="shared" si="54"/>
        <v>99.139344262295083</v>
      </c>
      <c r="E560">
        <f t="shared" si="55"/>
        <v>91.428571428571431</v>
      </c>
      <c r="F560">
        <f t="shared" si="56"/>
        <v>0.55327868852458406</v>
      </c>
    </row>
    <row r="561" spans="1:6" x14ac:dyDescent="0.2">
      <c r="A561">
        <v>0.75</v>
      </c>
      <c r="B561">
        <v>33</v>
      </c>
      <c r="C561">
        <f t="shared" si="57"/>
        <v>121.7</v>
      </c>
      <c r="D561">
        <f t="shared" si="54"/>
        <v>99.754098360655746</v>
      </c>
      <c r="E561">
        <f t="shared" si="55"/>
        <v>94.285714285714278</v>
      </c>
      <c r="F561">
        <f t="shared" si="56"/>
        <v>0.57084309133490163</v>
      </c>
    </row>
    <row r="562" spans="1:6" x14ac:dyDescent="0.2">
      <c r="A562">
        <v>0.25</v>
      </c>
      <c r="B562">
        <v>34</v>
      </c>
      <c r="C562">
        <f t="shared" si="57"/>
        <v>121.95</v>
      </c>
      <c r="D562">
        <f t="shared" si="54"/>
        <v>99.959016393442624</v>
      </c>
      <c r="E562">
        <f t="shared" si="55"/>
        <v>97.142857142857139</v>
      </c>
      <c r="F562">
        <f t="shared" si="56"/>
        <v>0.19613583138172633</v>
      </c>
    </row>
    <row r="563" spans="1:6" x14ac:dyDescent="0.2">
      <c r="A563">
        <v>0.05</v>
      </c>
      <c r="B563">
        <v>35</v>
      </c>
      <c r="C563">
        <f t="shared" si="57"/>
        <v>122</v>
      </c>
      <c r="D563">
        <f t="shared" si="54"/>
        <v>100</v>
      </c>
      <c r="E563">
        <f t="shared" si="55"/>
        <v>100</v>
      </c>
      <c r="F563">
        <f t="shared" si="56"/>
        <v>4.039812646369885E-2</v>
      </c>
    </row>
    <row r="564" spans="1:6" x14ac:dyDescent="0.2">
      <c r="E564" t="s">
        <v>63</v>
      </c>
      <c r="F564">
        <f>SUM(F529:F563)</f>
        <v>30.058548009367684</v>
      </c>
    </row>
    <row r="565" spans="1:6" x14ac:dyDescent="0.2">
      <c r="E565" t="s">
        <v>56</v>
      </c>
      <c r="F565">
        <f>50-F564</f>
        <v>19.941451990632316</v>
      </c>
    </row>
    <row r="566" spans="1:6" x14ac:dyDescent="0.2">
      <c r="E566" t="s">
        <v>49</v>
      </c>
      <c r="F566">
        <f>F565/50</f>
        <v>0.39882903981264634</v>
      </c>
    </row>
    <row r="568" spans="1:6" x14ac:dyDescent="0.2">
      <c r="A568" t="s">
        <v>12</v>
      </c>
    </row>
    <row r="569" spans="1:6" x14ac:dyDescent="0.2">
      <c r="A569" t="s">
        <v>48</v>
      </c>
      <c r="B569" t="s">
        <v>46</v>
      </c>
      <c r="C569" t="s">
        <v>47</v>
      </c>
      <c r="D569" t="s">
        <v>51</v>
      </c>
      <c r="E569" t="s">
        <v>50</v>
      </c>
      <c r="F569" t="s">
        <v>100</v>
      </c>
    </row>
    <row r="570" spans="1:6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">
      <c r="A571">
        <v>18</v>
      </c>
      <c r="B571">
        <v>1</v>
      </c>
      <c r="C571">
        <f>A571</f>
        <v>18</v>
      </c>
      <c r="D571">
        <f>(C571/C$604)*100</f>
        <v>16.43835616438356</v>
      </c>
      <c r="E571">
        <f>(B571/B$604)*100</f>
        <v>2.9411764705882351</v>
      </c>
      <c r="F571">
        <f>(E571+E570)/2*(D571-D570)/100</f>
        <v>0.24174053182916999</v>
      </c>
    </row>
    <row r="572" spans="1:6" x14ac:dyDescent="0.2">
      <c r="A572">
        <v>6.5</v>
      </c>
      <c r="B572">
        <v>2</v>
      </c>
      <c r="C572">
        <f>C571+A572</f>
        <v>24.5</v>
      </c>
      <c r="D572">
        <f t="shared" ref="D572:D604" si="58">(C572/C$604)*100</f>
        <v>22.37442922374429</v>
      </c>
      <c r="E572">
        <f t="shared" ref="E572:E604" si="59">(B572/B$604)*100</f>
        <v>5.8823529411764701</v>
      </c>
      <c r="F572">
        <f t="shared" ref="F572:F604" si="60">(E572+E571)/2*(D572-D571)/100</f>
        <v>0.26188557614826746</v>
      </c>
    </row>
    <row r="573" spans="1:6" x14ac:dyDescent="0.2">
      <c r="A573">
        <v>6</v>
      </c>
      <c r="B573">
        <v>3</v>
      </c>
      <c r="C573">
        <f t="shared" ref="C573:C604" si="61">C572+A573</f>
        <v>30.5</v>
      </c>
      <c r="D573">
        <f t="shared" si="58"/>
        <v>27.853881278538811</v>
      </c>
      <c r="E573">
        <f t="shared" si="59"/>
        <v>8.8235294117647065</v>
      </c>
      <c r="F573">
        <f t="shared" si="60"/>
        <v>0.4029008863819501</v>
      </c>
    </row>
    <row r="574" spans="1:6" x14ac:dyDescent="0.2">
      <c r="A574">
        <v>5</v>
      </c>
      <c r="B574">
        <v>4</v>
      </c>
      <c r="C574">
        <f t="shared" si="61"/>
        <v>35.5</v>
      </c>
      <c r="D574">
        <f t="shared" si="58"/>
        <v>32.420091324200911</v>
      </c>
      <c r="E574">
        <f t="shared" si="59"/>
        <v>11.76470588235294</v>
      </c>
      <c r="F574">
        <f t="shared" si="60"/>
        <v>0.47005103411227495</v>
      </c>
    </row>
    <row r="575" spans="1:6" x14ac:dyDescent="0.2">
      <c r="A575">
        <v>5</v>
      </c>
      <c r="B575">
        <v>5</v>
      </c>
      <c r="C575">
        <f t="shared" si="61"/>
        <v>40.5</v>
      </c>
      <c r="D575">
        <f t="shared" si="58"/>
        <v>36.986301369863014</v>
      </c>
      <c r="E575">
        <f t="shared" si="59"/>
        <v>14.705882352941178</v>
      </c>
      <c r="F575">
        <f t="shared" si="60"/>
        <v>0.60435132957292537</v>
      </c>
    </row>
    <row r="576" spans="1:6" x14ac:dyDescent="0.2">
      <c r="A576">
        <v>5</v>
      </c>
      <c r="B576">
        <v>6</v>
      </c>
      <c r="C576">
        <f t="shared" si="61"/>
        <v>45.5</v>
      </c>
      <c r="D576">
        <f t="shared" si="58"/>
        <v>41.55251141552511</v>
      </c>
      <c r="E576">
        <f t="shared" si="59"/>
        <v>17.647058823529413</v>
      </c>
      <c r="F576">
        <f t="shared" si="60"/>
        <v>0.73865162503357451</v>
      </c>
    </row>
    <row r="577" spans="1:6" x14ac:dyDescent="0.2">
      <c r="A577">
        <v>5</v>
      </c>
      <c r="B577">
        <v>7</v>
      </c>
      <c r="C577">
        <f t="shared" si="61"/>
        <v>50.5</v>
      </c>
      <c r="D577">
        <f t="shared" si="58"/>
        <v>46.118721461187214</v>
      </c>
      <c r="E577">
        <f t="shared" si="59"/>
        <v>20.588235294117645</v>
      </c>
      <c r="F577">
        <f t="shared" si="60"/>
        <v>0.87295192049422565</v>
      </c>
    </row>
    <row r="578" spans="1:6" x14ac:dyDescent="0.2">
      <c r="A578">
        <v>5</v>
      </c>
      <c r="B578">
        <v>8</v>
      </c>
      <c r="C578">
        <f t="shared" si="61"/>
        <v>55.5</v>
      </c>
      <c r="D578">
        <f t="shared" si="58"/>
        <v>50.684931506849317</v>
      </c>
      <c r="E578">
        <f t="shared" si="59"/>
        <v>23.52941176470588</v>
      </c>
      <c r="F578">
        <f t="shared" si="60"/>
        <v>1.0072522159548756</v>
      </c>
    </row>
    <row r="579" spans="1:6" x14ac:dyDescent="0.2">
      <c r="A579">
        <v>4.5</v>
      </c>
      <c r="B579">
        <v>9</v>
      </c>
      <c r="C579">
        <f t="shared" si="61"/>
        <v>60</v>
      </c>
      <c r="D579">
        <f t="shared" si="58"/>
        <v>54.794520547945204</v>
      </c>
      <c r="E579">
        <f t="shared" si="59"/>
        <v>26.47058823529412</v>
      </c>
      <c r="F579">
        <f t="shared" si="60"/>
        <v>1.0273972602739718</v>
      </c>
    </row>
    <row r="580" spans="1:6" x14ac:dyDescent="0.2">
      <c r="A580">
        <v>4</v>
      </c>
      <c r="B580">
        <v>10</v>
      </c>
      <c r="C580">
        <f t="shared" si="61"/>
        <v>64</v>
      </c>
      <c r="D580">
        <f t="shared" si="58"/>
        <v>58.447488584474883</v>
      </c>
      <c r="E580">
        <f t="shared" si="59"/>
        <v>29.411764705882355</v>
      </c>
      <c r="F580">
        <f t="shared" si="60"/>
        <v>1.0206822455009397</v>
      </c>
    </row>
    <row r="581" spans="1:6" x14ac:dyDescent="0.2">
      <c r="A581">
        <v>4</v>
      </c>
      <c r="B581">
        <v>11</v>
      </c>
      <c r="C581">
        <f t="shared" si="61"/>
        <v>68</v>
      </c>
      <c r="D581">
        <f t="shared" si="58"/>
        <v>62.100456621004561</v>
      </c>
      <c r="E581">
        <f t="shared" si="59"/>
        <v>32.352941176470587</v>
      </c>
      <c r="F581">
        <f t="shared" si="60"/>
        <v>1.1281224818694595</v>
      </c>
    </row>
    <row r="582" spans="1:6" x14ac:dyDescent="0.2">
      <c r="A582">
        <v>3.5</v>
      </c>
      <c r="B582">
        <v>12</v>
      </c>
      <c r="C582">
        <f t="shared" si="61"/>
        <v>71.5</v>
      </c>
      <c r="D582">
        <f t="shared" si="58"/>
        <v>65.296803652968038</v>
      </c>
      <c r="E582">
        <f t="shared" si="59"/>
        <v>35.294117647058826</v>
      </c>
      <c r="F582">
        <f t="shared" si="60"/>
        <v>1.0811173784582349</v>
      </c>
    </row>
    <row r="583" spans="1:6" x14ac:dyDescent="0.2">
      <c r="A583">
        <v>3</v>
      </c>
      <c r="B583">
        <v>13</v>
      </c>
      <c r="C583">
        <f t="shared" si="61"/>
        <v>74.5</v>
      </c>
      <c r="D583">
        <f t="shared" si="58"/>
        <v>68.036529680365305</v>
      </c>
      <c r="E583">
        <f t="shared" si="59"/>
        <v>38.235294117647058</v>
      </c>
      <c r="F583">
        <f t="shared" si="60"/>
        <v>1.0072522159548778</v>
      </c>
    </row>
    <row r="584" spans="1:6" x14ac:dyDescent="0.2">
      <c r="A584">
        <v>3</v>
      </c>
      <c r="B584">
        <v>14</v>
      </c>
      <c r="C584">
        <f t="shared" si="61"/>
        <v>77.5</v>
      </c>
      <c r="D584">
        <f t="shared" si="58"/>
        <v>70.776255707762559</v>
      </c>
      <c r="E584">
        <f t="shared" si="59"/>
        <v>41.17647058823529</v>
      </c>
      <c r="F584">
        <f t="shared" si="60"/>
        <v>1.0878323932312624</v>
      </c>
    </row>
    <row r="585" spans="1:6" x14ac:dyDescent="0.2">
      <c r="A585">
        <v>2.5</v>
      </c>
      <c r="B585">
        <v>15</v>
      </c>
      <c r="C585">
        <f t="shared" si="61"/>
        <v>80</v>
      </c>
      <c r="D585">
        <f t="shared" si="58"/>
        <v>73.059360730593596</v>
      </c>
      <c r="E585">
        <f t="shared" si="59"/>
        <v>44.117647058823529</v>
      </c>
      <c r="F585">
        <f t="shared" si="60"/>
        <v>0.97367714208970702</v>
      </c>
    </row>
    <row r="586" spans="1:6" x14ac:dyDescent="0.2">
      <c r="A586">
        <v>2.5</v>
      </c>
      <c r="B586">
        <v>16</v>
      </c>
      <c r="C586">
        <f t="shared" si="61"/>
        <v>82.5</v>
      </c>
      <c r="D586">
        <f t="shared" si="58"/>
        <v>75.342465753424662</v>
      </c>
      <c r="E586">
        <f t="shared" si="59"/>
        <v>47.058823529411761</v>
      </c>
      <c r="F586">
        <f t="shared" si="60"/>
        <v>1.0408272898200446</v>
      </c>
    </row>
    <row r="587" spans="1:6" x14ac:dyDescent="0.2">
      <c r="A587">
        <v>2.5</v>
      </c>
      <c r="B587">
        <v>17</v>
      </c>
      <c r="C587">
        <f t="shared" si="61"/>
        <v>85</v>
      </c>
      <c r="D587">
        <f t="shared" si="58"/>
        <v>77.625570776255699</v>
      </c>
      <c r="E587">
        <f t="shared" si="59"/>
        <v>50</v>
      </c>
      <c r="F587">
        <f t="shared" si="60"/>
        <v>1.1079774375503564</v>
      </c>
    </row>
    <row r="588" spans="1:6" x14ac:dyDescent="0.2">
      <c r="A588">
        <v>2.5</v>
      </c>
      <c r="B588">
        <v>18</v>
      </c>
      <c r="C588">
        <f t="shared" si="61"/>
        <v>87.5</v>
      </c>
      <c r="D588">
        <f t="shared" si="58"/>
        <v>79.908675799086765</v>
      </c>
      <c r="E588">
        <f t="shared" si="59"/>
        <v>52.941176470588239</v>
      </c>
      <c r="F588">
        <f t="shared" si="60"/>
        <v>1.1751275852806957</v>
      </c>
    </row>
    <row r="589" spans="1:6" x14ac:dyDescent="0.2">
      <c r="A589">
        <v>2.5</v>
      </c>
      <c r="B589">
        <v>19</v>
      </c>
      <c r="C589">
        <f t="shared" si="61"/>
        <v>90</v>
      </c>
      <c r="D589">
        <f t="shared" si="58"/>
        <v>82.191780821917803</v>
      </c>
      <c r="E589">
        <f t="shared" si="59"/>
        <v>55.882352941176471</v>
      </c>
      <c r="F589">
        <f t="shared" si="60"/>
        <v>1.2422777330110057</v>
      </c>
    </row>
    <row r="590" spans="1:6" x14ac:dyDescent="0.2">
      <c r="A590">
        <v>2</v>
      </c>
      <c r="B590">
        <v>20</v>
      </c>
      <c r="C590">
        <f t="shared" si="61"/>
        <v>92</v>
      </c>
      <c r="D590">
        <f t="shared" si="58"/>
        <v>84.018264840182638</v>
      </c>
      <c r="E590">
        <f t="shared" si="59"/>
        <v>58.82352941176471</v>
      </c>
      <c r="F590">
        <f t="shared" si="60"/>
        <v>1.0475423045930676</v>
      </c>
    </row>
    <row r="591" spans="1:6" x14ac:dyDescent="0.2">
      <c r="A591">
        <v>2</v>
      </c>
      <c r="B591">
        <v>21</v>
      </c>
      <c r="C591">
        <f t="shared" si="61"/>
        <v>94</v>
      </c>
      <c r="D591">
        <f t="shared" si="58"/>
        <v>85.844748858447488</v>
      </c>
      <c r="E591">
        <f t="shared" si="59"/>
        <v>61.764705882352942</v>
      </c>
      <c r="F591">
        <f t="shared" si="60"/>
        <v>1.101262422777336</v>
      </c>
    </row>
    <row r="592" spans="1:6" x14ac:dyDescent="0.2">
      <c r="A592">
        <v>2</v>
      </c>
      <c r="B592">
        <v>22</v>
      </c>
      <c r="C592">
        <f t="shared" si="61"/>
        <v>96</v>
      </c>
      <c r="D592">
        <f t="shared" si="58"/>
        <v>87.671232876712324</v>
      </c>
      <c r="E592">
        <f t="shared" si="59"/>
        <v>64.705882352941174</v>
      </c>
      <c r="F592">
        <f t="shared" si="60"/>
        <v>1.1549825409615873</v>
      </c>
    </row>
    <row r="593" spans="1:6" x14ac:dyDescent="0.2">
      <c r="A593">
        <v>2</v>
      </c>
      <c r="B593">
        <v>23</v>
      </c>
      <c r="C593">
        <f t="shared" si="61"/>
        <v>98</v>
      </c>
      <c r="D593">
        <f t="shared" si="58"/>
        <v>89.49771689497716</v>
      </c>
      <c r="E593">
        <f t="shared" si="59"/>
        <v>67.64705882352942</v>
      </c>
      <c r="F593">
        <f t="shared" si="60"/>
        <v>1.2087026591458474</v>
      </c>
    </row>
    <row r="594" spans="1:6" x14ac:dyDescent="0.2">
      <c r="A594">
        <v>1.5</v>
      </c>
      <c r="B594">
        <v>24</v>
      </c>
      <c r="C594">
        <f t="shared" si="61"/>
        <v>99.5</v>
      </c>
      <c r="D594">
        <f t="shared" si="58"/>
        <v>90.867579908675793</v>
      </c>
      <c r="E594">
        <f t="shared" si="59"/>
        <v>70.588235294117652</v>
      </c>
      <c r="F594">
        <f t="shared" si="60"/>
        <v>0.94681708299758527</v>
      </c>
    </row>
    <row r="595" spans="1:6" x14ac:dyDescent="0.2">
      <c r="A595">
        <v>1.5</v>
      </c>
      <c r="B595">
        <v>25</v>
      </c>
      <c r="C595">
        <f t="shared" si="61"/>
        <v>101</v>
      </c>
      <c r="D595">
        <f t="shared" si="58"/>
        <v>92.237442922374427</v>
      </c>
      <c r="E595">
        <f t="shared" si="59"/>
        <v>73.529411764705884</v>
      </c>
      <c r="F595">
        <f t="shared" si="60"/>
        <v>0.98710717163578021</v>
      </c>
    </row>
    <row r="596" spans="1:6" x14ac:dyDescent="0.2">
      <c r="A596">
        <v>1.5</v>
      </c>
      <c r="B596">
        <v>26</v>
      </c>
      <c r="C596">
        <f t="shared" si="61"/>
        <v>102.5</v>
      </c>
      <c r="D596">
        <f t="shared" si="58"/>
        <v>93.607305936073061</v>
      </c>
      <c r="E596">
        <f t="shared" si="59"/>
        <v>76.470588235294116</v>
      </c>
      <c r="F596">
        <f t="shared" si="60"/>
        <v>1.0273972602739754</v>
      </c>
    </row>
    <row r="597" spans="1:6" x14ac:dyDescent="0.2">
      <c r="A597">
        <v>1.5</v>
      </c>
      <c r="B597">
        <v>27</v>
      </c>
      <c r="C597">
        <f t="shared" si="61"/>
        <v>104</v>
      </c>
      <c r="D597">
        <f t="shared" si="58"/>
        <v>94.977168949771681</v>
      </c>
      <c r="E597">
        <f t="shared" si="59"/>
        <v>79.411764705882348</v>
      </c>
      <c r="F597">
        <f t="shared" si="60"/>
        <v>1.0676873489121594</v>
      </c>
    </row>
    <row r="598" spans="1:6" x14ac:dyDescent="0.2">
      <c r="A598">
        <v>1.5</v>
      </c>
      <c r="B598">
        <v>28</v>
      </c>
      <c r="C598">
        <f t="shared" si="61"/>
        <v>105.5</v>
      </c>
      <c r="D598">
        <f t="shared" si="58"/>
        <v>96.347031963470315</v>
      </c>
      <c r="E598">
        <f t="shared" si="59"/>
        <v>82.35294117647058</v>
      </c>
      <c r="F598">
        <f t="shared" si="60"/>
        <v>1.1079774375503655</v>
      </c>
    </row>
    <row r="599" spans="1:6" x14ac:dyDescent="0.2">
      <c r="A599">
        <v>1</v>
      </c>
      <c r="B599">
        <v>29</v>
      </c>
      <c r="C599">
        <f t="shared" si="61"/>
        <v>106.5</v>
      </c>
      <c r="D599">
        <f t="shared" si="58"/>
        <v>97.260273972602747</v>
      </c>
      <c r="E599">
        <f t="shared" si="59"/>
        <v>85.294117647058826</v>
      </c>
      <c r="F599">
        <f t="shared" si="60"/>
        <v>0.76551168412571502</v>
      </c>
    </row>
    <row r="600" spans="1:6" x14ac:dyDescent="0.2">
      <c r="A600">
        <v>1</v>
      </c>
      <c r="B600">
        <v>30</v>
      </c>
      <c r="C600">
        <f t="shared" si="61"/>
        <v>107.5</v>
      </c>
      <c r="D600">
        <f t="shared" si="58"/>
        <v>98.173515981735164</v>
      </c>
      <c r="E600">
        <f t="shared" si="59"/>
        <v>88.235294117647058</v>
      </c>
      <c r="F600">
        <f t="shared" si="60"/>
        <v>0.7923717432178331</v>
      </c>
    </row>
    <row r="601" spans="1:6" x14ac:dyDescent="0.2">
      <c r="A601">
        <v>1</v>
      </c>
      <c r="B601">
        <v>31</v>
      </c>
      <c r="C601">
        <f t="shared" si="61"/>
        <v>108.5</v>
      </c>
      <c r="D601">
        <f t="shared" si="58"/>
        <v>99.086757990867582</v>
      </c>
      <c r="E601">
        <f t="shared" si="59"/>
        <v>91.17647058823529</v>
      </c>
      <c r="F601">
        <f t="shared" si="60"/>
        <v>0.81923180230996306</v>
      </c>
    </row>
    <row r="602" spans="1:6" x14ac:dyDescent="0.2">
      <c r="A602">
        <v>0.5</v>
      </c>
      <c r="B602">
        <v>32</v>
      </c>
      <c r="C602">
        <f t="shared" si="61"/>
        <v>109</v>
      </c>
      <c r="D602">
        <f t="shared" si="58"/>
        <v>99.543378995433784</v>
      </c>
      <c r="E602">
        <f t="shared" si="59"/>
        <v>94.117647058823522</v>
      </c>
      <c r="F602">
        <f t="shared" si="60"/>
        <v>0.42304593070103991</v>
      </c>
    </row>
    <row r="603" spans="1:6" x14ac:dyDescent="0.2">
      <c r="A603">
        <v>0.25</v>
      </c>
      <c r="B603">
        <v>33</v>
      </c>
      <c r="C603">
        <f t="shared" si="61"/>
        <v>109.25</v>
      </c>
      <c r="D603">
        <f t="shared" si="58"/>
        <v>99.771689497716892</v>
      </c>
      <c r="E603">
        <f t="shared" si="59"/>
        <v>97.058823529411768</v>
      </c>
      <c r="F603">
        <f t="shared" si="60"/>
        <v>0.21823798012355911</v>
      </c>
    </row>
    <row r="604" spans="1:6" x14ac:dyDescent="0.2">
      <c r="A604">
        <v>0.25</v>
      </c>
      <c r="B604">
        <v>34</v>
      </c>
      <c r="C604">
        <f t="shared" si="61"/>
        <v>109.5</v>
      </c>
      <c r="D604">
        <f t="shared" si="58"/>
        <v>100</v>
      </c>
      <c r="E604">
        <f t="shared" si="59"/>
        <v>100</v>
      </c>
      <c r="F604">
        <f t="shared" si="60"/>
        <v>0.22495299489659171</v>
      </c>
    </row>
    <row r="605" spans="1:6" x14ac:dyDescent="0.2">
      <c r="E605" t="s">
        <v>63</v>
      </c>
      <c r="F605">
        <f>SUM(F571:F604)</f>
        <v>29.384904646790222</v>
      </c>
    </row>
    <row r="606" spans="1:6" x14ac:dyDescent="0.2">
      <c r="E606" t="s">
        <v>56</v>
      </c>
      <c r="F606">
        <f>50-F605</f>
        <v>20.615095353209778</v>
      </c>
    </row>
    <row r="607" spans="1:6" x14ac:dyDescent="0.2">
      <c r="E607" t="s">
        <v>49</v>
      </c>
      <c r="F607">
        <f>F606/50</f>
        <v>0.41230190706419556</v>
      </c>
    </row>
    <row r="609" spans="1:6" x14ac:dyDescent="0.2">
      <c r="A609" t="s">
        <v>26</v>
      </c>
    </row>
    <row r="610" spans="1:6" x14ac:dyDescent="0.2">
      <c r="A610" t="s">
        <v>48</v>
      </c>
      <c r="B610" t="s">
        <v>46</v>
      </c>
      <c r="C610" t="s">
        <v>47</v>
      </c>
      <c r="D610" t="s">
        <v>51</v>
      </c>
      <c r="E610" t="s">
        <v>50</v>
      </c>
      <c r="F610" t="s">
        <v>100</v>
      </c>
    </row>
    <row r="611" spans="1:6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">
      <c r="A612">
        <v>7</v>
      </c>
      <c r="B612">
        <v>1</v>
      </c>
      <c r="C612">
        <f>A612</f>
        <v>7</v>
      </c>
      <c r="D612">
        <f>(C612/C$640)*100</f>
        <v>10.662604722010661</v>
      </c>
      <c r="E612">
        <f>(B612/B$640)*100</f>
        <v>3.4482758620689653</v>
      </c>
      <c r="F612">
        <f t="shared" ref="F612:F640" si="62">(E612+E611)/2*(D612-D611)/100</f>
        <v>0.18383801244845965</v>
      </c>
    </row>
    <row r="613" spans="1:6" x14ac:dyDescent="0.2">
      <c r="A613">
        <v>6.5</v>
      </c>
      <c r="B613">
        <v>2</v>
      </c>
      <c r="C613">
        <f>C612+A613</f>
        <v>13.5</v>
      </c>
      <c r="D613">
        <f t="shared" ref="D613:D640" si="63">(C613/C$640)*100</f>
        <v>20.563594821020562</v>
      </c>
      <c r="E613">
        <f t="shared" ref="E613:E640" si="64">(B613/B$640)*100</f>
        <v>6.8965517241379306</v>
      </c>
      <c r="F613">
        <f t="shared" si="62"/>
        <v>0.51212017753499484</v>
      </c>
    </row>
    <row r="614" spans="1:6" x14ac:dyDescent="0.2">
      <c r="A614">
        <v>6</v>
      </c>
      <c r="B614">
        <v>3</v>
      </c>
      <c r="C614">
        <f t="shared" ref="C614:C640" si="65">C613+A614</f>
        <v>19.5</v>
      </c>
      <c r="D614">
        <f t="shared" si="63"/>
        <v>29.702970297029701</v>
      </c>
      <c r="E614">
        <f t="shared" si="64"/>
        <v>10.344827586206897</v>
      </c>
      <c r="F614">
        <f t="shared" si="62"/>
        <v>0.78787719620768426</v>
      </c>
    </row>
    <row r="615" spans="1:6" x14ac:dyDescent="0.2">
      <c r="A615">
        <v>4</v>
      </c>
      <c r="B615">
        <v>4</v>
      </c>
      <c r="C615">
        <f t="shared" si="65"/>
        <v>23.5</v>
      </c>
      <c r="D615">
        <f t="shared" si="63"/>
        <v>35.795887281035796</v>
      </c>
      <c r="E615">
        <f t="shared" si="64"/>
        <v>13.793103448275861</v>
      </c>
      <c r="F615">
        <f t="shared" si="62"/>
        <v>0.73535204979383906</v>
      </c>
    </row>
    <row r="616" spans="1:6" x14ac:dyDescent="0.2">
      <c r="A616">
        <v>4</v>
      </c>
      <c r="B616">
        <v>5</v>
      </c>
      <c r="C616">
        <f t="shared" si="65"/>
        <v>27.5</v>
      </c>
      <c r="D616">
        <f t="shared" si="63"/>
        <v>41.888804265041884</v>
      </c>
      <c r="E616">
        <f t="shared" si="64"/>
        <v>17.241379310344829</v>
      </c>
      <c r="F616">
        <f t="shared" si="62"/>
        <v>0.94545263544922054</v>
      </c>
    </row>
    <row r="617" spans="1:6" x14ac:dyDescent="0.2">
      <c r="A617">
        <v>3.5</v>
      </c>
      <c r="B617">
        <v>6</v>
      </c>
      <c r="C617">
        <f t="shared" si="65"/>
        <v>31</v>
      </c>
      <c r="D617">
        <f t="shared" si="63"/>
        <v>47.220106626047212</v>
      </c>
      <c r="E617">
        <f t="shared" si="64"/>
        <v>20.689655172413794</v>
      </c>
      <c r="F617">
        <f t="shared" si="62"/>
        <v>1.0111090684665276</v>
      </c>
    </row>
    <row r="618" spans="1:6" x14ac:dyDescent="0.2">
      <c r="A618">
        <v>3.5</v>
      </c>
      <c r="B618">
        <v>7</v>
      </c>
      <c r="C618">
        <f t="shared" si="65"/>
        <v>34.5</v>
      </c>
      <c r="D618">
        <f t="shared" si="63"/>
        <v>52.551408987052554</v>
      </c>
      <c r="E618">
        <f t="shared" si="64"/>
        <v>24.137931034482758</v>
      </c>
      <c r="F618">
        <f t="shared" si="62"/>
        <v>1.1949470809149905</v>
      </c>
    </row>
    <row r="619" spans="1:6" x14ac:dyDescent="0.2">
      <c r="A619">
        <v>3</v>
      </c>
      <c r="B619">
        <v>8</v>
      </c>
      <c r="C619">
        <f t="shared" si="65"/>
        <v>37.5</v>
      </c>
      <c r="D619">
        <f t="shared" si="63"/>
        <v>57.121096725057122</v>
      </c>
      <c r="E619">
        <f t="shared" si="64"/>
        <v>27.586206896551722</v>
      </c>
      <c r="F619">
        <f t="shared" si="62"/>
        <v>1.1818157943115259</v>
      </c>
    </row>
    <row r="620" spans="1:6" x14ac:dyDescent="0.2">
      <c r="A620">
        <v>3</v>
      </c>
      <c r="B620">
        <v>9</v>
      </c>
      <c r="C620">
        <f t="shared" si="65"/>
        <v>40.5</v>
      </c>
      <c r="D620">
        <f t="shared" si="63"/>
        <v>61.690784463061689</v>
      </c>
      <c r="E620">
        <f t="shared" si="64"/>
        <v>31.03448275862069</v>
      </c>
      <c r="F620">
        <f t="shared" si="62"/>
        <v>1.3393912335530629</v>
      </c>
    </row>
    <row r="621" spans="1:6" x14ac:dyDescent="0.2">
      <c r="A621">
        <v>3</v>
      </c>
      <c r="B621">
        <v>10</v>
      </c>
      <c r="C621">
        <f t="shared" si="65"/>
        <v>43.5</v>
      </c>
      <c r="D621">
        <f t="shared" si="63"/>
        <v>66.26047220106625</v>
      </c>
      <c r="E621">
        <f t="shared" si="64"/>
        <v>34.482758620689658</v>
      </c>
      <c r="F621">
        <f t="shared" si="62"/>
        <v>1.4969666727945974</v>
      </c>
    </row>
    <row r="622" spans="1:6" x14ac:dyDescent="0.2">
      <c r="A622">
        <v>2.5</v>
      </c>
      <c r="B622">
        <v>11</v>
      </c>
      <c r="C622">
        <f t="shared" si="65"/>
        <v>46</v>
      </c>
      <c r="D622">
        <f t="shared" si="63"/>
        <v>70.068545316070058</v>
      </c>
      <c r="E622">
        <f t="shared" si="64"/>
        <v>37.931034482758619</v>
      </c>
      <c r="F622">
        <f t="shared" si="62"/>
        <v>1.3787850933634476</v>
      </c>
    </row>
    <row r="623" spans="1:6" x14ac:dyDescent="0.2">
      <c r="A623">
        <v>2.5</v>
      </c>
      <c r="B623">
        <v>12</v>
      </c>
      <c r="C623">
        <f t="shared" si="65"/>
        <v>48.5</v>
      </c>
      <c r="D623">
        <f t="shared" si="63"/>
        <v>73.876618431073865</v>
      </c>
      <c r="E623">
        <f t="shared" si="64"/>
        <v>41.379310344827587</v>
      </c>
      <c r="F623">
        <f t="shared" si="62"/>
        <v>1.5100979593980617</v>
      </c>
    </row>
    <row r="624" spans="1:6" x14ac:dyDescent="0.2">
      <c r="A624">
        <v>2</v>
      </c>
      <c r="B624">
        <v>13</v>
      </c>
      <c r="C624">
        <f t="shared" si="65"/>
        <v>50.5</v>
      </c>
      <c r="D624">
        <f t="shared" si="63"/>
        <v>76.92307692307692</v>
      </c>
      <c r="E624">
        <f t="shared" si="64"/>
        <v>44.827586206896555</v>
      </c>
      <c r="F624">
        <f t="shared" si="62"/>
        <v>1.3131286603461445</v>
      </c>
    </row>
    <row r="625" spans="1:6" x14ac:dyDescent="0.2">
      <c r="A625">
        <v>2</v>
      </c>
      <c r="B625">
        <v>14</v>
      </c>
      <c r="C625">
        <f t="shared" si="65"/>
        <v>52.5</v>
      </c>
      <c r="D625">
        <f t="shared" si="63"/>
        <v>79.96953541507996</v>
      </c>
      <c r="E625">
        <f t="shared" si="64"/>
        <v>48.275862068965516</v>
      </c>
      <c r="F625">
        <f t="shared" si="62"/>
        <v>1.4181789531738291</v>
      </c>
    </row>
    <row r="626" spans="1:6" x14ac:dyDescent="0.2">
      <c r="A626">
        <v>1.5</v>
      </c>
      <c r="B626">
        <v>15</v>
      </c>
      <c r="C626">
        <f t="shared" si="65"/>
        <v>54</v>
      </c>
      <c r="D626">
        <f t="shared" si="63"/>
        <v>82.254379284082248</v>
      </c>
      <c r="E626">
        <f t="shared" si="64"/>
        <v>51.724137931034484</v>
      </c>
      <c r="F626">
        <f t="shared" si="62"/>
        <v>1.1424219345011437</v>
      </c>
    </row>
    <row r="627" spans="1:6" x14ac:dyDescent="0.2">
      <c r="A627">
        <v>1.5</v>
      </c>
      <c r="B627">
        <v>16</v>
      </c>
      <c r="C627">
        <f t="shared" si="65"/>
        <v>55.5</v>
      </c>
      <c r="D627">
        <f t="shared" si="63"/>
        <v>84.539223153084535</v>
      </c>
      <c r="E627">
        <f t="shared" si="64"/>
        <v>55.172413793103445</v>
      </c>
      <c r="F627">
        <f t="shared" si="62"/>
        <v>1.2212096541219122</v>
      </c>
    </row>
    <row r="628" spans="1:6" x14ac:dyDescent="0.2">
      <c r="A628">
        <v>1.5</v>
      </c>
      <c r="B628">
        <v>17</v>
      </c>
      <c r="C628">
        <f t="shared" si="65"/>
        <v>57</v>
      </c>
      <c r="D628">
        <f t="shared" si="63"/>
        <v>86.824067022086808</v>
      </c>
      <c r="E628">
        <f t="shared" si="64"/>
        <v>58.620689655172406</v>
      </c>
      <c r="F628">
        <f t="shared" si="62"/>
        <v>1.2999973737426727</v>
      </c>
    </row>
    <row r="629" spans="1:6" x14ac:dyDescent="0.2">
      <c r="A629">
        <v>1.5</v>
      </c>
      <c r="B629">
        <v>18</v>
      </c>
      <c r="C629">
        <f t="shared" si="65"/>
        <v>58.5</v>
      </c>
      <c r="D629">
        <f t="shared" si="63"/>
        <v>89.108910891089096</v>
      </c>
      <c r="E629">
        <f t="shared" si="64"/>
        <v>62.068965517241381</v>
      </c>
      <c r="F629">
        <f t="shared" si="62"/>
        <v>1.3787850933634491</v>
      </c>
    </row>
    <row r="630" spans="1:6" x14ac:dyDescent="0.2">
      <c r="A630">
        <v>1.5</v>
      </c>
      <c r="B630">
        <v>19</v>
      </c>
      <c r="C630">
        <f t="shared" si="65"/>
        <v>60</v>
      </c>
      <c r="D630">
        <f t="shared" si="63"/>
        <v>91.393754760091383</v>
      </c>
      <c r="E630">
        <f t="shared" si="64"/>
        <v>65.517241379310349</v>
      </c>
      <c r="F630">
        <f t="shared" si="62"/>
        <v>1.4575728129842178</v>
      </c>
    </row>
    <row r="631" spans="1:6" x14ac:dyDescent="0.2">
      <c r="A631">
        <v>1</v>
      </c>
      <c r="B631">
        <v>20</v>
      </c>
      <c r="C631">
        <f t="shared" si="65"/>
        <v>61</v>
      </c>
      <c r="D631">
        <f t="shared" si="63"/>
        <v>92.916984006092903</v>
      </c>
      <c r="E631">
        <f t="shared" si="64"/>
        <v>68.965517241379317</v>
      </c>
      <c r="F631">
        <f t="shared" si="62"/>
        <v>1.0242403550699877</v>
      </c>
    </row>
    <row r="632" spans="1:6" x14ac:dyDescent="0.2">
      <c r="A632">
        <v>1</v>
      </c>
      <c r="B632">
        <v>21</v>
      </c>
      <c r="C632">
        <f t="shared" si="65"/>
        <v>62</v>
      </c>
      <c r="D632">
        <f t="shared" si="63"/>
        <v>94.440213252094424</v>
      </c>
      <c r="E632">
        <f t="shared" si="64"/>
        <v>72.41379310344827</v>
      </c>
      <c r="F632">
        <f t="shared" si="62"/>
        <v>1.0767655014838333</v>
      </c>
    </row>
    <row r="633" spans="1:6" x14ac:dyDescent="0.2">
      <c r="A633">
        <v>1</v>
      </c>
      <c r="B633">
        <v>22</v>
      </c>
      <c r="C633">
        <f t="shared" si="65"/>
        <v>63</v>
      </c>
      <c r="D633">
        <f t="shared" si="63"/>
        <v>95.963442498095958</v>
      </c>
      <c r="E633">
        <f t="shared" si="64"/>
        <v>75.862068965517238</v>
      </c>
      <c r="F633">
        <f t="shared" si="62"/>
        <v>1.1292906478976894</v>
      </c>
    </row>
    <row r="634" spans="1:6" x14ac:dyDescent="0.2">
      <c r="A634">
        <v>0.5</v>
      </c>
      <c r="B634">
        <v>23</v>
      </c>
      <c r="C634">
        <f t="shared" si="65"/>
        <v>63.5</v>
      </c>
      <c r="D634">
        <f t="shared" si="63"/>
        <v>96.725057121096711</v>
      </c>
      <c r="E634">
        <f t="shared" si="64"/>
        <v>79.310344827586206</v>
      </c>
      <c r="F634">
        <f t="shared" si="62"/>
        <v>0.59090789715575665</v>
      </c>
    </row>
    <row r="635" spans="1:6" x14ac:dyDescent="0.2">
      <c r="A635">
        <v>0.5</v>
      </c>
      <c r="B635">
        <v>24</v>
      </c>
      <c r="C635">
        <f t="shared" si="65"/>
        <v>64</v>
      </c>
      <c r="D635">
        <f t="shared" si="63"/>
        <v>97.486671744097478</v>
      </c>
      <c r="E635">
        <f t="shared" si="64"/>
        <v>82.758620689655174</v>
      </c>
      <c r="F635">
        <f t="shared" si="62"/>
        <v>0.61717047036269068</v>
      </c>
    </row>
    <row r="636" spans="1:6" x14ac:dyDescent="0.2">
      <c r="A636">
        <v>0.5</v>
      </c>
      <c r="B636">
        <v>25</v>
      </c>
      <c r="C636">
        <f t="shared" si="65"/>
        <v>64.5</v>
      </c>
      <c r="D636">
        <f t="shared" si="63"/>
        <v>98.248286367098231</v>
      </c>
      <c r="E636">
        <f t="shared" si="64"/>
        <v>86.206896551724128</v>
      </c>
      <c r="F636">
        <f t="shared" si="62"/>
        <v>0.64343304356960163</v>
      </c>
    </row>
    <row r="637" spans="1:6" x14ac:dyDescent="0.2">
      <c r="A637">
        <v>0.5</v>
      </c>
      <c r="B637">
        <v>26</v>
      </c>
      <c r="C637">
        <f t="shared" si="65"/>
        <v>65</v>
      </c>
      <c r="D637">
        <f t="shared" si="63"/>
        <v>99.009900990098998</v>
      </c>
      <c r="E637">
        <f t="shared" si="64"/>
        <v>89.65517241379311</v>
      </c>
      <c r="F637">
        <f t="shared" si="62"/>
        <v>0.66969561677653677</v>
      </c>
    </row>
    <row r="638" spans="1:6" x14ac:dyDescent="0.2">
      <c r="A638">
        <v>0.25</v>
      </c>
      <c r="B638">
        <v>27</v>
      </c>
      <c r="C638">
        <f t="shared" si="65"/>
        <v>65.25</v>
      </c>
      <c r="D638">
        <f t="shared" si="63"/>
        <v>99.390708301599389</v>
      </c>
      <c r="E638">
        <f t="shared" si="64"/>
        <v>93.103448275862064</v>
      </c>
      <c r="F638">
        <f t="shared" si="62"/>
        <v>0.34797909499173635</v>
      </c>
    </row>
    <row r="639" spans="1:6" x14ac:dyDescent="0.2">
      <c r="A639">
        <v>0.25</v>
      </c>
      <c r="B639">
        <v>28</v>
      </c>
      <c r="C639">
        <f t="shared" si="65"/>
        <v>65.5</v>
      </c>
      <c r="D639">
        <f t="shared" si="63"/>
        <v>99.771515613099766</v>
      </c>
      <c r="E639">
        <f t="shared" si="64"/>
        <v>96.551724137931032</v>
      </c>
      <c r="F639">
        <f t="shared" si="62"/>
        <v>0.3611103815951846</v>
      </c>
    </row>
    <row r="640" spans="1:6" x14ac:dyDescent="0.2">
      <c r="A640">
        <v>0.15</v>
      </c>
      <c r="B640">
        <v>29</v>
      </c>
      <c r="C640">
        <f t="shared" si="65"/>
        <v>65.650000000000006</v>
      </c>
      <c r="D640">
        <f t="shared" si="63"/>
        <v>100</v>
      </c>
      <c r="E640">
        <f t="shared" si="64"/>
        <v>100</v>
      </c>
      <c r="F640">
        <f t="shared" si="62"/>
        <v>0.22454500091919591</v>
      </c>
    </row>
    <row r="641" spans="1:6" x14ac:dyDescent="0.2">
      <c r="E641" t="s">
        <v>61</v>
      </c>
      <c r="F641">
        <f>SUM(F612:F640)</f>
        <v>28.194185466292002</v>
      </c>
    </row>
    <row r="642" spans="1:6" x14ac:dyDescent="0.2">
      <c r="E642" t="s">
        <v>56</v>
      </c>
      <c r="F642">
        <f>50-F641</f>
        <v>21.805814533707998</v>
      </c>
    </row>
    <row r="643" spans="1:6" x14ac:dyDescent="0.2">
      <c r="E643" t="s">
        <v>49</v>
      </c>
      <c r="F643">
        <f>F642/50</f>
        <v>0.43611629067415997</v>
      </c>
    </row>
    <row r="645" spans="1:6" x14ac:dyDescent="0.2">
      <c r="A645" t="s">
        <v>83</v>
      </c>
    </row>
    <row r="646" spans="1:6" x14ac:dyDescent="0.2">
      <c r="A646" t="s">
        <v>48</v>
      </c>
      <c r="B646" t="s">
        <v>46</v>
      </c>
      <c r="C646" t="s">
        <v>47</v>
      </c>
      <c r="D646" t="s">
        <v>51</v>
      </c>
      <c r="E646" t="s">
        <v>50</v>
      </c>
      <c r="F646" t="s">
        <v>100</v>
      </c>
    </row>
    <row r="647" spans="1:6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">
      <c r="A648">
        <v>7</v>
      </c>
      <c r="B648">
        <v>1</v>
      </c>
      <c r="C648">
        <f>A648</f>
        <v>7</v>
      </c>
      <c r="D648">
        <f>(C648/C$676)*100</f>
        <v>7.7092511013215859</v>
      </c>
      <c r="E648">
        <f>(B648/B$676)*100</f>
        <v>3.4482758620689653</v>
      </c>
      <c r="F648">
        <f t="shared" ref="F648:F676" si="66">(E648+E647)/2*(D648-D647)/100</f>
        <v>0.13291812243657908</v>
      </c>
    </row>
    <row r="649" spans="1:6" x14ac:dyDescent="0.2">
      <c r="A649">
        <v>7</v>
      </c>
      <c r="B649">
        <v>2</v>
      </c>
      <c r="C649">
        <f>C648+A649</f>
        <v>14</v>
      </c>
      <c r="D649">
        <f t="shared" ref="D649:D676" si="67">(C649/C$676)*100</f>
        <v>15.418502202643172</v>
      </c>
      <c r="E649">
        <f t="shared" ref="E649:E676" si="68">(B649/B$676)*100</f>
        <v>6.8965517241379306</v>
      </c>
      <c r="F649">
        <f t="shared" si="66"/>
        <v>0.39875436730973718</v>
      </c>
    </row>
    <row r="650" spans="1:6" x14ac:dyDescent="0.2">
      <c r="A650">
        <v>6</v>
      </c>
      <c r="B650">
        <v>3</v>
      </c>
      <c r="C650">
        <f t="shared" ref="C650:C676" si="69">C649+A650</f>
        <v>20</v>
      </c>
      <c r="D650">
        <f t="shared" si="67"/>
        <v>22.026431718061676</v>
      </c>
      <c r="E650">
        <f t="shared" si="68"/>
        <v>10.344827586206897</v>
      </c>
      <c r="F650">
        <f t="shared" si="66"/>
        <v>0.56964909615676762</v>
      </c>
    </row>
    <row r="651" spans="1:6" x14ac:dyDescent="0.2">
      <c r="A651">
        <v>6</v>
      </c>
      <c r="B651">
        <v>4</v>
      </c>
      <c r="C651">
        <f t="shared" si="69"/>
        <v>26</v>
      </c>
      <c r="D651">
        <f t="shared" si="67"/>
        <v>28.634361233480178</v>
      </c>
      <c r="E651">
        <f t="shared" si="68"/>
        <v>13.793103448275861</v>
      </c>
      <c r="F651">
        <f t="shared" si="66"/>
        <v>0.79750873461947425</v>
      </c>
    </row>
    <row r="652" spans="1:6" x14ac:dyDescent="0.2">
      <c r="A652">
        <v>6</v>
      </c>
      <c r="B652">
        <v>5</v>
      </c>
      <c r="C652">
        <f t="shared" si="69"/>
        <v>32</v>
      </c>
      <c r="D652">
        <f t="shared" si="67"/>
        <v>35.242290748898682</v>
      </c>
      <c r="E652">
        <f t="shared" si="68"/>
        <v>17.241379310344829</v>
      </c>
      <c r="F652">
        <f t="shared" si="66"/>
        <v>1.0253683730821819</v>
      </c>
    </row>
    <row r="653" spans="1:6" x14ac:dyDescent="0.2">
      <c r="A653">
        <v>5</v>
      </c>
      <c r="B653">
        <v>6</v>
      </c>
      <c r="C653">
        <f t="shared" si="69"/>
        <v>37</v>
      </c>
      <c r="D653">
        <f t="shared" si="67"/>
        <v>40.748898678414101</v>
      </c>
      <c r="E653">
        <f t="shared" si="68"/>
        <v>20.689655172413794</v>
      </c>
      <c r="F653">
        <f t="shared" si="66"/>
        <v>1.0443566762874068</v>
      </c>
    </row>
    <row r="654" spans="1:6" x14ac:dyDescent="0.2">
      <c r="A654">
        <v>5</v>
      </c>
      <c r="B654">
        <v>7</v>
      </c>
      <c r="C654">
        <f t="shared" si="69"/>
        <v>42</v>
      </c>
      <c r="D654">
        <f t="shared" si="67"/>
        <v>46.255506607929519</v>
      </c>
      <c r="E654">
        <f t="shared" si="68"/>
        <v>24.137931034482758</v>
      </c>
      <c r="F654">
        <f t="shared" si="66"/>
        <v>1.2342397083396628</v>
      </c>
    </row>
    <row r="655" spans="1:6" x14ac:dyDescent="0.2">
      <c r="A655">
        <v>5</v>
      </c>
      <c r="B655">
        <v>8</v>
      </c>
      <c r="C655">
        <f t="shared" si="69"/>
        <v>47</v>
      </c>
      <c r="D655">
        <f t="shared" si="67"/>
        <v>51.762114537444937</v>
      </c>
      <c r="E655">
        <f t="shared" si="68"/>
        <v>27.586206896551722</v>
      </c>
      <c r="F655">
        <f t="shared" si="66"/>
        <v>1.4241227403919183</v>
      </c>
    </row>
    <row r="656" spans="1:6" x14ac:dyDescent="0.2">
      <c r="A656">
        <v>5</v>
      </c>
      <c r="B656">
        <v>9</v>
      </c>
      <c r="C656">
        <f t="shared" si="69"/>
        <v>52</v>
      </c>
      <c r="D656">
        <f t="shared" si="67"/>
        <v>57.268722466960355</v>
      </c>
      <c r="E656">
        <f t="shared" si="68"/>
        <v>31.03448275862069</v>
      </c>
      <c r="F656">
        <f t="shared" si="66"/>
        <v>1.6140057724441743</v>
      </c>
    </row>
    <row r="657" spans="1:6" x14ac:dyDescent="0.2">
      <c r="A657">
        <v>5</v>
      </c>
      <c r="B657">
        <v>10</v>
      </c>
      <c r="C657">
        <f t="shared" si="69"/>
        <v>57</v>
      </c>
      <c r="D657">
        <f t="shared" si="67"/>
        <v>62.775330396475773</v>
      </c>
      <c r="E657">
        <f t="shared" si="68"/>
        <v>34.482758620689658</v>
      </c>
      <c r="F657">
        <f t="shared" si="66"/>
        <v>1.8038888044964301</v>
      </c>
    </row>
    <row r="658" spans="1:6" x14ac:dyDescent="0.2">
      <c r="A658">
        <v>4</v>
      </c>
      <c r="B658">
        <v>11</v>
      </c>
      <c r="C658">
        <f t="shared" si="69"/>
        <v>61</v>
      </c>
      <c r="D658">
        <f t="shared" si="67"/>
        <v>67.180616740088112</v>
      </c>
      <c r="E658">
        <f t="shared" si="68"/>
        <v>37.931034482758619</v>
      </c>
      <c r="F658">
        <f t="shared" si="66"/>
        <v>1.5950174692389505</v>
      </c>
    </row>
    <row r="659" spans="1:6" x14ac:dyDescent="0.2">
      <c r="A659">
        <v>4</v>
      </c>
      <c r="B659">
        <v>12</v>
      </c>
      <c r="C659">
        <f t="shared" si="69"/>
        <v>65</v>
      </c>
      <c r="D659">
        <f t="shared" si="67"/>
        <v>71.585903083700444</v>
      </c>
      <c r="E659">
        <f t="shared" si="68"/>
        <v>41.379310344827587</v>
      </c>
      <c r="F659">
        <f t="shared" si="66"/>
        <v>1.7469238948807524</v>
      </c>
    </row>
    <row r="660" spans="1:6" x14ac:dyDescent="0.2">
      <c r="A660">
        <v>3</v>
      </c>
      <c r="B660">
        <v>13</v>
      </c>
      <c r="C660">
        <f t="shared" si="69"/>
        <v>68</v>
      </c>
      <c r="D660">
        <f t="shared" si="67"/>
        <v>74.889867841409696</v>
      </c>
      <c r="E660">
        <f t="shared" si="68"/>
        <v>44.827586206896555</v>
      </c>
      <c r="F660">
        <f t="shared" si="66"/>
        <v>1.4241227403919192</v>
      </c>
    </row>
    <row r="661" spans="1:6" x14ac:dyDescent="0.2">
      <c r="A661">
        <v>3</v>
      </c>
      <c r="B661">
        <v>14</v>
      </c>
      <c r="C661">
        <f t="shared" si="69"/>
        <v>71</v>
      </c>
      <c r="D661">
        <f t="shared" si="67"/>
        <v>78.193832599118934</v>
      </c>
      <c r="E661">
        <f t="shared" si="68"/>
        <v>48.275862068965516</v>
      </c>
      <c r="F661">
        <f t="shared" si="66"/>
        <v>1.5380525596232659</v>
      </c>
    </row>
    <row r="662" spans="1:6" x14ac:dyDescent="0.2">
      <c r="A662">
        <v>3</v>
      </c>
      <c r="B662">
        <v>15</v>
      </c>
      <c r="C662">
        <f t="shared" si="69"/>
        <v>74</v>
      </c>
      <c r="D662">
        <f t="shared" si="67"/>
        <v>81.497797356828201</v>
      </c>
      <c r="E662">
        <f t="shared" si="68"/>
        <v>51.724137931034484</v>
      </c>
      <c r="F662">
        <f t="shared" si="66"/>
        <v>1.6519823788546333</v>
      </c>
    </row>
    <row r="663" spans="1:6" x14ac:dyDescent="0.2">
      <c r="A663">
        <v>2.5</v>
      </c>
      <c r="B663">
        <v>16</v>
      </c>
      <c r="C663">
        <f t="shared" si="69"/>
        <v>76.5</v>
      </c>
      <c r="D663">
        <f t="shared" si="67"/>
        <v>84.251101321585907</v>
      </c>
      <c r="E663">
        <f t="shared" si="68"/>
        <v>55.172413793103445</v>
      </c>
      <c r="F663">
        <f t="shared" si="66"/>
        <v>1.4715934984049808</v>
      </c>
    </row>
    <row r="664" spans="1:6" x14ac:dyDescent="0.2">
      <c r="A664">
        <v>2</v>
      </c>
      <c r="B664">
        <v>17</v>
      </c>
      <c r="C664">
        <f t="shared" si="69"/>
        <v>78.5</v>
      </c>
      <c r="D664">
        <f t="shared" si="67"/>
        <v>86.453744493392065</v>
      </c>
      <c r="E664">
        <f t="shared" si="68"/>
        <v>58.620689655172406</v>
      </c>
      <c r="F664">
        <f t="shared" si="66"/>
        <v>1.2532280115448833</v>
      </c>
    </row>
    <row r="665" spans="1:6" x14ac:dyDescent="0.2">
      <c r="A665">
        <v>1.5</v>
      </c>
      <c r="B665">
        <v>18</v>
      </c>
      <c r="C665">
        <f t="shared" si="69"/>
        <v>80</v>
      </c>
      <c r="D665">
        <f t="shared" si="67"/>
        <v>88.105726872246706</v>
      </c>
      <c r="E665">
        <f t="shared" si="68"/>
        <v>62.068965517241381</v>
      </c>
      <c r="F665">
        <f t="shared" si="66"/>
        <v>0.99688591827435191</v>
      </c>
    </row>
    <row r="666" spans="1:6" x14ac:dyDescent="0.2">
      <c r="A666">
        <v>1.5</v>
      </c>
      <c r="B666">
        <v>19</v>
      </c>
      <c r="C666">
        <f t="shared" si="69"/>
        <v>81.5</v>
      </c>
      <c r="D666">
        <f t="shared" si="67"/>
        <v>89.757709251101332</v>
      </c>
      <c r="E666">
        <f t="shared" si="68"/>
        <v>65.517241379310349</v>
      </c>
      <c r="F666">
        <f t="shared" si="66"/>
        <v>1.05385082789002</v>
      </c>
    </row>
    <row r="667" spans="1:6" x14ac:dyDescent="0.2">
      <c r="A667">
        <v>1.5</v>
      </c>
      <c r="B667">
        <v>20</v>
      </c>
      <c r="C667">
        <f t="shared" si="69"/>
        <v>83</v>
      </c>
      <c r="D667">
        <f t="shared" si="67"/>
        <v>91.409691629955944</v>
      </c>
      <c r="E667">
        <f t="shared" si="68"/>
        <v>68.965517241379317</v>
      </c>
      <c r="F667">
        <f t="shared" si="66"/>
        <v>1.1108157375056873</v>
      </c>
    </row>
    <row r="668" spans="1:6" x14ac:dyDescent="0.2">
      <c r="A668">
        <v>1</v>
      </c>
      <c r="B668">
        <v>21</v>
      </c>
      <c r="C668">
        <f t="shared" si="69"/>
        <v>84</v>
      </c>
      <c r="D668">
        <f t="shared" si="67"/>
        <v>92.511013215859037</v>
      </c>
      <c r="E668">
        <f t="shared" si="68"/>
        <v>72.41379310344827</v>
      </c>
      <c r="F668">
        <f t="shared" si="66"/>
        <v>0.77852043141425586</v>
      </c>
    </row>
    <row r="669" spans="1:6" x14ac:dyDescent="0.2">
      <c r="A669">
        <v>1</v>
      </c>
      <c r="B669">
        <v>22</v>
      </c>
      <c r="C669">
        <f t="shared" si="69"/>
        <v>85</v>
      </c>
      <c r="D669">
        <f t="shared" si="67"/>
        <v>93.612334801762117</v>
      </c>
      <c r="E669">
        <f t="shared" si="68"/>
        <v>75.862068965517238</v>
      </c>
      <c r="F669">
        <f t="shared" si="66"/>
        <v>0.81649703782469685</v>
      </c>
    </row>
    <row r="670" spans="1:6" x14ac:dyDescent="0.2">
      <c r="A670">
        <v>1</v>
      </c>
      <c r="B670">
        <v>23</v>
      </c>
      <c r="C670">
        <f t="shared" si="69"/>
        <v>86</v>
      </c>
      <c r="D670">
        <f t="shared" si="67"/>
        <v>94.713656387665196</v>
      </c>
      <c r="E670">
        <f t="shared" si="68"/>
        <v>79.310344827586206</v>
      </c>
      <c r="F670">
        <f t="shared" si="66"/>
        <v>0.85447364423514771</v>
      </c>
    </row>
    <row r="671" spans="1:6" x14ac:dyDescent="0.2">
      <c r="A671">
        <v>1</v>
      </c>
      <c r="B671">
        <v>24</v>
      </c>
      <c r="C671">
        <f t="shared" si="69"/>
        <v>87</v>
      </c>
      <c r="D671">
        <f t="shared" si="67"/>
        <v>95.81497797356829</v>
      </c>
      <c r="E671">
        <f t="shared" si="68"/>
        <v>82.758620689655174</v>
      </c>
      <c r="F671">
        <f t="shared" si="66"/>
        <v>0.89245025064561045</v>
      </c>
    </row>
    <row r="672" spans="1:6" x14ac:dyDescent="0.2">
      <c r="A672">
        <v>1</v>
      </c>
      <c r="B672">
        <v>25</v>
      </c>
      <c r="C672">
        <f t="shared" si="69"/>
        <v>88</v>
      </c>
      <c r="D672">
        <f t="shared" si="67"/>
        <v>96.916299559471369</v>
      </c>
      <c r="E672">
        <f t="shared" si="68"/>
        <v>86.206896551724128</v>
      </c>
      <c r="F672">
        <f t="shared" si="66"/>
        <v>0.93042685705604977</v>
      </c>
    </row>
    <row r="673" spans="1:6" x14ac:dyDescent="0.2">
      <c r="A673">
        <v>1</v>
      </c>
      <c r="B673">
        <v>26</v>
      </c>
      <c r="C673">
        <f t="shared" si="69"/>
        <v>89</v>
      </c>
      <c r="D673">
        <f t="shared" si="67"/>
        <v>98.017621145374463</v>
      </c>
      <c r="E673">
        <f t="shared" si="68"/>
        <v>89.65517241379311</v>
      </c>
      <c r="F673">
        <f t="shared" si="66"/>
        <v>0.96840346346651329</v>
      </c>
    </row>
    <row r="674" spans="1:6" x14ac:dyDescent="0.2">
      <c r="A674">
        <v>0.8</v>
      </c>
      <c r="B674">
        <v>27</v>
      </c>
      <c r="C674">
        <f t="shared" si="69"/>
        <v>89.8</v>
      </c>
      <c r="D674">
        <f t="shared" si="67"/>
        <v>98.898678414096921</v>
      </c>
      <c r="E674">
        <f t="shared" si="68"/>
        <v>93.103448275862064</v>
      </c>
      <c r="F674">
        <f t="shared" si="66"/>
        <v>0.80510405590155631</v>
      </c>
    </row>
    <row r="675" spans="1:6" x14ac:dyDescent="0.2">
      <c r="A675">
        <v>0.75</v>
      </c>
      <c r="B675">
        <v>28</v>
      </c>
      <c r="C675">
        <f t="shared" si="69"/>
        <v>90.55</v>
      </c>
      <c r="D675">
        <f t="shared" si="67"/>
        <v>99.724669603524234</v>
      </c>
      <c r="E675">
        <f t="shared" si="68"/>
        <v>96.551724137931032</v>
      </c>
      <c r="F675">
        <f t="shared" si="66"/>
        <v>0.78326750721555538</v>
      </c>
    </row>
    <row r="676" spans="1:6" x14ac:dyDescent="0.2">
      <c r="A676">
        <v>0.25</v>
      </c>
      <c r="B676">
        <v>29</v>
      </c>
      <c r="C676">
        <f t="shared" si="69"/>
        <v>90.8</v>
      </c>
      <c r="D676">
        <f t="shared" si="67"/>
        <v>100</v>
      </c>
      <c r="E676">
        <f t="shared" si="68"/>
        <v>100</v>
      </c>
      <c r="F676">
        <f t="shared" si="66"/>
        <v>0.27058332067446</v>
      </c>
    </row>
    <row r="677" spans="1:6" x14ac:dyDescent="0.2">
      <c r="E677" t="s">
        <v>63</v>
      </c>
      <c r="F677">
        <f>SUM(F648:F676)</f>
        <v>30.987012000607621</v>
      </c>
    </row>
    <row r="678" spans="1:6" x14ac:dyDescent="0.2">
      <c r="E678" t="s">
        <v>56</v>
      </c>
      <c r="F678">
        <f>50-F677</f>
        <v>19.012987999392379</v>
      </c>
    </row>
    <row r="679" spans="1:6" x14ac:dyDescent="0.2">
      <c r="E679" t="s">
        <v>49</v>
      </c>
      <c r="F679">
        <f>F678/50</f>
        <v>0.38025975998784761</v>
      </c>
    </row>
    <row r="681" spans="1:6" x14ac:dyDescent="0.2">
      <c r="A681" t="s">
        <v>75</v>
      </c>
    </row>
    <row r="682" spans="1:6" x14ac:dyDescent="0.2">
      <c r="A682" t="s">
        <v>48</v>
      </c>
      <c r="B682" t="s">
        <v>46</v>
      </c>
      <c r="C682" t="s">
        <v>47</v>
      </c>
      <c r="D682" t="s">
        <v>51</v>
      </c>
      <c r="E682" t="s">
        <v>50</v>
      </c>
      <c r="F682" t="s">
        <v>100</v>
      </c>
    </row>
    <row r="683" spans="1:6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">
      <c r="A684">
        <v>8.5</v>
      </c>
      <c r="B684">
        <v>1</v>
      </c>
      <c r="C684">
        <f>A684</f>
        <v>8.5</v>
      </c>
      <c r="D684">
        <f>(C684/C$711)*100</f>
        <v>9.6810933940774486</v>
      </c>
      <c r="E684">
        <f>(B684/B$711)*100</f>
        <v>3.5714285714285712</v>
      </c>
      <c r="F684">
        <f t="shared" ref="F684:F711" si="70">(E684+E683)/2*(D684-D683)/100</f>
        <v>0.172876667751383</v>
      </c>
    </row>
    <row r="685" spans="1:6" x14ac:dyDescent="0.2">
      <c r="A685">
        <v>7.5</v>
      </c>
      <c r="B685">
        <v>2</v>
      </c>
      <c r="C685">
        <f>C684+A685</f>
        <v>16</v>
      </c>
      <c r="D685">
        <f t="shared" ref="D685:D711" si="71">(C685/C$711)*100</f>
        <v>18.223234624145785</v>
      </c>
      <c r="E685">
        <f t="shared" ref="E685:E711" si="72">(B685/B$711)*100</f>
        <v>7.1428571428571423</v>
      </c>
      <c r="F685">
        <f t="shared" si="70"/>
        <v>0.45761470875366084</v>
      </c>
    </row>
    <row r="686" spans="1:6" x14ac:dyDescent="0.2">
      <c r="A686">
        <v>7</v>
      </c>
      <c r="B686">
        <v>3</v>
      </c>
      <c r="C686">
        <f t="shared" ref="C686:C711" si="73">C685+A686</f>
        <v>23</v>
      </c>
      <c r="D686">
        <f t="shared" si="71"/>
        <v>26.195899772209568</v>
      </c>
      <c r="E686">
        <f t="shared" si="72"/>
        <v>10.714285714285714</v>
      </c>
      <c r="F686">
        <f t="shared" si="70"/>
        <v>0.71184510250569477</v>
      </c>
    </row>
    <row r="687" spans="1:6" x14ac:dyDescent="0.2">
      <c r="A687">
        <v>5.5</v>
      </c>
      <c r="B687">
        <v>4</v>
      </c>
      <c r="C687">
        <f t="shared" si="73"/>
        <v>28.5</v>
      </c>
      <c r="D687">
        <f t="shared" si="71"/>
        <v>32.46013667425968</v>
      </c>
      <c r="E687">
        <f t="shared" si="72"/>
        <v>14.285714285714285</v>
      </c>
      <c r="F687">
        <f t="shared" si="70"/>
        <v>0.78302961275626393</v>
      </c>
    </row>
    <row r="688" spans="1:6" x14ac:dyDescent="0.2">
      <c r="A688">
        <v>4.5</v>
      </c>
      <c r="B688">
        <v>5</v>
      </c>
      <c r="C688">
        <f t="shared" si="73"/>
        <v>33</v>
      </c>
      <c r="D688">
        <f t="shared" si="71"/>
        <v>37.585421412300683</v>
      </c>
      <c r="E688">
        <f t="shared" si="72"/>
        <v>17.857142857142858</v>
      </c>
      <c r="F688">
        <f t="shared" si="70"/>
        <v>0.82370647575658962</v>
      </c>
    </row>
    <row r="689" spans="1:6" x14ac:dyDescent="0.2">
      <c r="A689">
        <v>4.5</v>
      </c>
      <c r="B689">
        <v>6</v>
      </c>
      <c r="C689">
        <f t="shared" si="73"/>
        <v>37.5</v>
      </c>
      <c r="D689">
        <f t="shared" si="71"/>
        <v>42.710706150341686</v>
      </c>
      <c r="E689">
        <f t="shared" si="72"/>
        <v>21.428571428571427</v>
      </c>
      <c r="F689">
        <f t="shared" si="70"/>
        <v>1.0067523592580541</v>
      </c>
    </row>
    <row r="690" spans="1:6" x14ac:dyDescent="0.2">
      <c r="A690">
        <v>4.5</v>
      </c>
      <c r="B690">
        <v>7</v>
      </c>
      <c r="C690">
        <f t="shared" si="73"/>
        <v>42</v>
      </c>
      <c r="D690">
        <f t="shared" si="71"/>
        <v>47.835990888382689</v>
      </c>
      <c r="E690">
        <f t="shared" si="72"/>
        <v>25</v>
      </c>
      <c r="F690">
        <f t="shared" si="70"/>
        <v>1.1897982427595186</v>
      </c>
    </row>
    <row r="691" spans="1:6" x14ac:dyDescent="0.2">
      <c r="A691">
        <v>4</v>
      </c>
      <c r="B691">
        <v>8</v>
      </c>
      <c r="C691">
        <f t="shared" si="73"/>
        <v>46</v>
      </c>
      <c r="D691">
        <f t="shared" si="71"/>
        <v>52.391799544419136</v>
      </c>
      <c r="E691">
        <f t="shared" si="72"/>
        <v>28.571428571428569</v>
      </c>
      <c r="F691">
        <f t="shared" si="70"/>
        <v>1.2203058900097625</v>
      </c>
    </row>
    <row r="692" spans="1:6" x14ac:dyDescent="0.2">
      <c r="A692">
        <v>3.5</v>
      </c>
      <c r="B692">
        <v>9</v>
      </c>
      <c r="C692">
        <f t="shared" si="73"/>
        <v>49.5</v>
      </c>
      <c r="D692">
        <f t="shared" si="71"/>
        <v>56.378132118451028</v>
      </c>
      <c r="E692">
        <f t="shared" si="72"/>
        <v>32.142857142857146</v>
      </c>
      <c r="F692">
        <f t="shared" si="70"/>
        <v>1.2101366742596813</v>
      </c>
    </row>
    <row r="693" spans="1:6" x14ac:dyDescent="0.2">
      <c r="A693">
        <v>3.5</v>
      </c>
      <c r="B693">
        <v>10</v>
      </c>
      <c r="C693">
        <f t="shared" si="73"/>
        <v>53</v>
      </c>
      <c r="D693">
        <f t="shared" si="71"/>
        <v>60.364464692482919</v>
      </c>
      <c r="E693">
        <f t="shared" si="72"/>
        <v>35.714285714285715</v>
      </c>
      <c r="F693">
        <f t="shared" si="70"/>
        <v>1.3525056947608203</v>
      </c>
    </row>
    <row r="694" spans="1:6" x14ac:dyDescent="0.2">
      <c r="A694">
        <v>3.5</v>
      </c>
      <c r="B694">
        <v>11</v>
      </c>
      <c r="C694">
        <f t="shared" si="73"/>
        <v>56.5</v>
      </c>
      <c r="D694">
        <f t="shared" si="71"/>
        <v>64.350797266514803</v>
      </c>
      <c r="E694">
        <f t="shared" si="72"/>
        <v>39.285714285714285</v>
      </c>
      <c r="F694">
        <f t="shared" si="70"/>
        <v>1.4948747152619566</v>
      </c>
    </row>
    <row r="695" spans="1:6" x14ac:dyDescent="0.2">
      <c r="A695">
        <v>3</v>
      </c>
      <c r="B695">
        <v>12</v>
      </c>
      <c r="C695">
        <f t="shared" si="73"/>
        <v>59.5</v>
      </c>
      <c r="D695">
        <f t="shared" si="71"/>
        <v>67.767653758542139</v>
      </c>
      <c r="E695">
        <f t="shared" si="72"/>
        <v>42.857142857142854</v>
      </c>
      <c r="F695">
        <f t="shared" si="70"/>
        <v>1.4033517735112269</v>
      </c>
    </row>
    <row r="696" spans="1:6" x14ac:dyDescent="0.2">
      <c r="A696">
        <v>3</v>
      </c>
      <c r="B696">
        <v>13</v>
      </c>
      <c r="C696">
        <f t="shared" si="73"/>
        <v>62.5</v>
      </c>
      <c r="D696">
        <f t="shared" si="71"/>
        <v>71.184510250569474</v>
      </c>
      <c r="E696">
        <f t="shared" si="72"/>
        <v>46.428571428571431</v>
      </c>
      <c r="F696">
        <f t="shared" si="70"/>
        <v>1.5253823625122032</v>
      </c>
    </row>
    <row r="697" spans="1:6" x14ac:dyDescent="0.2">
      <c r="A697">
        <v>3</v>
      </c>
      <c r="B697">
        <v>14</v>
      </c>
      <c r="C697">
        <f t="shared" si="73"/>
        <v>65.5</v>
      </c>
      <c r="D697">
        <f t="shared" si="71"/>
        <v>74.601366742596809</v>
      </c>
      <c r="E697">
        <f t="shared" si="72"/>
        <v>50</v>
      </c>
      <c r="F697">
        <f t="shared" si="70"/>
        <v>1.6474129515131795</v>
      </c>
    </row>
    <row r="698" spans="1:6" x14ac:dyDescent="0.2">
      <c r="A698">
        <v>3</v>
      </c>
      <c r="B698">
        <v>15</v>
      </c>
      <c r="C698">
        <f t="shared" si="73"/>
        <v>68.5</v>
      </c>
      <c r="D698">
        <f t="shared" si="71"/>
        <v>78.018223234624145</v>
      </c>
      <c r="E698">
        <f t="shared" si="72"/>
        <v>53.571428571428569</v>
      </c>
      <c r="F698">
        <f t="shared" si="70"/>
        <v>1.769443540514156</v>
      </c>
    </row>
    <row r="699" spans="1:6" x14ac:dyDescent="0.2">
      <c r="A699">
        <v>2.5</v>
      </c>
      <c r="B699">
        <v>16</v>
      </c>
      <c r="C699">
        <f t="shared" si="73"/>
        <v>71</v>
      </c>
      <c r="D699">
        <f t="shared" si="71"/>
        <v>80.865603644646939</v>
      </c>
      <c r="E699">
        <f t="shared" si="72"/>
        <v>57.142857142857139</v>
      </c>
      <c r="F699">
        <f t="shared" si="70"/>
        <v>1.5762284412626177</v>
      </c>
    </row>
    <row r="700" spans="1:6" x14ac:dyDescent="0.2">
      <c r="A700">
        <v>2.5</v>
      </c>
      <c r="B700">
        <v>17</v>
      </c>
      <c r="C700">
        <f t="shared" si="73"/>
        <v>73.5</v>
      </c>
      <c r="D700">
        <f t="shared" si="71"/>
        <v>83.712984054669704</v>
      </c>
      <c r="E700">
        <f t="shared" si="72"/>
        <v>60.714285714285708</v>
      </c>
      <c r="F700">
        <f t="shared" si="70"/>
        <v>1.6779205987634151</v>
      </c>
    </row>
    <row r="701" spans="1:6" x14ac:dyDescent="0.2">
      <c r="A701">
        <v>2</v>
      </c>
      <c r="B701">
        <v>18</v>
      </c>
      <c r="C701">
        <f t="shared" si="73"/>
        <v>75.5</v>
      </c>
      <c r="D701">
        <f t="shared" si="71"/>
        <v>85.990888382687928</v>
      </c>
      <c r="E701">
        <f t="shared" si="72"/>
        <v>64.285714285714292</v>
      </c>
      <c r="F701">
        <f t="shared" si="70"/>
        <v>1.4236902050113898</v>
      </c>
    </row>
    <row r="702" spans="1:6" x14ac:dyDescent="0.2">
      <c r="A702">
        <v>2</v>
      </c>
      <c r="B702">
        <v>19</v>
      </c>
      <c r="C702">
        <f t="shared" si="73"/>
        <v>77.5</v>
      </c>
      <c r="D702">
        <f t="shared" si="71"/>
        <v>88.268792710706151</v>
      </c>
      <c r="E702">
        <f t="shared" si="72"/>
        <v>67.857142857142861</v>
      </c>
      <c r="F702">
        <f t="shared" si="70"/>
        <v>1.5050439310120409</v>
      </c>
    </row>
    <row r="703" spans="1:6" x14ac:dyDescent="0.2">
      <c r="A703">
        <v>2</v>
      </c>
      <c r="B703">
        <v>20</v>
      </c>
      <c r="C703">
        <f t="shared" si="73"/>
        <v>79.5</v>
      </c>
      <c r="D703">
        <f t="shared" si="71"/>
        <v>90.546697038724375</v>
      </c>
      <c r="E703">
        <f t="shared" si="72"/>
        <v>71.428571428571431</v>
      </c>
      <c r="F703">
        <f t="shared" si="70"/>
        <v>1.5863976570126914</v>
      </c>
    </row>
    <row r="704" spans="1:6" x14ac:dyDescent="0.2">
      <c r="A704">
        <v>2</v>
      </c>
      <c r="B704">
        <v>21</v>
      </c>
      <c r="C704">
        <f t="shared" si="73"/>
        <v>81.5</v>
      </c>
      <c r="D704">
        <f t="shared" si="71"/>
        <v>92.824601366742598</v>
      </c>
      <c r="E704">
        <f t="shared" si="72"/>
        <v>75</v>
      </c>
      <c r="F704">
        <f t="shared" si="70"/>
        <v>1.6677513830133424</v>
      </c>
    </row>
    <row r="705" spans="1:6" x14ac:dyDescent="0.2">
      <c r="A705">
        <v>1.5</v>
      </c>
      <c r="B705">
        <v>22</v>
      </c>
      <c r="C705">
        <f t="shared" si="73"/>
        <v>83</v>
      </c>
      <c r="D705">
        <f t="shared" si="71"/>
        <v>94.533029612756266</v>
      </c>
      <c r="E705">
        <f t="shared" si="72"/>
        <v>78.571428571428569</v>
      </c>
      <c r="F705">
        <f t="shared" si="70"/>
        <v>1.3118288317604947</v>
      </c>
    </row>
    <row r="706" spans="1:6" x14ac:dyDescent="0.2">
      <c r="A706">
        <v>1.5</v>
      </c>
      <c r="B706">
        <v>23</v>
      </c>
      <c r="C706">
        <f t="shared" si="73"/>
        <v>84.5</v>
      </c>
      <c r="D706">
        <f t="shared" si="71"/>
        <v>96.241457858769934</v>
      </c>
      <c r="E706">
        <f t="shared" si="72"/>
        <v>82.142857142857139</v>
      </c>
      <c r="F706">
        <f t="shared" si="70"/>
        <v>1.3728441262609832</v>
      </c>
    </row>
    <row r="707" spans="1:6" x14ac:dyDescent="0.2">
      <c r="A707">
        <v>1.2</v>
      </c>
      <c r="B707">
        <v>24</v>
      </c>
      <c r="C707">
        <f t="shared" si="73"/>
        <v>85.7</v>
      </c>
      <c r="D707">
        <f t="shared" si="71"/>
        <v>97.608200455580871</v>
      </c>
      <c r="E707">
        <f t="shared" si="72"/>
        <v>85.714285714285708</v>
      </c>
      <c r="F707">
        <f t="shared" si="70"/>
        <v>1.1470875366091791</v>
      </c>
    </row>
    <row r="708" spans="1:6" x14ac:dyDescent="0.2">
      <c r="A708">
        <v>1</v>
      </c>
      <c r="B708">
        <v>25</v>
      </c>
      <c r="C708">
        <f t="shared" si="73"/>
        <v>86.7</v>
      </c>
      <c r="D708">
        <f t="shared" si="71"/>
        <v>98.747152619589983</v>
      </c>
      <c r="E708">
        <f t="shared" si="72"/>
        <v>89.285714285714292</v>
      </c>
      <c r="F708">
        <f t="shared" si="70"/>
        <v>0.99658314350797284</v>
      </c>
    </row>
    <row r="709" spans="1:6" x14ac:dyDescent="0.2">
      <c r="A709">
        <v>0.75</v>
      </c>
      <c r="B709">
        <v>26</v>
      </c>
      <c r="C709">
        <f t="shared" si="73"/>
        <v>87.45</v>
      </c>
      <c r="D709">
        <f t="shared" si="71"/>
        <v>99.601366742596824</v>
      </c>
      <c r="E709">
        <f t="shared" si="72"/>
        <v>92.857142857142861</v>
      </c>
      <c r="F709">
        <f t="shared" si="70"/>
        <v>0.7779450048812302</v>
      </c>
    </row>
    <row r="710" spans="1:6" x14ac:dyDescent="0.2">
      <c r="A710">
        <v>0.25</v>
      </c>
      <c r="B710">
        <v>27</v>
      </c>
      <c r="C710">
        <f t="shared" si="73"/>
        <v>87.7</v>
      </c>
      <c r="D710">
        <f t="shared" si="71"/>
        <v>99.886104783599095</v>
      </c>
      <c r="E710">
        <f t="shared" si="72"/>
        <v>96.428571428571431</v>
      </c>
      <c r="F710">
        <f t="shared" si="70"/>
        <v>0.26948421737714923</v>
      </c>
    </row>
    <row r="711" spans="1:6" x14ac:dyDescent="0.2">
      <c r="A711">
        <v>0.1</v>
      </c>
      <c r="B711">
        <v>28</v>
      </c>
      <c r="C711">
        <f t="shared" si="73"/>
        <v>87.8</v>
      </c>
      <c r="D711">
        <f t="shared" si="71"/>
        <v>100</v>
      </c>
      <c r="E711">
        <f t="shared" si="72"/>
        <v>100</v>
      </c>
      <c r="F711">
        <f t="shared" si="70"/>
        <v>0.11186137325088934</v>
      </c>
    </row>
    <row r="712" spans="1:6" x14ac:dyDescent="0.2">
      <c r="E712" t="s">
        <v>63</v>
      </c>
      <c r="F712">
        <f>SUM(F684:F711)</f>
        <v>32.193703221607542</v>
      </c>
    </row>
    <row r="713" spans="1:6" x14ac:dyDescent="0.2">
      <c r="E713" t="s">
        <v>56</v>
      </c>
      <c r="F713">
        <f>50-F712</f>
        <v>17.806296778392458</v>
      </c>
    </row>
    <row r="714" spans="1:6" x14ac:dyDescent="0.2">
      <c r="E714" t="s">
        <v>49</v>
      </c>
      <c r="F714">
        <f>F713/50</f>
        <v>0.35612593556784916</v>
      </c>
    </row>
    <row r="716" spans="1:6" x14ac:dyDescent="0.2">
      <c r="A716" t="s">
        <v>84</v>
      </c>
    </row>
    <row r="717" spans="1:6" x14ac:dyDescent="0.2">
      <c r="A717" t="s">
        <v>48</v>
      </c>
      <c r="B717" t="s">
        <v>46</v>
      </c>
      <c r="C717" t="s">
        <v>47</v>
      </c>
      <c r="D717" t="s">
        <v>51</v>
      </c>
      <c r="E717" t="s">
        <v>50</v>
      </c>
      <c r="F717" t="s">
        <v>100</v>
      </c>
    </row>
    <row r="718" spans="1:6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2">
      <c r="A719">
        <v>12</v>
      </c>
      <c r="B719">
        <v>1</v>
      </c>
      <c r="C719">
        <f>A719</f>
        <v>12</v>
      </c>
      <c r="D719">
        <f>C719/C$756*100</f>
        <v>10.652463382157123</v>
      </c>
      <c r="E719">
        <f>B719/B$756*100</f>
        <v>2.6315789473684208</v>
      </c>
      <c r="F719">
        <f t="shared" ref="F719:F756" si="74">(E719+E718)/2*(D719-D718)/100</f>
        <v>0.14016399187048845</v>
      </c>
    </row>
    <row r="720" spans="1:6" x14ac:dyDescent="0.2">
      <c r="A720">
        <v>8</v>
      </c>
      <c r="B720">
        <v>2</v>
      </c>
      <c r="C720">
        <f>C719+A720</f>
        <v>20</v>
      </c>
      <c r="D720">
        <f t="shared" ref="D720:D756" si="75">C720/C$756*100</f>
        <v>17.754105636928539</v>
      </c>
      <c r="E720">
        <f t="shared" ref="E720:E756" si="76">B720/B$756*100</f>
        <v>5.2631578947368416</v>
      </c>
      <c r="F720">
        <f t="shared" si="74"/>
        <v>0.28032798374097689</v>
      </c>
    </row>
    <row r="721" spans="1:6" x14ac:dyDescent="0.2">
      <c r="A721">
        <v>7.5</v>
      </c>
      <c r="B721">
        <v>3</v>
      </c>
      <c r="C721">
        <f t="shared" ref="C721:C756" si="77">C720+A721</f>
        <v>27.5</v>
      </c>
      <c r="D721">
        <f t="shared" si="75"/>
        <v>24.411895250776741</v>
      </c>
      <c r="E721">
        <f t="shared" si="76"/>
        <v>7.8947368421052628</v>
      </c>
      <c r="F721">
        <f t="shared" si="74"/>
        <v>0.43801247459527637</v>
      </c>
    </row>
    <row r="722" spans="1:6" x14ac:dyDescent="0.2">
      <c r="A722">
        <v>7</v>
      </c>
      <c r="B722">
        <v>4</v>
      </c>
      <c r="C722">
        <f t="shared" si="77"/>
        <v>34.5</v>
      </c>
      <c r="D722">
        <f t="shared" si="75"/>
        <v>30.625832223701732</v>
      </c>
      <c r="E722">
        <f t="shared" si="76"/>
        <v>10.526315789473683</v>
      </c>
      <c r="F722">
        <f t="shared" si="74"/>
        <v>0.57233630013782799</v>
      </c>
    </row>
    <row r="723" spans="1:6" x14ac:dyDescent="0.2">
      <c r="A723">
        <v>6</v>
      </c>
      <c r="B723">
        <v>5</v>
      </c>
      <c r="C723">
        <f t="shared" si="77"/>
        <v>40.5</v>
      </c>
      <c r="D723">
        <f t="shared" si="75"/>
        <v>35.95206391478029</v>
      </c>
      <c r="E723">
        <f t="shared" si="76"/>
        <v>13.157894736842104</v>
      </c>
      <c r="F723">
        <f t="shared" si="74"/>
        <v>0.63073796341719757</v>
      </c>
    </row>
    <row r="724" spans="1:6" x14ac:dyDescent="0.2">
      <c r="A724">
        <v>6</v>
      </c>
      <c r="B724">
        <v>6</v>
      </c>
      <c r="C724">
        <f t="shared" si="77"/>
        <v>46.5</v>
      </c>
      <c r="D724">
        <f t="shared" si="75"/>
        <v>41.278295605858851</v>
      </c>
      <c r="E724">
        <f t="shared" si="76"/>
        <v>15.789473684210526</v>
      </c>
      <c r="F724">
        <f t="shared" si="74"/>
        <v>0.77090195528768646</v>
      </c>
    </row>
    <row r="725" spans="1:6" x14ac:dyDescent="0.2">
      <c r="A725">
        <v>5</v>
      </c>
      <c r="B725">
        <v>7</v>
      </c>
      <c r="C725">
        <f t="shared" si="77"/>
        <v>51.5</v>
      </c>
      <c r="D725">
        <f t="shared" si="75"/>
        <v>45.716822015090983</v>
      </c>
      <c r="E725">
        <f t="shared" si="76"/>
        <v>18.421052631578945</v>
      </c>
      <c r="F725">
        <f t="shared" si="74"/>
        <v>0.75922162263181203</v>
      </c>
    </row>
    <row r="726" spans="1:6" x14ac:dyDescent="0.2">
      <c r="A726">
        <v>5</v>
      </c>
      <c r="B726">
        <v>8</v>
      </c>
      <c r="C726">
        <f t="shared" si="77"/>
        <v>56.5</v>
      </c>
      <c r="D726">
        <f t="shared" si="75"/>
        <v>50.155348424323122</v>
      </c>
      <c r="E726">
        <f t="shared" si="76"/>
        <v>21.052631578947366</v>
      </c>
      <c r="F726">
        <f t="shared" si="74"/>
        <v>0.87602494919055374</v>
      </c>
    </row>
    <row r="727" spans="1:6" x14ac:dyDescent="0.2">
      <c r="A727">
        <v>4.5</v>
      </c>
      <c r="B727">
        <v>9</v>
      </c>
      <c r="C727">
        <f t="shared" si="77"/>
        <v>61</v>
      </c>
      <c r="D727">
        <f t="shared" si="75"/>
        <v>54.150022192632044</v>
      </c>
      <c r="E727">
        <f t="shared" si="76"/>
        <v>23.684210526315788</v>
      </c>
      <c r="F727">
        <f t="shared" si="74"/>
        <v>0.89354544817436377</v>
      </c>
    </row>
    <row r="728" spans="1:6" x14ac:dyDescent="0.2">
      <c r="A728">
        <v>4</v>
      </c>
      <c r="B728">
        <v>10</v>
      </c>
      <c r="C728">
        <f t="shared" si="77"/>
        <v>65</v>
      </c>
      <c r="D728">
        <f t="shared" si="75"/>
        <v>57.700843320017746</v>
      </c>
      <c r="E728">
        <f t="shared" si="76"/>
        <v>26.315789473684209</v>
      </c>
      <c r="F728">
        <f t="shared" si="74"/>
        <v>0.88770528184642572</v>
      </c>
    </row>
    <row r="729" spans="1:6" x14ac:dyDescent="0.2">
      <c r="A729">
        <v>3.5</v>
      </c>
      <c r="B729">
        <v>11</v>
      </c>
      <c r="C729">
        <f t="shared" si="77"/>
        <v>68.5</v>
      </c>
      <c r="D729">
        <f t="shared" si="75"/>
        <v>60.807811806480252</v>
      </c>
      <c r="E729">
        <f t="shared" si="76"/>
        <v>28.947368421052634</v>
      </c>
      <c r="F729">
        <f t="shared" si="74"/>
        <v>0.85850445020674515</v>
      </c>
    </row>
    <row r="730" spans="1:6" x14ac:dyDescent="0.2">
      <c r="A730">
        <v>3.5</v>
      </c>
      <c r="B730">
        <v>12</v>
      </c>
      <c r="C730">
        <f t="shared" si="77"/>
        <v>72</v>
      </c>
      <c r="D730">
        <f t="shared" si="75"/>
        <v>63.914780292942744</v>
      </c>
      <c r="E730">
        <f t="shared" si="76"/>
        <v>31.578947368421051</v>
      </c>
      <c r="F730">
        <f t="shared" si="74"/>
        <v>0.94026677879785936</v>
      </c>
    </row>
    <row r="731" spans="1:6" x14ac:dyDescent="0.2">
      <c r="A731">
        <v>3.5</v>
      </c>
      <c r="B731">
        <v>13</v>
      </c>
      <c r="C731">
        <f t="shared" si="77"/>
        <v>75.5</v>
      </c>
      <c r="D731">
        <f t="shared" si="75"/>
        <v>67.021748779405229</v>
      </c>
      <c r="E731">
        <f t="shared" si="76"/>
        <v>34.210526315789473</v>
      </c>
      <c r="F731">
        <f t="shared" si="74"/>
        <v>1.0220291073889751</v>
      </c>
    </row>
    <row r="732" spans="1:6" x14ac:dyDescent="0.2">
      <c r="A732">
        <v>3.5</v>
      </c>
      <c r="B732">
        <v>14</v>
      </c>
      <c r="C732">
        <f t="shared" si="77"/>
        <v>79</v>
      </c>
      <c r="D732">
        <f t="shared" si="75"/>
        <v>70.128717265867721</v>
      </c>
      <c r="E732">
        <f t="shared" si="76"/>
        <v>36.84210526315789</v>
      </c>
      <c r="F732">
        <f t="shared" si="74"/>
        <v>1.1037914359800958</v>
      </c>
    </row>
    <row r="733" spans="1:6" x14ac:dyDescent="0.2">
      <c r="A733">
        <v>3</v>
      </c>
      <c r="B733">
        <v>15</v>
      </c>
      <c r="C733">
        <f t="shared" si="77"/>
        <v>82</v>
      </c>
      <c r="D733">
        <f t="shared" si="75"/>
        <v>72.791833111407016</v>
      </c>
      <c r="E733">
        <f t="shared" si="76"/>
        <v>39.473684210526315</v>
      </c>
      <c r="F733">
        <f t="shared" si="74"/>
        <v>1.0161889410610465</v>
      </c>
    </row>
    <row r="734" spans="1:6" x14ac:dyDescent="0.2">
      <c r="A734">
        <v>3</v>
      </c>
      <c r="B734">
        <v>16</v>
      </c>
      <c r="C734">
        <f t="shared" si="77"/>
        <v>85</v>
      </c>
      <c r="D734">
        <f t="shared" si="75"/>
        <v>75.454948956946282</v>
      </c>
      <c r="E734">
        <f t="shared" si="76"/>
        <v>42.105263157894733</v>
      </c>
      <c r="F734">
        <f t="shared" si="74"/>
        <v>1.0862709369962795</v>
      </c>
    </row>
    <row r="735" spans="1:6" x14ac:dyDescent="0.2">
      <c r="A735">
        <v>3</v>
      </c>
      <c r="B735">
        <v>17</v>
      </c>
      <c r="C735">
        <f t="shared" si="77"/>
        <v>88</v>
      </c>
      <c r="D735">
        <f t="shared" si="75"/>
        <v>78.118064802485577</v>
      </c>
      <c r="E735">
        <f t="shared" si="76"/>
        <v>44.736842105263158</v>
      </c>
      <c r="F735">
        <f t="shared" si="74"/>
        <v>1.1563529329315358</v>
      </c>
    </row>
    <row r="736" spans="1:6" x14ac:dyDescent="0.2">
      <c r="A736">
        <v>2.5</v>
      </c>
      <c r="B736">
        <v>18</v>
      </c>
      <c r="C736">
        <f t="shared" si="77"/>
        <v>90.5</v>
      </c>
      <c r="D736">
        <f t="shared" si="75"/>
        <v>80.337328007101632</v>
      </c>
      <c r="E736">
        <f t="shared" si="76"/>
        <v>47.368421052631575</v>
      </c>
      <c r="F736">
        <f t="shared" si="74"/>
        <v>1.0220291073889729</v>
      </c>
    </row>
    <row r="737" spans="1:6" x14ac:dyDescent="0.2">
      <c r="A737">
        <v>2.5</v>
      </c>
      <c r="B737">
        <v>19</v>
      </c>
      <c r="C737">
        <f t="shared" si="77"/>
        <v>93</v>
      </c>
      <c r="D737">
        <f t="shared" si="75"/>
        <v>82.556591211717702</v>
      </c>
      <c r="E737">
        <f t="shared" si="76"/>
        <v>50</v>
      </c>
      <c r="F737">
        <f t="shared" si="74"/>
        <v>1.0804307706683496</v>
      </c>
    </row>
    <row r="738" spans="1:6" x14ac:dyDescent="0.2">
      <c r="A738">
        <v>2.5</v>
      </c>
      <c r="B738">
        <v>20</v>
      </c>
      <c r="C738">
        <f t="shared" si="77"/>
        <v>95.5</v>
      </c>
      <c r="D738">
        <f t="shared" si="75"/>
        <v>84.775854416333772</v>
      </c>
      <c r="E738">
        <f t="shared" si="76"/>
        <v>52.631578947368418</v>
      </c>
      <c r="F738">
        <f t="shared" si="74"/>
        <v>1.1388324339477198</v>
      </c>
    </row>
    <row r="739" spans="1:6" x14ac:dyDescent="0.2">
      <c r="A739">
        <v>2.5</v>
      </c>
      <c r="B739">
        <v>21</v>
      </c>
      <c r="C739">
        <f t="shared" si="77"/>
        <v>98</v>
      </c>
      <c r="D739">
        <f t="shared" si="75"/>
        <v>86.995117620949841</v>
      </c>
      <c r="E739">
        <f t="shared" si="76"/>
        <v>55.26315789473685</v>
      </c>
      <c r="F739">
        <f t="shared" si="74"/>
        <v>1.1972340972270903</v>
      </c>
    </row>
    <row r="740" spans="1:6" x14ac:dyDescent="0.2">
      <c r="A740">
        <v>2</v>
      </c>
      <c r="B740">
        <v>22</v>
      </c>
      <c r="C740">
        <f t="shared" si="77"/>
        <v>100</v>
      </c>
      <c r="D740">
        <f t="shared" si="75"/>
        <v>88.7705281846427</v>
      </c>
      <c r="E740">
        <f t="shared" si="76"/>
        <v>57.894736842105267</v>
      </c>
      <c r="F740">
        <f t="shared" si="74"/>
        <v>1.00450860840517</v>
      </c>
    </row>
    <row r="741" spans="1:6" x14ac:dyDescent="0.2">
      <c r="A741">
        <v>1.5</v>
      </c>
      <c r="B741">
        <v>23</v>
      </c>
      <c r="C741">
        <f t="shared" si="77"/>
        <v>101.5</v>
      </c>
      <c r="D741">
        <f t="shared" si="75"/>
        <v>90.102086107412333</v>
      </c>
      <c r="E741">
        <f t="shared" si="76"/>
        <v>60.526315789473685</v>
      </c>
      <c r="F741">
        <f t="shared" si="74"/>
        <v>0.78842245427149349</v>
      </c>
    </row>
    <row r="742" spans="1:6" x14ac:dyDescent="0.2">
      <c r="A742">
        <v>1</v>
      </c>
      <c r="B742">
        <v>24</v>
      </c>
      <c r="C742">
        <f t="shared" si="77"/>
        <v>102.5</v>
      </c>
      <c r="D742">
        <f t="shared" si="75"/>
        <v>90.989791389258755</v>
      </c>
      <c r="E742">
        <f t="shared" si="76"/>
        <v>63.157894736842103</v>
      </c>
      <c r="F742">
        <f t="shared" si="74"/>
        <v>0.54897563482607681</v>
      </c>
    </row>
    <row r="743" spans="1:6" x14ac:dyDescent="0.2">
      <c r="A743">
        <v>1</v>
      </c>
      <c r="B743">
        <v>25</v>
      </c>
      <c r="C743">
        <f t="shared" si="77"/>
        <v>103.5</v>
      </c>
      <c r="D743">
        <f t="shared" si="75"/>
        <v>91.877496671105192</v>
      </c>
      <c r="E743">
        <f t="shared" si="76"/>
        <v>65.789473684210535</v>
      </c>
      <c r="F743">
        <f t="shared" si="74"/>
        <v>0.57233630013783399</v>
      </c>
    </row>
    <row r="744" spans="1:6" x14ac:dyDescent="0.2">
      <c r="A744">
        <v>1</v>
      </c>
      <c r="B744">
        <v>26</v>
      </c>
      <c r="C744">
        <f t="shared" si="77"/>
        <v>104.5</v>
      </c>
      <c r="D744">
        <f t="shared" si="75"/>
        <v>92.765201952951614</v>
      </c>
      <c r="E744">
        <f t="shared" si="76"/>
        <v>68.421052631578945</v>
      </c>
      <c r="F744">
        <f t="shared" si="74"/>
        <v>0.59569696544957285</v>
      </c>
    </row>
    <row r="745" spans="1:6" x14ac:dyDescent="0.2">
      <c r="A745">
        <v>1</v>
      </c>
      <c r="B745">
        <v>27</v>
      </c>
      <c r="C745">
        <f t="shared" si="77"/>
        <v>105.5</v>
      </c>
      <c r="D745">
        <f t="shared" si="75"/>
        <v>93.65290723479805</v>
      </c>
      <c r="E745">
        <f t="shared" si="76"/>
        <v>71.05263157894737</v>
      </c>
      <c r="F745">
        <f t="shared" si="74"/>
        <v>0.61905763076133058</v>
      </c>
    </row>
    <row r="746" spans="1:6" x14ac:dyDescent="0.2">
      <c r="A746">
        <v>1</v>
      </c>
      <c r="B746">
        <v>28</v>
      </c>
      <c r="C746">
        <f t="shared" si="77"/>
        <v>106.5</v>
      </c>
      <c r="D746">
        <f t="shared" si="75"/>
        <v>94.540612516644472</v>
      </c>
      <c r="E746">
        <f t="shared" si="76"/>
        <v>73.68421052631578</v>
      </c>
      <c r="F746">
        <f t="shared" si="74"/>
        <v>0.64241829607306866</v>
      </c>
    </row>
    <row r="747" spans="1:6" x14ac:dyDescent="0.2">
      <c r="A747">
        <v>1</v>
      </c>
      <c r="B747">
        <v>29</v>
      </c>
      <c r="C747">
        <f t="shared" si="77"/>
        <v>107.5</v>
      </c>
      <c r="D747">
        <f t="shared" si="75"/>
        <v>95.428317798490895</v>
      </c>
      <c r="E747">
        <f t="shared" si="76"/>
        <v>76.31578947368422</v>
      </c>
      <c r="F747">
        <f t="shared" si="74"/>
        <v>0.66577896138481663</v>
      </c>
    </row>
    <row r="748" spans="1:6" x14ac:dyDescent="0.2">
      <c r="A748">
        <v>1</v>
      </c>
      <c r="B748">
        <v>30</v>
      </c>
      <c r="C748">
        <f t="shared" si="77"/>
        <v>108.5</v>
      </c>
      <c r="D748">
        <f t="shared" si="75"/>
        <v>96.316023080337317</v>
      </c>
      <c r="E748">
        <f t="shared" si="76"/>
        <v>78.94736842105263</v>
      </c>
      <c r="F748">
        <f t="shared" si="74"/>
        <v>0.68913962669656459</v>
      </c>
    </row>
    <row r="749" spans="1:6" x14ac:dyDescent="0.2">
      <c r="A749">
        <v>0.75</v>
      </c>
      <c r="B749">
        <v>31</v>
      </c>
      <c r="C749">
        <f t="shared" si="77"/>
        <v>109.25</v>
      </c>
      <c r="D749">
        <f t="shared" si="75"/>
        <v>96.981802041722148</v>
      </c>
      <c r="E749">
        <f t="shared" si="76"/>
        <v>81.578947368421055</v>
      </c>
      <c r="F749">
        <f t="shared" si="74"/>
        <v>0.53437521900624585</v>
      </c>
    </row>
    <row r="750" spans="1:6" x14ac:dyDescent="0.2">
      <c r="A750">
        <v>0.75</v>
      </c>
      <c r="B750">
        <v>32</v>
      </c>
      <c r="C750">
        <f t="shared" si="77"/>
        <v>110</v>
      </c>
      <c r="D750">
        <f t="shared" si="75"/>
        <v>97.647581003106964</v>
      </c>
      <c r="E750">
        <f t="shared" si="76"/>
        <v>84.210526315789465</v>
      </c>
      <c r="F750">
        <f t="shared" si="74"/>
        <v>0.55189571799004533</v>
      </c>
    </row>
    <row r="751" spans="1:6" x14ac:dyDescent="0.2">
      <c r="A751">
        <v>0.7</v>
      </c>
      <c r="B751">
        <v>33</v>
      </c>
      <c r="C751">
        <f t="shared" si="77"/>
        <v>110.7</v>
      </c>
      <c r="D751">
        <f t="shared" si="75"/>
        <v>98.268974700399468</v>
      </c>
      <c r="E751">
        <f t="shared" si="76"/>
        <v>86.842105263157904</v>
      </c>
      <c r="F751">
        <f t="shared" si="74"/>
        <v>0.53145513584227322</v>
      </c>
    </row>
    <row r="752" spans="1:6" x14ac:dyDescent="0.2">
      <c r="A752">
        <v>0.5</v>
      </c>
      <c r="B752">
        <v>34</v>
      </c>
      <c r="C752">
        <f t="shared" si="77"/>
        <v>111.2</v>
      </c>
      <c r="D752">
        <f t="shared" si="75"/>
        <v>98.712827341322679</v>
      </c>
      <c r="E752">
        <f t="shared" si="76"/>
        <v>89.473684210526315</v>
      </c>
      <c r="F752">
        <f t="shared" si="74"/>
        <v>0.39129114397177822</v>
      </c>
    </row>
    <row r="753" spans="1:6" x14ac:dyDescent="0.2">
      <c r="A753">
        <v>0.5</v>
      </c>
      <c r="B753">
        <v>35</v>
      </c>
      <c r="C753">
        <f t="shared" si="77"/>
        <v>111.7</v>
      </c>
      <c r="D753">
        <f t="shared" si="75"/>
        <v>99.15667998224589</v>
      </c>
      <c r="E753">
        <f t="shared" si="76"/>
        <v>92.10526315789474</v>
      </c>
      <c r="F753">
        <f t="shared" si="74"/>
        <v>0.40297147662765215</v>
      </c>
    </row>
    <row r="754" spans="1:6" x14ac:dyDescent="0.2">
      <c r="A754">
        <v>0.5</v>
      </c>
      <c r="B754">
        <v>36</v>
      </c>
      <c r="C754">
        <f t="shared" si="77"/>
        <v>112.2</v>
      </c>
      <c r="D754">
        <f t="shared" si="75"/>
        <v>99.600532623169101</v>
      </c>
      <c r="E754">
        <f t="shared" si="76"/>
        <v>94.73684210526315</v>
      </c>
      <c r="F754">
        <f t="shared" si="74"/>
        <v>0.41465180928352618</v>
      </c>
    </row>
    <row r="755" spans="1:6" x14ac:dyDescent="0.2">
      <c r="A755">
        <v>0.25</v>
      </c>
      <c r="B755">
        <v>37</v>
      </c>
      <c r="C755">
        <f t="shared" si="77"/>
        <v>112.45</v>
      </c>
      <c r="D755">
        <f t="shared" si="75"/>
        <v>99.822458943630707</v>
      </c>
      <c r="E755">
        <f t="shared" si="76"/>
        <v>97.368421052631575</v>
      </c>
      <c r="F755">
        <f t="shared" si="74"/>
        <v>0.21316607096970006</v>
      </c>
    </row>
    <row r="756" spans="1:6" x14ac:dyDescent="0.2">
      <c r="A756">
        <v>0.2</v>
      </c>
      <c r="B756">
        <v>38</v>
      </c>
      <c r="C756">
        <f t="shared" si="77"/>
        <v>112.65</v>
      </c>
      <c r="D756">
        <f t="shared" si="75"/>
        <v>100</v>
      </c>
      <c r="E756">
        <f t="shared" si="76"/>
        <v>100</v>
      </c>
      <c r="F756">
        <f t="shared" si="74"/>
        <v>0.17520498983811805</v>
      </c>
    </row>
    <row r="757" spans="1:6" x14ac:dyDescent="0.2">
      <c r="E757" t="s">
        <v>63</v>
      </c>
      <c r="F757">
        <f>SUM(F719:F756)</f>
        <v>27.212255005022548</v>
      </c>
    </row>
    <row r="758" spans="1:6" x14ac:dyDescent="0.2">
      <c r="E758" t="s">
        <v>56</v>
      </c>
      <c r="F758">
        <f>50-F757</f>
        <v>22.787744994977452</v>
      </c>
    </row>
    <row r="759" spans="1:6" x14ac:dyDescent="0.2">
      <c r="E759" t="s">
        <v>49</v>
      </c>
      <c r="F759">
        <f>F758/50</f>
        <v>0.45575489989954904</v>
      </c>
    </row>
    <row r="761" spans="1:6" x14ac:dyDescent="0.2">
      <c r="A761" t="s">
        <v>85</v>
      </c>
    </row>
    <row r="762" spans="1:6" x14ac:dyDescent="0.2">
      <c r="A762" t="s">
        <v>48</v>
      </c>
      <c r="B762" t="s">
        <v>46</v>
      </c>
      <c r="C762" t="s">
        <v>47</v>
      </c>
      <c r="D762" t="s">
        <v>51</v>
      </c>
      <c r="E762" t="s">
        <v>50</v>
      </c>
      <c r="F762" t="s">
        <v>100</v>
      </c>
    </row>
    <row r="763" spans="1:6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">
      <c r="A764">
        <v>11</v>
      </c>
      <c r="B764">
        <v>1</v>
      </c>
      <c r="C764">
        <f>A764</f>
        <v>11</v>
      </c>
      <c r="D764">
        <f>C764/C$802*100</f>
        <v>12.514220705346984</v>
      </c>
      <c r="E764">
        <f>B764/B$802*100</f>
        <v>2.5641025641025639</v>
      </c>
      <c r="F764">
        <f t="shared" ref="F764:F802" si="78">(E764+E763)/2*(D764-D763)/100</f>
        <v>0.16043872699162798</v>
      </c>
    </row>
    <row r="765" spans="1:6" x14ac:dyDescent="0.2">
      <c r="A765">
        <v>8</v>
      </c>
      <c r="B765">
        <v>2</v>
      </c>
      <c r="C765">
        <f>C764+A765</f>
        <v>19</v>
      </c>
      <c r="D765">
        <f t="shared" ref="D765:D802" si="79">C765/C$802*100</f>
        <v>21.615472127417519</v>
      </c>
      <c r="E765">
        <f t="shared" ref="E765:E802" si="80">B765/B$802*100</f>
        <v>5.1282051282051277</v>
      </c>
      <c r="F765">
        <f t="shared" si="78"/>
        <v>0.35004813161809745</v>
      </c>
    </row>
    <row r="766" spans="1:6" x14ac:dyDescent="0.2">
      <c r="A766">
        <v>7.5</v>
      </c>
      <c r="B766">
        <v>3</v>
      </c>
      <c r="C766">
        <f t="shared" ref="C766:C802" si="81">C765+A766</f>
        <v>26.5</v>
      </c>
      <c r="D766">
        <f t="shared" si="79"/>
        <v>30.147895335608645</v>
      </c>
      <c r="E766">
        <f t="shared" si="80"/>
        <v>7.6923076923076925</v>
      </c>
      <c r="F766">
        <f t="shared" si="78"/>
        <v>0.54695020565327734</v>
      </c>
    </row>
    <row r="767" spans="1:6" x14ac:dyDescent="0.2">
      <c r="A767">
        <v>4.5</v>
      </c>
      <c r="B767">
        <v>4</v>
      </c>
      <c r="C767">
        <f t="shared" si="81"/>
        <v>31</v>
      </c>
      <c r="D767">
        <f t="shared" si="79"/>
        <v>35.267349260523318</v>
      </c>
      <c r="E767">
        <f t="shared" si="80"/>
        <v>10.256410256410255</v>
      </c>
      <c r="F767">
        <f t="shared" si="78"/>
        <v>0.4594381727487527</v>
      </c>
    </row>
    <row r="768" spans="1:6" x14ac:dyDescent="0.2">
      <c r="A768">
        <v>4</v>
      </c>
      <c r="B768">
        <v>5</v>
      </c>
      <c r="C768">
        <f t="shared" si="81"/>
        <v>35</v>
      </c>
      <c r="D768">
        <f t="shared" si="79"/>
        <v>39.817974971558584</v>
      </c>
      <c r="E768">
        <f t="shared" si="80"/>
        <v>12.820512820512819</v>
      </c>
      <c r="F768">
        <f t="shared" si="78"/>
        <v>0.52507219742714606</v>
      </c>
    </row>
    <row r="769" spans="1:6" x14ac:dyDescent="0.2">
      <c r="A769">
        <v>4</v>
      </c>
      <c r="B769">
        <v>6</v>
      </c>
      <c r="C769">
        <f t="shared" si="81"/>
        <v>39</v>
      </c>
      <c r="D769">
        <f t="shared" si="79"/>
        <v>44.368600682593858</v>
      </c>
      <c r="E769">
        <f t="shared" si="80"/>
        <v>15.384615384615385</v>
      </c>
      <c r="F769">
        <f t="shared" si="78"/>
        <v>0.64175490796651291</v>
      </c>
    </row>
    <row r="770" spans="1:6" x14ac:dyDescent="0.2">
      <c r="A770">
        <v>3.5</v>
      </c>
      <c r="B770">
        <v>7</v>
      </c>
      <c r="C770">
        <f t="shared" si="81"/>
        <v>42.5</v>
      </c>
      <c r="D770">
        <f t="shared" si="79"/>
        <v>48.350398179749718</v>
      </c>
      <c r="E770">
        <f t="shared" si="80"/>
        <v>17.948717948717949</v>
      </c>
      <c r="F770">
        <f t="shared" si="78"/>
        <v>0.66363291619264331</v>
      </c>
    </row>
    <row r="771" spans="1:6" x14ac:dyDescent="0.2">
      <c r="A771">
        <v>3</v>
      </c>
      <c r="B771">
        <v>8</v>
      </c>
      <c r="C771">
        <f t="shared" si="81"/>
        <v>45.5</v>
      </c>
      <c r="D771">
        <f t="shared" si="79"/>
        <v>51.763367463026164</v>
      </c>
      <c r="E771">
        <f t="shared" si="80"/>
        <v>20.512820512820511</v>
      </c>
      <c r="F771">
        <f t="shared" si="78"/>
        <v>0.65634024678393188</v>
      </c>
    </row>
    <row r="772" spans="1:6" x14ac:dyDescent="0.2">
      <c r="A772">
        <v>3</v>
      </c>
      <c r="B772">
        <v>9</v>
      </c>
      <c r="C772">
        <f t="shared" si="81"/>
        <v>48.5</v>
      </c>
      <c r="D772">
        <f t="shared" si="79"/>
        <v>55.17633674630261</v>
      </c>
      <c r="E772">
        <f t="shared" si="80"/>
        <v>23.076923076923077</v>
      </c>
      <c r="F772">
        <f t="shared" si="78"/>
        <v>0.74385227968845624</v>
      </c>
    </row>
    <row r="773" spans="1:6" x14ac:dyDescent="0.2">
      <c r="A773">
        <v>3</v>
      </c>
      <c r="B773">
        <v>10</v>
      </c>
      <c r="C773">
        <f t="shared" si="81"/>
        <v>51.5</v>
      </c>
      <c r="D773">
        <f t="shared" si="79"/>
        <v>58.589306029579056</v>
      </c>
      <c r="E773">
        <f t="shared" si="80"/>
        <v>25.641025641025639</v>
      </c>
      <c r="F773">
        <f t="shared" si="78"/>
        <v>0.83136431259298049</v>
      </c>
    </row>
    <row r="774" spans="1:6" x14ac:dyDescent="0.2">
      <c r="A774">
        <v>2.5</v>
      </c>
      <c r="B774">
        <v>11</v>
      </c>
      <c r="C774">
        <f t="shared" si="81"/>
        <v>54</v>
      </c>
      <c r="D774">
        <f t="shared" si="79"/>
        <v>61.433447098976103</v>
      </c>
      <c r="E774">
        <f t="shared" si="80"/>
        <v>28.205128205128204</v>
      </c>
      <c r="F774">
        <f t="shared" si="78"/>
        <v>0.76573028791458941</v>
      </c>
    </row>
    <row r="775" spans="1:6" x14ac:dyDescent="0.2">
      <c r="A775">
        <v>2.5</v>
      </c>
      <c r="B775">
        <v>12</v>
      </c>
      <c r="C775">
        <f t="shared" si="81"/>
        <v>56.5</v>
      </c>
      <c r="D775">
        <f t="shared" si="79"/>
        <v>64.277588168373143</v>
      </c>
      <c r="E775">
        <f t="shared" si="80"/>
        <v>30.76923076923077</v>
      </c>
      <c r="F775">
        <f t="shared" si="78"/>
        <v>0.83865698200169125</v>
      </c>
    </row>
    <row r="776" spans="1:6" x14ac:dyDescent="0.2">
      <c r="A776">
        <v>2.5</v>
      </c>
      <c r="B776">
        <v>13</v>
      </c>
      <c r="C776">
        <f t="shared" si="81"/>
        <v>59</v>
      </c>
      <c r="D776">
        <f t="shared" si="79"/>
        <v>67.121729237770182</v>
      </c>
      <c r="E776">
        <f t="shared" si="80"/>
        <v>33.333333333333329</v>
      </c>
      <c r="F776">
        <f t="shared" si="78"/>
        <v>0.91158367608879476</v>
      </c>
    </row>
    <row r="777" spans="1:6" x14ac:dyDescent="0.2">
      <c r="A777">
        <v>2.5</v>
      </c>
      <c r="B777">
        <v>14</v>
      </c>
      <c r="C777">
        <f t="shared" si="81"/>
        <v>61.5</v>
      </c>
      <c r="D777">
        <f t="shared" si="79"/>
        <v>69.965870307167236</v>
      </c>
      <c r="E777">
        <f t="shared" si="80"/>
        <v>35.897435897435898</v>
      </c>
      <c r="F777">
        <f t="shared" si="78"/>
        <v>0.98451037017590326</v>
      </c>
    </row>
    <row r="778" spans="1:6" x14ac:dyDescent="0.2">
      <c r="A778">
        <v>2</v>
      </c>
      <c r="B778">
        <v>15</v>
      </c>
      <c r="C778">
        <f t="shared" si="81"/>
        <v>63.5</v>
      </c>
      <c r="D778">
        <f t="shared" si="79"/>
        <v>72.241183162684862</v>
      </c>
      <c r="E778">
        <f t="shared" si="80"/>
        <v>38.461538461538467</v>
      </c>
      <c r="F778">
        <f t="shared" si="78"/>
        <v>0.84594965141039946</v>
      </c>
    </row>
    <row r="779" spans="1:6" x14ac:dyDescent="0.2">
      <c r="A779">
        <v>2</v>
      </c>
      <c r="B779">
        <v>16</v>
      </c>
      <c r="C779">
        <f t="shared" si="81"/>
        <v>65.5</v>
      </c>
      <c r="D779">
        <f t="shared" si="79"/>
        <v>74.516496018202488</v>
      </c>
      <c r="E779">
        <f t="shared" si="80"/>
        <v>41.025641025641022</v>
      </c>
      <c r="F779">
        <f t="shared" si="78"/>
        <v>0.90429100668008222</v>
      </c>
    </row>
    <row r="780" spans="1:6" x14ac:dyDescent="0.2">
      <c r="A780">
        <v>2</v>
      </c>
      <c r="B780">
        <v>17</v>
      </c>
      <c r="C780">
        <f t="shared" si="81"/>
        <v>67.5</v>
      </c>
      <c r="D780">
        <f t="shared" si="79"/>
        <v>76.791808873720129</v>
      </c>
      <c r="E780">
        <f t="shared" si="80"/>
        <v>43.589743589743591</v>
      </c>
      <c r="F780">
        <f t="shared" si="78"/>
        <v>0.96263236194977087</v>
      </c>
    </row>
    <row r="781" spans="1:6" x14ac:dyDescent="0.2">
      <c r="A781">
        <v>2</v>
      </c>
      <c r="B781">
        <v>18</v>
      </c>
      <c r="C781">
        <f t="shared" si="81"/>
        <v>69.5</v>
      </c>
      <c r="D781">
        <f t="shared" si="79"/>
        <v>79.067121729237769</v>
      </c>
      <c r="E781">
        <f t="shared" si="80"/>
        <v>46.153846153846153</v>
      </c>
      <c r="F781">
        <f t="shared" si="78"/>
        <v>1.0209737172194542</v>
      </c>
    </row>
    <row r="782" spans="1:6" x14ac:dyDescent="0.2">
      <c r="A782">
        <v>2</v>
      </c>
      <c r="B782">
        <v>19</v>
      </c>
      <c r="C782">
        <f t="shared" si="81"/>
        <v>71.5</v>
      </c>
      <c r="D782">
        <f t="shared" si="79"/>
        <v>81.342434584755395</v>
      </c>
      <c r="E782">
        <f t="shared" si="80"/>
        <v>48.717948717948715</v>
      </c>
      <c r="F782">
        <f t="shared" si="78"/>
        <v>1.0793150724891303</v>
      </c>
    </row>
    <row r="783" spans="1:6" x14ac:dyDescent="0.2">
      <c r="A783">
        <v>2</v>
      </c>
      <c r="B783">
        <v>20</v>
      </c>
      <c r="C783">
        <f t="shared" si="81"/>
        <v>73.5</v>
      </c>
      <c r="D783">
        <f t="shared" si="79"/>
        <v>83.617747440273021</v>
      </c>
      <c r="E783">
        <f t="shared" si="80"/>
        <v>51.282051282051277</v>
      </c>
      <c r="F783">
        <f t="shared" si="78"/>
        <v>1.137656427758813</v>
      </c>
    </row>
    <row r="784" spans="1:6" x14ac:dyDescent="0.2">
      <c r="A784">
        <v>1.5</v>
      </c>
      <c r="B784">
        <v>21</v>
      </c>
      <c r="C784">
        <f t="shared" si="81"/>
        <v>75</v>
      </c>
      <c r="D784">
        <f t="shared" si="79"/>
        <v>85.324232081911262</v>
      </c>
      <c r="E784">
        <f t="shared" si="80"/>
        <v>53.846153846153847</v>
      </c>
      <c r="F784">
        <f t="shared" si="78"/>
        <v>0.89699833727138301</v>
      </c>
    </row>
    <row r="785" spans="1:6" x14ac:dyDescent="0.2">
      <c r="A785">
        <v>1.5</v>
      </c>
      <c r="B785">
        <v>22</v>
      </c>
      <c r="C785">
        <f t="shared" si="81"/>
        <v>76.5</v>
      </c>
      <c r="D785">
        <f t="shared" si="79"/>
        <v>87.030716723549489</v>
      </c>
      <c r="E785">
        <f t="shared" si="80"/>
        <v>56.410256410256409</v>
      </c>
      <c r="F785">
        <f t="shared" si="78"/>
        <v>0.94075435372363769</v>
      </c>
    </row>
    <row r="786" spans="1:6" x14ac:dyDescent="0.2">
      <c r="A786">
        <v>1</v>
      </c>
      <c r="B786">
        <v>23</v>
      </c>
      <c r="C786">
        <f t="shared" si="81"/>
        <v>77.5</v>
      </c>
      <c r="D786">
        <f t="shared" si="79"/>
        <v>88.168373151308302</v>
      </c>
      <c r="E786">
        <f t="shared" si="80"/>
        <v>58.974358974358978</v>
      </c>
      <c r="F786">
        <f t="shared" si="78"/>
        <v>0.65634024678393066</v>
      </c>
    </row>
    <row r="787" spans="1:6" x14ac:dyDescent="0.2">
      <c r="A787">
        <v>1</v>
      </c>
      <c r="B787">
        <v>24</v>
      </c>
      <c r="C787">
        <f t="shared" si="81"/>
        <v>78.5</v>
      </c>
      <c r="D787">
        <f t="shared" si="79"/>
        <v>89.306029579067115</v>
      </c>
      <c r="E787">
        <f t="shared" si="80"/>
        <v>61.53846153846154</v>
      </c>
      <c r="F787">
        <f t="shared" si="78"/>
        <v>0.68551092441877204</v>
      </c>
    </row>
    <row r="788" spans="1:6" x14ac:dyDescent="0.2">
      <c r="A788">
        <v>1</v>
      </c>
      <c r="B788">
        <v>25</v>
      </c>
      <c r="C788">
        <f t="shared" si="81"/>
        <v>79.5</v>
      </c>
      <c r="D788">
        <f t="shared" si="79"/>
        <v>90.443686006825928</v>
      </c>
      <c r="E788">
        <f t="shared" si="80"/>
        <v>64.102564102564102</v>
      </c>
      <c r="F788">
        <f t="shared" si="78"/>
        <v>0.71468160205361331</v>
      </c>
    </row>
    <row r="789" spans="1:6" x14ac:dyDescent="0.2">
      <c r="A789">
        <v>1</v>
      </c>
      <c r="B789">
        <v>26</v>
      </c>
      <c r="C789">
        <f t="shared" si="81"/>
        <v>80.5</v>
      </c>
      <c r="D789">
        <f t="shared" si="79"/>
        <v>91.581342434584741</v>
      </c>
      <c r="E789">
        <f t="shared" si="80"/>
        <v>66.666666666666657</v>
      </c>
      <c r="F789">
        <f t="shared" si="78"/>
        <v>0.74385227968845469</v>
      </c>
    </row>
    <row r="790" spans="1:6" x14ac:dyDescent="0.2">
      <c r="A790">
        <v>1</v>
      </c>
      <c r="B790">
        <v>27</v>
      </c>
      <c r="C790">
        <f t="shared" si="81"/>
        <v>81.5</v>
      </c>
      <c r="D790">
        <f t="shared" si="79"/>
        <v>92.718998862343568</v>
      </c>
      <c r="E790">
        <f t="shared" si="80"/>
        <v>69.230769230769226</v>
      </c>
      <c r="F790">
        <f t="shared" si="78"/>
        <v>0.77302295732330562</v>
      </c>
    </row>
    <row r="791" spans="1:6" x14ac:dyDescent="0.2">
      <c r="A791">
        <v>1</v>
      </c>
      <c r="B791">
        <v>28</v>
      </c>
      <c r="C791">
        <f t="shared" si="81"/>
        <v>82.5</v>
      </c>
      <c r="D791">
        <f t="shared" si="79"/>
        <v>93.856655290102381</v>
      </c>
      <c r="E791">
        <f t="shared" si="80"/>
        <v>71.794871794871796</v>
      </c>
      <c r="F791">
        <f t="shared" si="78"/>
        <v>0.80219363495813734</v>
      </c>
    </row>
    <row r="792" spans="1:6" x14ac:dyDescent="0.2">
      <c r="A792">
        <v>1</v>
      </c>
      <c r="B792">
        <v>29</v>
      </c>
      <c r="C792">
        <f t="shared" si="81"/>
        <v>83.5</v>
      </c>
      <c r="D792">
        <f t="shared" si="79"/>
        <v>94.994311717861208</v>
      </c>
      <c r="E792">
        <f t="shared" si="80"/>
        <v>74.358974358974365</v>
      </c>
      <c r="F792">
        <f t="shared" si="78"/>
        <v>0.83136431259298915</v>
      </c>
    </row>
    <row r="793" spans="1:6" x14ac:dyDescent="0.2">
      <c r="A793">
        <v>1</v>
      </c>
      <c r="B793">
        <v>30</v>
      </c>
      <c r="C793">
        <f t="shared" si="81"/>
        <v>84.5</v>
      </c>
      <c r="D793">
        <f t="shared" si="79"/>
        <v>96.131968145620021</v>
      </c>
      <c r="E793">
        <f t="shared" si="80"/>
        <v>76.923076923076934</v>
      </c>
      <c r="F793">
        <f t="shared" si="78"/>
        <v>0.86053499022782021</v>
      </c>
    </row>
    <row r="794" spans="1:6" x14ac:dyDescent="0.2">
      <c r="A794">
        <v>0.5</v>
      </c>
      <c r="B794">
        <v>31</v>
      </c>
      <c r="C794">
        <f t="shared" si="81"/>
        <v>85</v>
      </c>
      <c r="D794">
        <f t="shared" si="79"/>
        <v>96.700796359499435</v>
      </c>
      <c r="E794">
        <f t="shared" si="80"/>
        <v>79.487179487179489</v>
      </c>
      <c r="F794">
        <f t="shared" si="78"/>
        <v>0.44485283393133629</v>
      </c>
    </row>
    <row r="795" spans="1:6" x14ac:dyDescent="0.2">
      <c r="A795">
        <v>0.5</v>
      </c>
      <c r="B795">
        <v>32</v>
      </c>
      <c r="C795">
        <f t="shared" si="81"/>
        <v>85.5</v>
      </c>
      <c r="D795">
        <f t="shared" si="79"/>
        <v>97.269624573378834</v>
      </c>
      <c r="E795">
        <f t="shared" si="80"/>
        <v>82.051282051282044</v>
      </c>
      <c r="F795">
        <f t="shared" si="78"/>
        <v>0.45943817274874571</v>
      </c>
    </row>
    <row r="796" spans="1:6" x14ac:dyDescent="0.2">
      <c r="A796">
        <v>0.5</v>
      </c>
      <c r="B796">
        <v>33</v>
      </c>
      <c r="C796">
        <f t="shared" si="81"/>
        <v>86</v>
      </c>
      <c r="D796">
        <f t="shared" si="79"/>
        <v>97.838452787258248</v>
      </c>
      <c r="E796">
        <f t="shared" si="80"/>
        <v>84.615384615384613</v>
      </c>
      <c r="F796">
        <f t="shared" si="78"/>
        <v>0.47402351156617795</v>
      </c>
    </row>
    <row r="797" spans="1:6" x14ac:dyDescent="0.2">
      <c r="A797">
        <v>0.5</v>
      </c>
      <c r="B797">
        <v>34</v>
      </c>
      <c r="C797">
        <f t="shared" si="81"/>
        <v>86.5</v>
      </c>
      <c r="D797">
        <f t="shared" si="79"/>
        <v>98.407281001137648</v>
      </c>
      <c r="E797">
        <f t="shared" si="80"/>
        <v>87.179487179487182</v>
      </c>
      <c r="F797">
        <f t="shared" si="78"/>
        <v>0.48860885038358665</v>
      </c>
    </row>
    <row r="798" spans="1:6" x14ac:dyDescent="0.2">
      <c r="A798">
        <v>0.5</v>
      </c>
      <c r="B798">
        <v>35</v>
      </c>
      <c r="C798">
        <f t="shared" si="81"/>
        <v>87</v>
      </c>
      <c r="D798">
        <f t="shared" si="79"/>
        <v>98.976109215017061</v>
      </c>
      <c r="E798">
        <f t="shared" si="80"/>
        <v>89.743589743589752</v>
      </c>
      <c r="F798">
        <f t="shared" si="78"/>
        <v>0.50319418920101977</v>
      </c>
    </row>
    <row r="799" spans="1:6" x14ac:dyDescent="0.2">
      <c r="A799">
        <v>0.25</v>
      </c>
      <c r="B799">
        <v>36</v>
      </c>
      <c r="C799">
        <f t="shared" si="81"/>
        <v>87.25</v>
      </c>
      <c r="D799">
        <f t="shared" si="79"/>
        <v>99.260523321956768</v>
      </c>
      <c r="E799">
        <f t="shared" si="80"/>
        <v>92.307692307692307</v>
      </c>
      <c r="F799">
        <f t="shared" si="78"/>
        <v>0.25888976400922031</v>
      </c>
    </row>
    <row r="800" spans="1:6" x14ac:dyDescent="0.2">
      <c r="A800">
        <v>0.25</v>
      </c>
      <c r="B800">
        <v>37</v>
      </c>
      <c r="C800">
        <f t="shared" si="81"/>
        <v>87.5</v>
      </c>
      <c r="D800">
        <f t="shared" si="79"/>
        <v>99.544937428896461</v>
      </c>
      <c r="E800">
        <f t="shared" si="80"/>
        <v>94.871794871794862</v>
      </c>
      <c r="F800">
        <f t="shared" si="78"/>
        <v>0.26618243341791742</v>
      </c>
    </row>
    <row r="801" spans="1:6" x14ac:dyDescent="0.2">
      <c r="A801">
        <v>0.25</v>
      </c>
      <c r="B801">
        <v>38</v>
      </c>
      <c r="C801">
        <f t="shared" si="81"/>
        <v>87.75</v>
      </c>
      <c r="D801">
        <f t="shared" si="79"/>
        <v>99.829351535836182</v>
      </c>
      <c r="E801">
        <f t="shared" si="80"/>
        <v>97.435897435897431</v>
      </c>
      <c r="F801">
        <f t="shared" si="78"/>
        <v>0.27347510282665483</v>
      </c>
    </row>
    <row r="802" spans="1:6" x14ac:dyDescent="0.2">
      <c r="A802">
        <v>0.15</v>
      </c>
      <c r="B802">
        <v>39</v>
      </c>
      <c r="C802">
        <f t="shared" si="81"/>
        <v>87.9</v>
      </c>
      <c r="D802">
        <f t="shared" si="79"/>
        <v>100</v>
      </c>
      <c r="E802">
        <f t="shared" si="80"/>
        <v>100</v>
      </c>
      <c r="F802">
        <f t="shared" si="78"/>
        <v>0.16846066334120532</v>
      </c>
    </row>
    <row r="803" spans="1:6" x14ac:dyDescent="0.2">
      <c r="E803" t="s">
        <v>63</v>
      </c>
      <c r="F803">
        <f>SUM(F764:F802)</f>
        <v>26.272570811819953</v>
      </c>
    </row>
    <row r="804" spans="1:6" x14ac:dyDescent="0.2">
      <c r="E804" t="s">
        <v>56</v>
      </c>
      <c r="F804">
        <f>50-F803</f>
        <v>23.727429188180047</v>
      </c>
    </row>
    <row r="805" spans="1:6" x14ac:dyDescent="0.2">
      <c r="E805" t="s">
        <v>49</v>
      </c>
      <c r="F805">
        <f>F804/50</f>
        <v>0.47454858376360093</v>
      </c>
    </row>
  </sheetData>
  <sortState xmlns:xlrd2="http://schemas.microsoft.com/office/spreadsheetml/2017/richdata2" ref="A364:A395">
    <sortCondition descending="1" ref="A364:A395"/>
  </sortState>
  <mergeCells count="1">
    <mergeCell ref="B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6903-6B60-2242-87CE-A9943159677E}">
  <dimension ref="A1:GQ47"/>
  <sheetViews>
    <sheetView workbookViewId="0">
      <selection activeCell="E1" sqref="E1"/>
    </sheetView>
  </sheetViews>
  <sheetFormatPr baseColWidth="10" defaultRowHeight="16" x14ac:dyDescent="0.2"/>
  <cols>
    <col min="1" max="1" width="11.5" bestFit="1" customWidth="1"/>
    <col min="2" max="2" width="11.83203125" customWidth="1"/>
    <col min="3" max="3" width="8.6640625" customWidth="1"/>
    <col min="4" max="4" width="15.33203125" customWidth="1"/>
    <col min="6" max="6" width="15.1640625" bestFit="1" customWidth="1"/>
    <col min="8" max="8" width="28.1640625" bestFit="1" customWidth="1"/>
    <col min="11" max="11" width="14.1640625" bestFit="1" customWidth="1"/>
    <col min="16" max="16" width="15.1640625" bestFit="1" customWidth="1"/>
    <col min="17" max="17" width="5" bestFit="1" customWidth="1"/>
    <col min="18" max="18" width="28.1640625" bestFit="1" customWidth="1"/>
    <col min="26" max="26" width="15.1640625" bestFit="1" customWidth="1"/>
    <col min="28" max="28" width="28.1640625" bestFit="1" customWidth="1"/>
    <col min="36" max="36" width="15.1640625" bestFit="1" customWidth="1"/>
    <col min="38" max="38" width="28.1640625" bestFit="1" customWidth="1"/>
    <col min="46" max="46" width="15.1640625" bestFit="1" customWidth="1"/>
    <col min="47" max="47" width="12.1640625" bestFit="1" customWidth="1"/>
    <col min="48" max="48" width="28.1640625" bestFit="1" customWidth="1"/>
    <col min="56" max="56" width="15.1640625" bestFit="1" customWidth="1"/>
    <col min="58" max="58" width="28.1640625" bestFit="1" customWidth="1"/>
    <col min="63" max="63" width="7.1640625" bestFit="1" customWidth="1"/>
    <col min="64" max="65" width="12.1640625" bestFit="1" customWidth="1"/>
    <col min="66" max="66" width="15.1640625" bestFit="1" customWidth="1"/>
    <col min="68" max="68" width="28.1640625" bestFit="1" customWidth="1"/>
    <col min="76" max="76" width="15.1640625" bestFit="1" customWidth="1"/>
    <col min="78" max="78" width="28.1640625" bestFit="1" customWidth="1"/>
    <col min="86" max="86" width="15.1640625" bestFit="1" customWidth="1"/>
    <col min="88" max="88" width="28.1640625" bestFit="1" customWidth="1"/>
    <col min="96" max="96" width="15.1640625" bestFit="1" customWidth="1"/>
    <col min="98" max="98" width="28.1640625" bestFit="1" customWidth="1"/>
    <col min="106" max="106" width="15.1640625" bestFit="1" customWidth="1"/>
    <col min="108" max="108" width="28.1640625" bestFit="1" customWidth="1"/>
    <col min="111" max="111" width="11.5" bestFit="1" customWidth="1"/>
    <col min="116" max="116" width="15.1640625" bestFit="1" customWidth="1"/>
    <col min="117" max="117" width="12.1640625" bestFit="1" customWidth="1"/>
    <col min="118" max="118" width="28.1640625" bestFit="1" customWidth="1"/>
    <col min="126" max="126" width="15.1640625" bestFit="1" customWidth="1"/>
    <col min="128" max="128" width="28.1640625" bestFit="1" customWidth="1"/>
    <col min="136" max="136" width="15.1640625" bestFit="1" customWidth="1"/>
    <col min="137" max="137" width="12.1640625" bestFit="1" customWidth="1"/>
    <col min="138" max="138" width="28.1640625" bestFit="1" customWidth="1"/>
    <col min="146" max="146" width="15.1640625" bestFit="1" customWidth="1"/>
    <col min="148" max="148" width="28.1640625" bestFit="1" customWidth="1"/>
    <col min="156" max="156" width="15.1640625" bestFit="1" customWidth="1"/>
    <col min="158" max="158" width="28.1640625" bestFit="1" customWidth="1"/>
    <col min="166" max="166" width="15.1640625" bestFit="1" customWidth="1"/>
    <col min="168" max="168" width="28.1640625" bestFit="1" customWidth="1"/>
    <col min="176" max="176" width="15.1640625" bestFit="1" customWidth="1"/>
    <col min="177" max="177" width="12.1640625" bestFit="1" customWidth="1"/>
    <col min="178" max="178" width="28.1640625" bestFit="1" customWidth="1"/>
    <col min="186" max="186" width="15.1640625" bestFit="1" customWidth="1"/>
    <col min="188" max="188" width="28.1640625" bestFit="1" customWidth="1"/>
    <col min="195" max="195" width="5.33203125" bestFit="1" customWidth="1"/>
    <col min="196" max="196" width="15.1640625" bestFit="1" customWidth="1"/>
    <col min="197" max="197" width="12.1640625" bestFit="1" customWidth="1"/>
    <col min="198" max="198" width="28.1640625" bestFit="1" customWidth="1"/>
  </cols>
  <sheetData>
    <row r="1" spans="1:199" x14ac:dyDescent="0.2">
      <c r="A1" t="s">
        <v>87</v>
      </c>
      <c r="B1" s="25" t="s">
        <v>86</v>
      </c>
      <c r="C1" s="25"/>
      <c r="D1" s="25"/>
    </row>
    <row r="3" spans="1:199" x14ac:dyDescent="0.2">
      <c r="A3" t="s">
        <v>88</v>
      </c>
      <c r="K3" t="s">
        <v>90</v>
      </c>
      <c r="U3" t="s">
        <v>69</v>
      </c>
      <c r="AE3" t="s">
        <v>91</v>
      </c>
      <c r="AO3" t="s">
        <v>79</v>
      </c>
      <c r="AY3" t="s">
        <v>65</v>
      </c>
      <c r="BI3" t="s">
        <v>72</v>
      </c>
      <c r="BS3" t="s">
        <v>92</v>
      </c>
      <c r="CC3" t="s">
        <v>93</v>
      </c>
      <c r="CM3" t="s">
        <v>94</v>
      </c>
      <c r="CW3" t="s">
        <v>70</v>
      </c>
      <c r="DG3" t="s">
        <v>95</v>
      </c>
      <c r="DQ3" t="s">
        <v>99</v>
      </c>
      <c r="EA3" t="s">
        <v>66</v>
      </c>
      <c r="EK3" t="s">
        <v>71</v>
      </c>
      <c r="EU3" t="s">
        <v>82</v>
      </c>
      <c r="FE3" t="s">
        <v>98</v>
      </c>
      <c r="FO3" t="s">
        <v>97</v>
      </c>
      <c r="FY3" t="s">
        <v>74</v>
      </c>
      <c r="GI3" t="s">
        <v>96</v>
      </c>
    </row>
    <row r="4" spans="1:199" x14ac:dyDescent="0.2">
      <c r="A4" t="s">
        <v>48</v>
      </c>
      <c r="B4" t="s">
        <v>52</v>
      </c>
      <c r="C4" t="s">
        <v>53</v>
      </c>
      <c r="D4" t="s">
        <v>51</v>
      </c>
      <c r="E4" t="s">
        <v>50</v>
      </c>
      <c r="F4" t="s">
        <v>54</v>
      </c>
      <c r="G4" t="s">
        <v>63</v>
      </c>
      <c r="H4" t="s">
        <v>89</v>
      </c>
      <c r="I4" t="s">
        <v>49</v>
      </c>
      <c r="K4" t="s">
        <v>48</v>
      </c>
      <c r="L4" t="s">
        <v>52</v>
      </c>
      <c r="M4" t="s">
        <v>53</v>
      </c>
      <c r="N4" t="s">
        <v>51</v>
      </c>
      <c r="O4" t="s">
        <v>50</v>
      </c>
      <c r="P4" t="s">
        <v>54</v>
      </c>
      <c r="Q4" t="s">
        <v>63</v>
      </c>
      <c r="R4" t="s">
        <v>89</v>
      </c>
      <c r="S4" t="s">
        <v>49</v>
      </c>
      <c r="U4" t="s">
        <v>48</v>
      </c>
      <c r="V4" t="s">
        <v>52</v>
      </c>
      <c r="W4" t="s">
        <v>53</v>
      </c>
      <c r="X4" t="s">
        <v>51</v>
      </c>
      <c r="Y4" t="s">
        <v>50</v>
      </c>
      <c r="Z4" t="s">
        <v>54</v>
      </c>
      <c r="AA4" t="s">
        <v>63</v>
      </c>
      <c r="AB4" t="s">
        <v>89</v>
      </c>
      <c r="AC4" t="s">
        <v>49</v>
      </c>
      <c r="AE4" t="s">
        <v>48</v>
      </c>
      <c r="AF4" t="s">
        <v>52</v>
      </c>
      <c r="AG4" t="s">
        <v>53</v>
      </c>
      <c r="AH4" t="s">
        <v>51</v>
      </c>
      <c r="AI4" t="s">
        <v>50</v>
      </c>
      <c r="AJ4" t="s">
        <v>54</v>
      </c>
      <c r="AK4" t="s">
        <v>63</v>
      </c>
      <c r="AL4" t="s">
        <v>89</v>
      </c>
      <c r="AM4" t="s">
        <v>49</v>
      </c>
      <c r="AO4" t="s">
        <v>48</v>
      </c>
      <c r="AP4" t="s">
        <v>52</v>
      </c>
      <c r="AQ4" t="s">
        <v>53</v>
      </c>
      <c r="AR4" t="s">
        <v>51</v>
      </c>
      <c r="AS4" t="s">
        <v>50</v>
      </c>
      <c r="AT4" t="s">
        <v>54</v>
      </c>
      <c r="AU4" t="s">
        <v>63</v>
      </c>
      <c r="AV4" t="s">
        <v>89</v>
      </c>
      <c r="AW4" t="s">
        <v>49</v>
      </c>
      <c r="AY4" t="s">
        <v>48</v>
      </c>
      <c r="AZ4" t="s">
        <v>52</v>
      </c>
      <c r="BA4" t="s">
        <v>53</v>
      </c>
      <c r="BB4" t="s">
        <v>51</v>
      </c>
      <c r="BC4" t="s">
        <v>50</v>
      </c>
      <c r="BD4" t="s">
        <v>54</v>
      </c>
      <c r="BE4" t="s">
        <v>63</v>
      </c>
      <c r="BF4" t="s">
        <v>89</v>
      </c>
      <c r="BG4" t="s">
        <v>49</v>
      </c>
      <c r="BI4" t="s">
        <v>48</v>
      </c>
      <c r="BJ4" t="s">
        <v>52</v>
      </c>
      <c r="BK4" t="s">
        <v>53</v>
      </c>
      <c r="BL4" t="s">
        <v>51</v>
      </c>
      <c r="BM4" t="s">
        <v>50</v>
      </c>
      <c r="BN4" t="s">
        <v>54</v>
      </c>
      <c r="BO4" t="s">
        <v>63</v>
      </c>
      <c r="BP4" t="s">
        <v>89</v>
      </c>
      <c r="BQ4" t="s">
        <v>49</v>
      </c>
      <c r="BS4" t="s">
        <v>48</v>
      </c>
      <c r="BT4" t="s">
        <v>52</v>
      </c>
      <c r="BU4" t="s">
        <v>53</v>
      </c>
      <c r="BV4" t="s">
        <v>51</v>
      </c>
      <c r="BW4" t="s">
        <v>50</v>
      </c>
      <c r="BX4" t="s">
        <v>54</v>
      </c>
      <c r="BY4" t="s">
        <v>63</v>
      </c>
      <c r="BZ4" t="s">
        <v>89</v>
      </c>
      <c r="CA4" t="s">
        <v>49</v>
      </c>
      <c r="CC4" t="s">
        <v>48</v>
      </c>
      <c r="CD4" t="s">
        <v>52</v>
      </c>
      <c r="CE4" t="s">
        <v>53</v>
      </c>
      <c r="CF4" t="s">
        <v>51</v>
      </c>
      <c r="CG4" t="s">
        <v>50</v>
      </c>
      <c r="CH4" t="s">
        <v>54</v>
      </c>
      <c r="CI4" t="s">
        <v>63</v>
      </c>
      <c r="CJ4" t="s">
        <v>89</v>
      </c>
      <c r="CK4" t="s">
        <v>49</v>
      </c>
      <c r="CM4" t="s">
        <v>48</v>
      </c>
      <c r="CN4" t="s">
        <v>52</v>
      </c>
      <c r="CO4" t="s">
        <v>53</v>
      </c>
      <c r="CP4" t="s">
        <v>51</v>
      </c>
      <c r="CQ4" t="s">
        <v>50</v>
      </c>
      <c r="CR4" t="s">
        <v>54</v>
      </c>
      <c r="CS4" t="s">
        <v>63</v>
      </c>
      <c r="CT4" t="s">
        <v>89</v>
      </c>
      <c r="CU4" t="s">
        <v>49</v>
      </c>
      <c r="CW4" t="s">
        <v>48</v>
      </c>
      <c r="CX4" t="s">
        <v>52</v>
      </c>
      <c r="CY4" t="s">
        <v>53</v>
      </c>
      <c r="CZ4" t="s">
        <v>51</v>
      </c>
      <c r="DA4" t="s">
        <v>50</v>
      </c>
      <c r="DB4" t="s">
        <v>54</v>
      </c>
      <c r="DC4" t="s">
        <v>63</v>
      </c>
      <c r="DD4" t="s">
        <v>89</v>
      </c>
      <c r="DE4" t="s">
        <v>49</v>
      </c>
      <c r="DG4" t="s">
        <v>48</v>
      </c>
      <c r="DH4" t="s">
        <v>52</v>
      </c>
      <c r="DI4" t="s">
        <v>53</v>
      </c>
      <c r="DJ4" t="s">
        <v>51</v>
      </c>
      <c r="DK4" t="s">
        <v>50</v>
      </c>
      <c r="DL4" t="s">
        <v>54</v>
      </c>
      <c r="DM4" t="s">
        <v>63</v>
      </c>
      <c r="DN4" t="s">
        <v>89</v>
      </c>
      <c r="DO4" t="s">
        <v>49</v>
      </c>
      <c r="DQ4" t="s">
        <v>48</v>
      </c>
      <c r="DR4" t="s">
        <v>52</v>
      </c>
      <c r="DS4" t="s">
        <v>53</v>
      </c>
      <c r="DT4" t="s">
        <v>51</v>
      </c>
      <c r="DU4" t="s">
        <v>50</v>
      </c>
      <c r="DV4" t="s">
        <v>54</v>
      </c>
      <c r="DW4" t="s">
        <v>63</v>
      </c>
      <c r="DX4" t="s">
        <v>89</v>
      </c>
      <c r="DY4" t="s">
        <v>49</v>
      </c>
      <c r="EA4" t="s">
        <v>48</v>
      </c>
      <c r="EB4" t="s">
        <v>52</v>
      </c>
      <c r="EC4" t="s">
        <v>53</v>
      </c>
      <c r="ED4" t="s">
        <v>51</v>
      </c>
      <c r="EE4" t="s">
        <v>50</v>
      </c>
      <c r="EF4" t="s">
        <v>54</v>
      </c>
      <c r="EG4" t="s">
        <v>63</v>
      </c>
      <c r="EH4" t="s">
        <v>89</v>
      </c>
      <c r="EI4" t="s">
        <v>49</v>
      </c>
      <c r="EK4" t="s">
        <v>48</v>
      </c>
      <c r="EL4" t="s">
        <v>52</v>
      </c>
      <c r="EM4" t="s">
        <v>53</v>
      </c>
      <c r="EN4" t="s">
        <v>51</v>
      </c>
      <c r="EO4" t="s">
        <v>50</v>
      </c>
      <c r="EP4" t="s">
        <v>54</v>
      </c>
      <c r="EQ4" t="s">
        <v>63</v>
      </c>
      <c r="ER4" t="s">
        <v>89</v>
      </c>
      <c r="ES4" t="s">
        <v>49</v>
      </c>
      <c r="EU4" t="s">
        <v>48</v>
      </c>
      <c r="EV4" t="s">
        <v>52</v>
      </c>
      <c r="EW4" t="s">
        <v>53</v>
      </c>
      <c r="EX4" t="s">
        <v>51</v>
      </c>
      <c r="EY4" t="s">
        <v>50</v>
      </c>
      <c r="EZ4" t="s">
        <v>54</v>
      </c>
      <c r="FA4" t="s">
        <v>63</v>
      </c>
      <c r="FB4" t="s">
        <v>89</v>
      </c>
      <c r="FC4" t="s">
        <v>49</v>
      </c>
      <c r="FE4" t="s">
        <v>48</v>
      </c>
      <c r="FF4" t="s">
        <v>52</v>
      </c>
      <c r="FG4" t="s">
        <v>53</v>
      </c>
      <c r="FH4" t="s">
        <v>51</v>
      </c>
      <c r="FI4" t="s">
        <v>50</v>
      </c>
      <c r="FJ4" t="s">
        <v>54</v>
      </c>
      <c r="FK4" t="s">
        <v>63</v>
      </c>
      <c r="FL4" t="s">
        <v>89</v>
      </c>
      <c r="FM4" t="s">
        <v>49</v>
      </c>
      <c r="FO4" t="s">
        <v>48</v>
      </c>
      <c r="FP4" t="s">
        <v>52</v>
      </c>
      <c r="FQ4" t="s">
        <v>53</v>
      </c>
      <c r="FR4" t="s">
        <v>51</v>
      </c>
      <c r="FS4" t="s">
        <v>50</v>
      </c>
      <c r="FT4" t="s">
        <v>54</v>
      </c>
      <c r="FU4" t="s">
        <v>63</v>
      </c>
      <c r="FV4" t="s">
        <v>89</v>
      </c>
      <c r="FW4" t="s">
        <v>49</v>
      </c>
      <c r="FY4" t="s">
        <v>48</v>
      </c>
      <c r="FZ4" t="s">
        <v>52</v>
      </c>
      <c r="GA4" t="s">
        <v>53</v>
      </c>
      <c r="GB4" t="s">
        <v>51</v>
      </c>
      <c r="GC4" t="s">
        <v>50</v>
      </c>
      <c r="GD4" t="s">
        <v>54</v>
      </c>
      <c r="GE4" t="s">
        <v>63</v>
      </c>
      <c r="GF4" t="s">
        <v>89</v>
      </c>
      <c r="GG4" t="s">
        <v>49</v>
      </c>
      <c r="GI4" t="s">
        <v>48</v>
      </c>
      <c r="GJ4" t="s">
        <v>52</v>
      </c>
      <c r="GK4" t="s">
        <v>53</v>
      </c>
      <c r="GL4" t="s">
        <v>51</v>
      </c>
      <c r="GM4" t="s">
        <v>50</v>
      </c>
      <c r="GN4" t="s">
        <v>54</v>
      </c>
      <c r="GO4" t="s">
        <v>63</v>
      </c>
      <c r="GP4" t="s">
        <v>89</v>
      </c>
      <c r="GQ4" t="s">
        <v>49</v>
      </c>
    </row>
    <row r="5" spans="1:199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f>SUM(F6:F41)</f>
        <v>22.115672199790637</v>
      </c>
      <c r="H5">
        <f>50-G5</f>
        <v>27.884327800209363</v>
      </c>
      <c r="I5">
        <f>H5/50</f>
        <v>0.55768655600418726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f>SUM(P6:P35)</f>
        <v>26.46123814835472</v>
      </c>
      <c r="R5">
        <f>50-Q5</f>
        <v>23.53876185164528</v>
      </c>
      <c r="S5">
        <f>R5/50</f>
        <v>0.47077523703290558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f>SUM(Z6:Z39)</f>
        <v>24.11560328490209</v>
      </c>
      <c r="AB5">
        <f>50-AA5</f>
        <v>25.88439671509791</v>
      </c>
      <c r="AC5">
        <f>AB5/50</f>
        <v>0.51768793430195825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>SUM(AJ6:AJ47)</f>
        <v>21.478508300827247</v>
      </c>
      <c r="AL5">
        <f>50-AK5</f>
        <v>28.521491699172753</v>
      </c>
      <c r="AM5">
        <f>AL5/50</f>
        <v>0.57042983398345504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f>SUM(AT6:AT42)</f>
        <v>29.065272736158821</v>
      </c>
      <c r="AV5">
        <f>50-AU5</f>
        <v>20.934727263841179</v>
      </c>
      <c r="AW5">
        <f>AV5/50</f>
        <v>0.41869454527682359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f>SUM(BD6:BD36)</f>
        <v>27.438960020510049</v>
      </c>
      <c r="BF5">
        <f>50-BE5</f>
        <v>22.561039979489951</v>
      </c>
      <c r="BG5">
        <f>BF5/50</f>
        <v>0.45122079958979905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f>SUM(BN6:BN36)</f>
        <v>26.636876222622838</v>
      </c>
      <c r="BP5">
        <f>50-BO5</f>
        <v>23.363123777377162</v>
      </c>
      <c r="BQ5">
        <f>BP5/50</f>
        <v>0.46726247554754324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f>SUM(BX6:BX36)</f>
        <v>23.047554431628939</v>
      </c>
      <c r="BZ5">
        <f>50-BY5</f>
        <v>26.952445568371061</v>
      </c>
      <c r="CA5">
        <f>BZ5/50</f>
        <v>0.53904891136742128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f>SUM(CH6:CH33)</f>
        <v>30.357142857142854</v>
      </c>
      <c r="CJ5">
        <f>50-CI5</f>
        <v>19.642857142857146</v>
      </c>
      <c r="CK5">
        <f>CJ5/50</f>
        <v>0.3928571428571429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f>SUM(CR6:CR42)</f>
        <v>29.128743139025914</v>
      </c>
      <c r="CT5">
        <f>50-CS5</f>
        <v>20.871256860974086</v>
      </c>
      <c r="CU5">
        <f>CT5/50</f>
        <v>0.41742513721948171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f>SUM(DB6:DB36)</f>
        <v>20.283239390651598</v>
      </c>
      <c r="DD5">
        <f>50-DC5</f>
        <v>29.716760609348402</v>
      </c>
      <c r="DE5">
        <f>DD5/50</f>
        <v>0.59433521218696805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f>SUM(DL6:DL34)</f>
        <v>28.466671741391991</v>
      </c>
      <c r="DN5">
        <f>50-DM5</f>
        <v>21.533328258608009</v>
      </c>
      <c r="DO5">
        <f>DN5/50</f>
        <v>0.43066656517216018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f>SUM(DV6:DV34)</f>
        <v>29.666133582505246</v>
      </c>
      <c r="DX5">
        <f>50-DW5</f>
        <v>20.333866417494754</v>
      </c>
      <c r="DY5">
        <f>DX5/50</f>
        <v>0.40667732834989506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f>SUM(EF6:EF40)</f>
        <v>25.131719854358519</v>
      </c>
      <c r="EH5">
        <f>50-EG5</f>
        <v>24.868280145641481</v>
      </c>
      <c r="EI5">
        <f>EH5/50</f>
        <v>0.49736560291282961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f>SUM(EP6:EP41)</f>
        <v>26.041666666666671</v>
      </c>
      <c r="ER5">
        <f>50-EQ5</f>
        <v>23.958333333333329</v>
      </c>
      <c r="ES5">
        <f>ER5/50</f>
        <v>0.47916666666666657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f>SUM(EZ6:EZ33)</f>
        <v>28.071036106750395</v>
      </c>
      <c r="FB5">
        <f>50-FA5</f>
        <v>21.928963893249605</v>
      </c>
      <c r="FC5">
        <f>FB5/50</f>
        <v>0.43857927786499212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f>SUM(FJ6:FJ37)</f>
        <v>29.721992273730681</v>
      </c>
      <c r="FL5">
        <f>50-FK5</f>
        <v>20.278007726269319</v>
      </c>
      <c r="FM5">
        <f>FL5/50</f>
        <v>0.40556015452538641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f>SUM(FT6:FT38)</f>
        <v>29.398597417384796</v>
      </c>
      <c r="FV5">
        <f>50-FU5</f>
        <v>20.601402582615204</v>
      </c>
      <c r="FW5">
        <f>FV5/50</f>
        <v>0.41202805165230411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f>SUM(GD6:GD33)</f>
        <v>27.625050971863534</v>
      </c>
      <c r="GF5">
        <f>50-GE5</f>
        <v>22.374949028136466</v>
      </c>
      <c r="GG5">
        <f>GF5/50</f>
        <v>0.44749898056272935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f>SUM(GN6:GN38)</f>
        <v>24.885604373354919</v>
      </c>
      <c r="GP5">
        <f>50-GO5</f>
        <v>25.114395626645081</v>
      </c>
      <c r="GQ5">
        <f>GP5/50</f>
        <v>0.50228791253290161</v>
      </c>
    </row>
    <row r="6" spans="1:199" x14ac:dyDescent="0.2">
      <c r="A6">
        <v>60</v>
      </c>
      <c r="B6">
        <v>1</v>
      </c>
      <c r="C6">
        <f>A6</f>
        <v>60</v>
      </c>
      <c r="D6">
        <f>C6/C$41*100</f>
        <v>10.767160161507402</v>
      </c>
      <c r="E6">
        <f>B6/B$41*100</f>
        <v>2.7777777777777777</v>
      </c>
      <c r="F6">
        <f>(E6+E5)/2*(D6-D5)/100</f>
        <v>0.14954389113204725</v>
      </c>
      <c r="K6">
        <v>50</v>
      </c>
      <c r="L6">
        <v>1</v>
      </c>
      <c r="M6">
        <f>K6</f>
        <v>50</v>
      </c>
      <c r="N6">
        <f>M6/M$35*100</f>
        <v>11.154489682097044</v>
      </c>
      <c r="O6">
        <f>L6/L$35*100</f>
        <v>3.3333333333333335</v>
      </c>
      <c r="P6">
        <f>(O6+O5)/2*(N6-N5)/100</f>
        <v>0.18590816136828409</v>
      </c>
      <c r="U6">
        <v>45</v>
      </c>
      <c r="V6">
        <v>1</v>
      </c>
      <c r="W6">
        <f>U6</f>
        <v>45</v>
      </c>
      <c r="X6">
        <f>W6/W$39*100</f>
        <v>11.370814908401769</v>
      </c>
      <c r="Y6">
        <f>V6/V$39*100</f>
        <v>2.9411764705882351</v>
      </c>
      <c r="Z6">
        <f>(Y6+Y5)/2*(X6-X5)/100</f>
        <v>0.167217866300026</v>
      </c>
      <c r="AE6">
        <v>65</v>
      </c>
      <c r="AF6">
        <v>1</v>
      </c>
      <c r="AG6">
        <f>AE6</f>
        <v>65</v>
      </c>
      <c r="AH6">
        <f>AG6/AG$47*100</f>
        <v>12.861100118717847</v>
      </c>
      <c r="AI6">
        <f>AF6/AF$47*100</f>
        <v>2.3809523809523809</v>
      </c>
      <c r="AJ6">
        <f>(AI6+AI5)/2*(AH6-AH5)/100</f>
        <v>0.15310833474664101</v>
      </c>
      <c r="AO6">
        <v>27</v>
      </c>
      <c r="AP6">
        <v>1</v>
      </c>
      <c r="AQ6">
        <f>AO6</f>
        <v>27</v>
      </c>
      <c r="AR6">
        <f>AQ6/AQ$42*100</f>
        <v>8.877198750616472</v>
      </c>
      <c r="AS6">
        <f>AP6/AP$42*100</f>
        <v>2.7027027027027026</v>
      </c>
      <c r="AT6">
        <f>(AS6+AS5)/2*(AR6-AR5)/100</f>
        <v>0.11996214527860097</v>
      </c>
      <c r="AY6">
        <v>30</v>
      </c>
      <c r="AZ6">
        <v>1</v>
      </c>
      <c r="BA6">
        <f>AY6</f>
        <v>30</v>
      </c>
      <c r="BB6">
        <f>BA6/BA$36*100</f>
        <v>9.3501636278634859</v>
      </c>
      <c r="BC6">
        <f>AZ6/AZ$36*100</f>
        <v>3.225806451612903</v>
      </c>
      <c r="BD6">
        <f>(BC6+BC5)/2*(BB6-BB5)/100</f>
        <v>0.1508090907719917</v>
      </c>
      <c r="BI6">
        <v>25</v>
      </c>
      <c r="BJ6">
        <v>1</v>
      </c>
      <c r="BK6">
        <f>BI6</f>
        <v>25</v>
      </c>
      <c r="BL6">
        <f>BK6/BK$36*100</f>
        <v>11.890606420927467</v>
      </c>
      <c r="BM6">
        <f>BJ6/BJ$36*100</f>
        <v>3.225806451612903</v>
      </c>
      <c r="BN6">
        <f>(BM6+BM5)/2*(BL6-BL5)/100</f>
        <v>0.1917839745310882</v>
      </c>
      <c r="BS6">
        <v>25</v>
      </c>
      <c r="BT6">
        <v>1</v>
      </c>
      <c r="BU6">
        <f>BS6</f>
        <v>25</v>
      </c>
      <c r="BV6">
        <f>BU6/BU$36*100</f>
        <v>19.120458891013385</v>
      </c>
      <c r="BW6">
        <f>BT6/BT$36*100</f>
        <v>3.225806451612903</v>
      </c>
      <c r="BX6">
        <f>(BW6+BW5)/2*(BV6-BV5)/100</f>
        <v>0.30839449824215132</v>
      </c>
      <c r="CC6">
        <v>13</v>
      </c>
      <c r="CD6">
        <v>1</v>
      </c>
      <c r="CE6">
        <f>CC6</f>
        <v>13</v>
      </c>
      <c r="CF6">
        <f>CE6/CE$33*100</f>
        <v>11.76470588235294</v>
      </c>
      <c r="CG6">
        <f>CD6/CD$33*100</f>
        <v>3.5714285714285712</v>
      </c>
      <c r="CH6">
        <f>(CG6+CG5)/2*(CF6-CF5)/100</f>
        <v>0.21008403361344535</v>
      </c>
      <c r="CM6">
        <v>7</v>
      </c>
      <c r="CN6">
        <v>1</v>
      </c>
      <c r="CO6">
        <f>CM6</f>
        <v>7</v>
      </c>
      <c r="CP6">
        <f>CO6/CO$42*100</f>
        <v>7.1979434447300772</v>
      </c>
      <c r="CQ6">
        <f>CN6/CN$42*100</f>
        <v>2.7027027027027026</v>
      </c>
      <c r="CR6">
        <f>(CQ6+CQ5)/2*(CP6-CP5)/100</f>
        <v>9.7269506009865905E-2</v>
      </c>
      <c r="CW6">
        <v>30</v>
      </c>
      <c r="CX6">
        <v>1</v>
      </c>
      <c r="CY6">
        <f>CW6</f>
        <v>30</v>
      </c>
      <c r="CZ6">
        <f>CY6/CY$36*100</f>
        <v>16.406890894175554</v>
      </c>
      <c r="DA6">
        <f>CX6/CX$36*100</f>
        <v>3.225806451612903</v>
      </c>
      <c r="DB6">
        <f>(DA6+DA5)/2*(CZ6-CZ5)/100</f>
        <v>0.26462727248670248</v>
      </c>
      <c r="DG6">
        <v>15</v>
      </c>
      <c r="DH6">
        <v>1</v>
      </c>
      <c r="DI6">
        <f>DG6</f>
        <v>15</v>
      </c>
      <c r="DJ6">
        <f>DI6/DI$34*100</f>
        <v>11.037527593818984</v>
      </c>
      <c r="DK6">
        <f>DH6/DH$34*100</f>
        <v>3.4482758620689653</v>
      </c>
      <c r="DL6">
        <f>(DK6+DK5)/2*(DJ6-DJ5)/100</f>
        <v>0.19030219989343075</v>
      </c>
      <c r="DQ6">
        <v>12</v>
      </c>
      <c r="DR6">
        <v>1</v>
      </c>
      <c r="DS6">
        <f>DQ6</f>
        <v>12</v>
      </c>
      <c r="DT6">
        <f>DS6/DS$34*100</f>
        <v>12.506513809275665</v>
      </c>
      <c r="DU6">
        <f>DR6/DR$34*100</f>
        <v>3.4482758620689653</v>
      </c>
      <c r="DV6">
        <f>(DU6+DU5)/2*(DT6-DT5)/100</f>
        <v>0.2156295484357873</v>
      </c>
      <c r="EA6">
        <v>8.5</v>
      </c>
      <c r="EB6">
        <v>1</v>
      </c>
      <c r="EC6">
        <f>EA6</f>
        <v>8.5</v>
      </c>
      <c r="ED6">
        <f>EC6/EC$40*100</f>
        <v>12.743628185907049</v>
      </c>
      <c r="EE6">
        <f>EB6/EB$40*100</f>
        <v>2.8571428571428572</v>
      </c>
      <c r="EF6">
        <f>(EE6+EE5)/2*(ED6-ED5)/100</f>
        <v>0.18205183122724355</v>
      </c>
      <c r="EK6">
        <v>15</v>
      </c>
      <c r="EL6">
        <v>1</v>
      </c>
      <c r="EM6">
        <f>EK6</f>
        <v>15</v>
      </c>
      <c r="EN6">
        <f>EM6/EM$41*100</f>
        <v>10.714285714285714</v>
      </c>
      <c r="EO6">
        <f>EL6/EL$41*100</f>
        <v>2.7777777777777777</v>
      </c>
      <c r="EP6">
        <f>(EO6+EO5)/2*(EN6-EN5)/100</f>
        <v>0.14880952380952381</v>
      </c>
      <c r="EU6">
        <v>11</v>
      </c>
      <c r="EV6">
        <v>1</v>
      </c>
      <c r="EW6">
        <f>EU6</f>
        <v>11</v>
      </c>
      <c r="EX6">
        <f>EW6/EW$33*100</f>
        <v>12.087912087912088</v>
      </c>
      <c r="EY6">
        <f>EV6/EV$33*100</f>
        <v>3.5714285714285712</v>
      </c>
      <c r="EZ6">
        <f>(EY6+EY5)/2*(EX6-EX5)/100</f>
        <v>0.21585557299843011</v>
      </c>
      <c r="FE6">
        <v>14</v>
      </c>
      <c r="FF6">
        <v>1</v>
      </c>
      <c r="FG6">
        <f>FE6</f>
        <v>14</v>
      </c>
      <c r="FH6">
        <f>FG6/FG$37*100</f>
        <v>12.362030905077264</v>
      </c>
      <c r="FI6">
        <f>FF6/FF$37*100</f>
        <v>3.125</v>
      </c>
      <c r="FJ6">
        <f>(FI6+FI5)/2*(FH6-FH5)/100</f>
        <v>0.19315673289183224</v>
      </c>
      <c r="FO6">
        <v>9</v>
      </c>
      <c r="FP6">
        <v>1</v>
      </c>
      <c r="FQ6">
        <f>FO6</f>
        <v>9</v>
      </c>
      <c r="FR6">
        <f>FQ6/FQ$38*100</f>
        <v>7.6857386848847131</v>
      </c>
      <c r="FS6">
        <f>FP6/FP$38*100</f>
        <v>3.0303030303030303</v>
      </c>
      <c r="FT6">
        <f>(FS6+FS5)/2*(FR6-FR5)/100</f>
        <v>0.11645058613461685</v>
      </c>
      <c r="FY6">
        <v>10</v>
      </c>
      <c r="FZ6">
        <v>1</v>
      </c>
      <c r="GA6">
        <f>FY6</f>
        <v>10</v>
      </c>
      <c r="GB6">
        <f>GA6/GA$33*100</f>
        <v>19.029495718363464</v>
      </c>
      <c r="GC6">
        <f>FZ6/FZ$33*100</f>
        <v>3.5714285714285712</v>
      </c>
      <c r="GD6">
        <f>(GC6+GC5)/2*(GB6-GB5)/100</f>
        <v>0.3398124235422047</v>
      </c>
      <c r="GI6">
        <v>12</v>
      </c>
      <c r="GJ6">
        <v>1</v>
      </c>
      <c r="GK6">
        <f>GI6</f>
        <v>12</v>
      </c>
      <c r="GL6">
        <f>GK6/GK$38*100</f>
        <v>10.690423162583521</v>
      </c>
      <c r="GM6">
        <f>GJ6/GJ$38*100</f>
        <v>3.0303030303030303</v>
      </c>
      <c r="GN6">
        <f>(GM6+GM5)/2*(GL6-GL5)/100</f>
        <v>0.16197610852399275</v>
      </c>
    </row>
    <row r="7" spans="1:199" x14ac:dyDescent="0.2">
      <c r="A7">
        <v>50</v>
      </c>
      <c r="B7">
        <v>2</v>
      </c>
      <c r="C7">
        <f>C6+A7</f>
        <v>110</v>
      </c>
      <c r="D7">
        <f t="shared" ref="D7:D41" si="0">C7/C$41*100</f>
        <v>19.739793629430238</v>
      </c>
      <c r="E7">
        <f t="shared" ref="E7:E41" si="1">B7/B$41*100</f>
        <v>5.5555555555555554</v>
      </c>
      <c r="F7">
        <f t="shared" ref="F7:F41" si="2">(E7+E6)/2*(D7-D6)/100</f>
        <v>0.37385972783011817</v>
      </c>
      <c r="K7">
        <v>38</v>
      </c>
      <c r="L7">
        <v>2</v>
      </c>
      <c r="M7">
        <f>M6+K7</f>
        <v>88</v>
      </c>
      <c r="N7">
        <f t="shared" ref="N7:N35" si="3">M7/M$35*100</f>
        <v>19.631901840490798</v>
      </c>
      <c r="O7">
        <f t="shared" ref="O7:O35" si="4">L7/L$35*100</f>
        <v>6.666666666666667</v>
      </c>
      <c r="P7">
        <f t="shared" ref="P7:P34" si="5">(O7+O6)/2*(N7-N6)/100</f>
        <v>0.42387060791968773</v>
      </c>
      <c r="U7">
        <v>40</v>
      </c>
      <c r="V7">
        <v>2</v>
      </c>
      <c r="W7">
        <f>W6+U7</f>
        <v>85</v>
      </c>
      <c r="X7">
        <f t="shared" ref="X7:X39" si="6">W7/W$39*100</f>
        <v>21.478205938092231</v>
      </c>
      <c r="Y7">
        <f t="shared" ref="Y7:Y39" si="7">V7/V$39*100</f>
        <v>5.8823529411764701</v>
      </c>
      <c r="Z7">
        <f>(Y7+Y6)/2*(X7-X6)/100</f>
        <v>0.4459143101334026</v>
      </c>
      <c r="AE7">
        <v>45</v>
      </c>
      <c r="AF7">
        <v>2</v>
      </c>
      <c r="AG7">
        <f>AG6+AE7</f>
        <v>110</v>
      </c>
      <c r="AH7">
        <f t="shared" ref="AH7:AH47" si="8">AG7/AG$47*100</f>
        <v>21.764938662445587</v>
      </c>
      <c r="AI7">
        <f t="shared" ref="AI7:AI47" si="9">AF7/AF$47*100</f>
        <v>4.7619047619047619</v>
      </c>
      <c r="AJ7">
        <f t="shared" ref="AJ7:AJ47" si="10">(AI7+AI6)/2*(AH7-AH6)/100</f>
        <v>0.31799423370456215</v>
      </c>
      <c r="AO7">
        <v>22</v>
      </c>
      <c r="AP7">
        <v>2</v>
      </c>
      <c r="AQ7">
        <f>AQ6+AO7</f>
        <v>49</v>
      </c>
      <c r="AR7">
        <f t="shared" ref="AR7:AR42" si="11">AQ7/AQ$42*100</f>
        <v>16.110471806674337</v>
      </c>
      <c r="AS7">
        <f t="shared" ref="AS7:AS42" si="12">AP7/AP$42*100</f>
        <v>5.4054054054054053</v>
      </c>
      <c r="AT7">
        <f t="shared" ref="AT7:AT42" si="13">(AS7+AS6)/2*(AR7-AR6)/100</f>
        <v>0.29324079956991345</v>
      </c>
      <c r="AY7">
        <v>25</v>
      </c>
      <c r="AZ7">
        <v>2</v>
      </c>
      <c r="BA7">
        <f>BA6+AY7</f>
        <v>55</v>
      </c>
      <c r="BB7">
        <f t="shared" ref="BB7:BB36" si="14">BA7/BA$36*100</f>
        <v>17.14196665108306</v>
      </c>
      <c r="BC7">
        <f t="shared" ref="BC7:BC36" si="15">AZ7/AZ$36*100</f>
        <v>6.4516129032258061</v>
      </c>
      <c r="BD7">
        <f t="shared" ref="BD7:BD36" si="16">(BC7+BC6)/2*(BB7-BB6)/100</f>
        <v>0.37702272692997929</v>
      </c>
      <c r="BI7">
        <v>15</v>
      </c>
      <c r="BJ7">
        <v>2</v>
      </c>
      <c r="BK7">
        <f>BK6+BI7</f>
        <v>40</v>
      </c>
      <c r="BL7">
        <f t="shared" ref="BL7:BL36" si="17">BK7/BK$36*100</f>
        <v>19.024970273483948</v>
      </c>
      <c r="BM7">
        <f t="shared" ref="BM7:BM36" si="18">BJ7/BJ$36*100</f>
        <v>6.4516129032258061</v>
      </c>
      <c r="BN7">
        <f t="shared" ref="BN7:BN36" si="19">(BM7+BM6)/2*(BL7-BL6)/100</f>
        <v>0.34521115415595871</v>
      </c>
      <c r="BS7">
        <v>11</v>
      </c>
      <c r="BT7">
        <v>2</v>
      </c>
      <c r="BU7">
        <f>BU6+BS7</f>
        <v>36</v>
      </c>
      <c r="BV7">
        <f t="shared" ref="BV7:BV36" si="20">BU7/BU$36*100</f>
        <v>27.533460803059274</v>
      </c>
      <c r="BW7">
        <f t="shared" ref="BW7:BW36" si="21">BT7/BT$36*100</f>
        <v>6.4516129032258061</v>
      </c>
      <c r="BX7">
        <f t="shared" ref="BX7:BX36" si="22">(BW7+BW6)/2*(BV7-BV6)/100</f>
        <v>0.40708073767963976</v>
      </c>
      <c r="CC7">
        <v>9</v>
      </c>
      <c r="CD7">
        <v>2</v>
      </c>
      <c r="CE7">
        <f>CE6+CC7</f>
        <v>22</v>
      </c>
      <c r="CF7">
        <f t="shared" ref="CF7:CF32" si="23">CE7/CE$33*100</f>
        <v>19.909502262443439</v>
      </c>
      <c r="CG7">
        <f t="shared" ref="CG7:CG33" si="24">CD7/CD$33*100</f>
        <v>7.1428571428571423</v>
      </c>
      <c r="CH7">
        <f t="shared" ref="CH7:CH33" si="25">(CG7+CG6)/2*(CF7-CF6)/100</f>
        <v>0.4363283775048481</v>
      </c>
      <c r="CM7">
        <v>6</v>
      </c>
      <c r="CN7">
        <v>2</v>
      </c>
      <c r="CO7">
        <f>CO6+CM7</f>
        <v>13</v>
      </c>
      <c r="CP7">
        <f t="shared" ref="CP7:CP42" si="26">CO7/CO$42*100</f>
        <v>13.367609254498714</v>
      </c>
      <c r="CQ7">
        <f t="shared" ref="CQ7:CQ41" si="27">CN7/CN$42*100</f>
        <v>5.4054054054054053</v>
      </c>
      <c r="CR7">
        <f t="shared" ref="CR7:CR42" si="28">(CQ7+CQ6)/2*(CP7-CP6)/100</f>
        <v>0.25012158688251229</v>
      </c>
      <c r="CW7">
        <v>18</v>
      </c>
      <c r="CX7">
        <v>2</v>
      </c>
      <c r="CY7">
        <f>CY6+CW7</f>
        <v>48</v>
      </c>
      <c r="CZ7">
        <f t="shared" ref="CZ7:CZ36" si="29">CY7/CY$36*100</f>
        <v>26.251025430680887</v>
      </c>
      <c r="DA7">
        <f t="shared" ref="DA7:DA36" si="30">CX7/CX$36*100</f>
        <v>6.4516129032258061</v>
      </c>
      <c r="DB7">
        <f t="shared" ref="DB7:DB36" si="31">(DA7+DA6)/2*(CZ7-CZ6)/100</f>
        <v>0.47632909047606442</v>
      </c>
      <c r="DG7">
        <v>10</v>
      </c>
      <c r="DH7">
        <v>2</v>
      </c>
      <c r="DI7">
        <f>DI6+DG7</f>
        <v>25</v>
      </c>
      <c r="DJ7">
        <f t="shared" ref="DJ7:DJ34" si="32">DI7/DI$34*100</f>
        <v>18.395879323031643</v>
      </c>
      <c r="DK7">
        <f t="shared" ref="DK7:DK34" si="33">DH7/DH$34*100</f>
        <v>6.8965517241379306</v>
      </c>
      <c r="DL7">
        <f t="shared" ref="DL7:DL8" si="34">(DK7+DK6)/2*(DJ7-DJ6)/100</f>
        <v>0.38060439978686167</v>
      </c>
      <c r="DQ7">
        <v>8</v>
      </c>
      <c r="DR7">
        <v>2</v>
      </c>
      <c r="DS7">
        <f>DS6+DQ7</f>
        <v>20</v>
      </c>
      <c r="DT7">
        <f t="shared" ref="DT7:DT34" si="35">DS7/DS$34*100</f>
        <v>20.84418968212611</v>
      </c>
      <c r="DU7">
        <f t="shared" ref="DU7:DU34" si="36">DR7/DR$34*100</f>
        <v>6.8965517241379306</v>
      </c>
      <c r="DV7">
        <f t="shared" ref="DV7:DV8" si="37">(DU7+DU6)/2*(DT7-DT6)/100</f>
        <v>0.43125909687157477</v>
      </c>
      <c r="EA7">
        <v>8</v>
      </c>
      <c r="EB7">
        <v>2</v>
      </c>
      <c r="EC7">
        <f>EC6+EA7</f>
        <v>16.5</v>
      </c>
      <c r="ED7">
        <f t="shared" ref="ED7:ED40" si="38">EC7/EC$40*100</f>
        <v>24.7376311844078</v>
      </c>
      <c r="EE7">
        <f t="shared" ref="EE7:EE40" si="39">EB7/EB$40*100</f>
        <v>5.7142857142857144</v>
      </c>
      <c r="EF7">
        <f t="shared" ref="EF7:EF8" si="40">(EE7+EE6)/2*(ED7-ED6)/100</f>
        <v>0.51402869993574651</v>
      </c>
      <c r="EK7">
        <v>10</v>
      </c>
      <c r="EL7">
        <v>2</v>
      </c>
      <c r="EM7">
        <f>EM6+EK7</f>
        <v>25</v>
      </c>
      <c r="EN7">
        <f t="shared" ref="EN7:EN41" si="41">EM7/EM$41*100</f>
        <v>17.857142857142858</v>
      </c>
      <c r="EO7">
        <f t="shared" ref="EO7:EO40" si="42">EL7/EL$41*100</f>
        <v>5.5555555555555554</v>
      </c>
      <c r="EP7">
        <f t="shared" ref="EP7:EP8" si="43">(EO7+EO6)/2*(EN7-EN6)/100</f>
        <v>0.29761904761904762</v>
      </c>
      <c r="EU7">
        <v>10</v>
      </c>
      <c r="EV7">
        <v>2</v>
      </c>
      <c r="EW7">
        <f>EW6+EU7</f>
        <v>21</v>
      </c>
      <c r="EX7">
        <f t="shared" ref="EX7:EX33" si="44">EW7/EW$33*100</f>
        <v>23.076923076923077</v>
      </c>
      <c r="EY7">
        <f t="shared" ref="EY7:EY33" si="45">EV7/EV$33*100</f>
        <v>7.1428571428571423</v>
      </c>
      <c r="EZ7">
        <f t="shared" ref="EZ7:EZ8" si="46">(EY7+EY6)/2*(EX7-EX6)/100</f>
        <v>0.58869701726844581</v>
      </c>
      <c r="FE7">
        <v>9</v>
      </c>
      <c r="FF7">
        <v>2</v>
      </c>
      <c r="FG7">
        <f>FG6+FE7</f>
        <v>23</v>
      </c>
      <c r="FH7">
        <f t="shared" ref="FH7:FH37" si="47">FG7/FG$37*100</f>
        <v>20.309050772626932</v>
      </c>
      <c r="FI7">
        <f t="shared" ref="FI7:FI37" si="48">FF7/FF$37*100</f>
        <v>6.25</v>
      </c>
      <c r="FJ7">
        <f t="shared" ref="FJ7:FJ8" si="49">(FI7+FI6)/2*(FH7-FH6)/100</f>
        <v>0.37251655629139074</v>
      </c>
      <c r="FO7">
        <v>7.5</v>
      </c>
      <c r="FP7">
        <v>2</v>
      </c>
      <c r="FQ7">
        <f>FQ6+FO7</f>
        <v>16.5</v>
      </c>
      <c r="FR7">
        <f t="shared" ref="FR7:FR38" si="50">FQ7/FQ$38*100</f>
        <v>14.09052092228864</v>
      </c>
      <c r="FS7">
        <f t="shared" ref="FS7:FS38" si="51">FP7/FP$38*100</f>
        <v>6.0606060606060606</v>
      </c>
      <c r="FT7">
        <f t="shared" ref="FT7:FT8" si="52">(FS7+FS6)/2*(FR7-FR6)/100</f>
        <v>0.29112646533654213</v>
      </c>
      <c r="FY7">
        <v>4</v>
      </c>
      <c r="FZ7">
        <v>2</v>
      </c>
      <c r="GA7">
        <f>GA6+FY7</f>
        <v>14</v>
      </c>
      <c r="GB7">
        <f t="shared" ref="GB7:GB33" si="53">GA7/GA$33*100</f>
        <v>26.641294005708851</v>
      </c>
      <c r="GC7">
        <f t="shared" ref="GC7:GC33" si="54">FZ7/FZ$33*100</f>
        <v>7.1428571428571423</v>
      </c>
      <c r="GD7">
        <f t="shared" ref="GD7:GD8" si="55">(GC7+GC6)/2*(GB7-GB6)/100</f>
        <v>0.40777490825064566</v>
      </c>
      <c r="GI7">
        <v>9</v>
      </c>
      <c r="GJ7">
        <v>2</v>
      </c>
      <c r="GK7">
        <f>GK6+GI7</f>
        <v>21</v>
      </c>
      <c r="GL7">
        <f t="shared" ref="GL7:GL38" si="56">GK7/GK$38*100</f>
        <v>18.708240534521163</v>
      </c>
      <c r="GM7">
        <f t="shared" ref="GM7:GM38" si="57">GJ7/GJ$38*100</f>
        <v>6.0606060606060606</v>
      </c>
      <c r="GN7">
        <f t="shared" ref="GN7:GN8" si="58">(GM7+GM6)/2*(GL7-GL6)/100</f>
        <v>0.36444624417898369</v>
      </c>
    </row>
    <row r="8" spans="1:199" x14ac:dyDescent="0.2">
      <c r="A8">
        <v>50</v>
      </c>
      <c r="B8">
        <v>3</v>
      </c>
      <c r="C8">
        <f t="shared" ref="C8:C41" si="59">C7+A8</f>
        <v>160</v>
      </c>
      <c r="D8">
        <f t="shared" si="0"/>
        <v>28.712427097353071</v>
      </c>
      <c r="E8">
        <f t="shared" si="1"/>
        <v>8.3333333333333321</v>
      </c>
      <c r="F8">
        <f t="shared" si="2"/>
        <v>0.62309954638352993</v>
      </c>
      <c r="K8">
        <v>33</v>
      </c>
      <c r="L8">
        <v>3</v>
      </c>
      <c r="M8">
        <f t="shared" ref="M8:M35" si="60">M7+K8</f>
        <v>121</v>
      </c>
      <c r="N8">
        <f t="shared" si="3"/>
        <v>26.993865030674847</v>
      </c>
      <c r="O8">
        <f t="shared" si="4"/>
        <v>10</v>
      </c>
      <c r="P8">
        <f t="shared" si="5"/>
        <v>0.61349693251533755</v>
      </c>
      <c r="U8">
        <v>28</v>
      </c>
      <c r="V8">
        <v>3</v>
      </c>
      <c r="W8">
        <f t="shared" ref="W8:W39" si="61">W7+U8</f>
        <v>113</v>
      </c>
      <c r="X8">
        <f t="shared" si="6"/>
        <v>28.553379658875556</v>
      </c>
      <c r="Y8">
        <f t="shared" si="7"/>
        <v>8.8235294117647065</v>
      </c>
      <c r="Z8">
        <f t="shared" ref="Z8:Z39" si="62">(Y8+Y7)/2*(X8-X7)/100</f>
        <v>0.5202333618223034</v>
      </c>
      <c r="AE8">
        <v>45</v>
      </c>
      <c r="AF8">
        <v>3</v>
      </c>
      <c r="AG8">
        <f t="shared" ref="AG8:AG47" si="63">AG7+AE8</f>
        <v>155</v>
      </c>
      <c r="AH8">
        <f t="shared" si="8"/>
        <v>30.668777206173331</v>
      </c>
      <c r="AI8">
        <f t="shared" si="9"/>
        <v>7.1428571428571423</v>
      </c>
      <c r="AJ8">
        <f t="shared" si="10"/>
        <v>0.5299903895076038</v>
      </c>
      <c r="AO8">
        <v>20</v>
      </c>
      <c r="AP8">
        <v>3</v>
      </c>
      <c r="AQ8">
        <f t="shared" ref="AQ8:AQ42" si="64">AQ7+AO8</f>
        <v>69</v>
      </c>
      <c r="AR8">
        <f t="shared" si="11"/>
        <v>22.686174584908763</v>
      </c>
      <c r="AS8">
        <f t="shared" si="12"/>
        <v>8.1081081081081088</v>
      </c>
      <c r="AT8">
        <f t="shared" si="13"/>
        <v>0.44430424177259636</v>
      </c>
      <c r="AY8">
        <v>25</v>
      </c>
      <c r="AZ8">
        <v>3</v>
      </c>
      <c r="BA8">
        <f t="shared" ref="BA8:BA36" si="65">BA7+AY8</f>
        <v>80</v>
      </c>
      <c r="BB8">
        <f t="shared" si="14"/>
        <v>24.933769674302635</v>
      </c>
      <c r="BC8">
        <f t="shared" si="15"/>
        <v>9.67741935483871</v>
      </c>
      <c r="BD8">
        <f t="shared" si="16"/>
        <v>0.62837121154996578</v>
      </c>
      <c r="BI8">
        <v>15</v>
      </c>
      <c r="BJ8">
        <v>3</v>
      </c>
      <c r="BK8">
        <f t="shared" ref="BK8:BK36" si="66">BK7+BI8</f>
        <v>55</v>
      </c>
      <c r="BL8">
        <f t="shared" si="17"/>
        <v>26.159334126040427</v>
      </c>
      <c r="BM8">
        <f t="shared" si="18"/>
        <v>9.67741935483871</v>
      </c>
      <c r="BN8">
        <f t="shared" si="19"/>
        <v>0.57535192359326448</v>
      </c>
      <c r="BS8">
        <v>11</v>
      </c>
      <c r="BT8">
        <v>3</v>
      </c>
      <c r="BU8">
        <f t="shared" ref="BU8:BU11" si="67">BU7+BS8</f>
        <v>47</v>
      </c>
      <c r="BV8">
        <f t="shared" si="20"/>
        <v>35.946462715105163</v>
      </c>
      <c r="BW8">
        <f t="shared" si="21"/>
        <v>9.67741935483871</v>
      </c>
      <c r="BX8">
        <f t="shared" si="22"/>
        <v>0.67846789613273306</v>
      </c>
      <c r="CC8">
        <v>9</v>
      </c>
      <c r="CD8">
        <v>3</v>
      </c>
      <c r="CE8">
        <f t="shared" ref="CE8:CE11" si="68">CE7+CC8</f>
        <v>31</v>
      </c>
      <c r="CF8">
        <f t="shared" si="23"/>
        <v>28.054298642533936</v>
      </c>
      <c r="CG8">
        <f t="shared" si="24"/>
        <v>10.714285714285714</v>
      </c>
      <c r="CH8">
        <f t="shared" si="25"/>
        <v>0.72721396250808001</v>
      </c>
      <c r="CM8">
        <v>6</v>
      </c>
      <c r="CN8">
        <v>3</v>
      </c>
      <c r="CO8">
        <f t="shared" ref="CO8:CO11" si="69">CO7+CM8</f>
        <v>19</v>
      </c>
      <c r="CP8">
        <f t="shared" si="26"/>
        <v>19.537275064267352</v>
      </c>
      <c r="CQ8">
        <f t="shared" si="27"/>
        <v>8.1081081081081088</v>
      </c>
      <c r="CR8">
        <f t="shared" si="28"/>
        <v>0.41686931147085393</v>
      </c>
      <c r="CW8">
        <v>18</v>
      </c>
      <c r="CX8">
        <v>3</v>
      </c>
      <c r="CY8">
        <f t="shared" ref="CY8:CY11" si="70">CY7+CW8</f>
        <v>66</v>
      </c>
      <c r="CZ8">
        <f t="shared" si="29"/>
        <v>36.09515996718622</v>
      </c>
      <c r="DA8">
        <f t="shared" si="30"/>
        <v>9.67741935483871</v>
      </c>
      <c r="DB8">
        <f t="shared" si="31"/>
        <v>0.79388181746010744</v>
      </c>
      <c r="DG8">
        <v>10</v>
      </c>
      <c r="DH8">
        <v>3</v>
      </c>
      <c r="DI8">
        <f t="shared" ref="DI8:DI11" si="71">DI7+DG8</f>
        <v>35</v>
      </c>
      <c r="DJ8">
        <f t="shared" si="32"/>
        <v>25.754231052244297</v>
      </c>
      <c r="DK8">
        <f t="shared" si="33"/>
        <v>10.344827586206897</v>
      </c>
      <c r="DL8">
        <f t="shared" si="34"/>
        <v>0.6343406663114356</v>
      </c>
      <c r="DQ8">
        <v>6</v>
      </c>
      <c r="DR8">
        <v>3</v>
      </c>
      <c r="DS8">
        <f t="shared" ref="DS8" si="72">DS7+DQ8</f>
        <v>26</v>
      </c>
      <c r="DT8">
        <f t="shared" si="35"/>
        <v>27.09744658676394</v>
      </c>
      <c r="DU8">
        <f t="shared" si="36"/>
        <v>10.344827586206897</v>
      </c>
      <c r="DV8">
        <f t="shared" si="37"/>
        <v>0.53907387108946803</v>
      </c>
      <c r="EA8">
        <v>5</v>
      </c>
      <c r="EB8">
        <v>3</v>
      </c>
      <c r="EC8">
        <f t="shared" ref="EC8" si="73">EC7+EA8</f>
        <v>21.5</v>
      </c>
      <c r="ED8">
        <f t="shared" si="38"/>
        <v>32.233883058470767</v>
      </c>
      <c r="EE8">
        <f t="shared" si="39"/>
        <v>8.5714285714285712</v>
      </c>
      <c r="EF8">
        <f t="shared" si="40"/>
        <v>0.53544656243306898</v>
      </c>
      <c r="EK8">
        <v>9</v>
      </c>
      <c r="EL8">
        <v>3</v>
      </c>
      <c r="EM8">
        <f t="shared" ref="EM8" si="74">EM7+EK8</f>
        <v>34</v>
      </c>
      <c r="EN8">
        <f t="shared" si="41"/>
        <v>24.285714285714285</v>
      </c>
      <c r="EO8">
        <f t="shared" si="42"/>
        <v>8.3333333333333321</v>
      </c>
      <c r="EP8">
        <f t="shared" si="43"/>
        <v>0.44642857142857123</v>
      </c>
      <c r="EU8">
        <v>7.5</v>
      </c>
      <c r="EV8">
        <v>3</v>
      </c>
      <c r="EW8">
        <f t="shared" ref="EW8" si="75">EW7+EU8</f>
        <v>28.5</v>
      </c>
      <c r="EX8">
        <f t="shared" si="44"/>
        <v>31.318681318681318</v>
      </c>
      <c r="EY8">
        <f t="shared" si="45"/>
        <v>10.714285714285714</v>
      </c>
      <c r="EZ8">
        <f t="shared" si="46"/>
        <v>0.73587127158555721</v>
      </c>
      <c r="FE8">
        <v>8</v>
      </c>
      <c r="FF8">
        <v>3</v>
      </c>
      <c r="FG8">
        <f t="shared" ref="FG8" si="76">FG7+FE8</f>
        <v>31</v>
      </c>
      <c r="FH8">
        <f t="shared" si="47"/>
        <v>27.373068432671083</v>
      </c>
      <c r="FI8">
        <f t="shared" si="48"/>
        <v>9.375</v>
      </c>
      <c r="FJ8">
        <f t="shared" si="49"/>
        <v>0.55187637969094927</v>
      </c>
      <c r="FO8">
        <v>7</v>
      </c>
      <c r="FP8">
        <v>3</v>
      </c>
      <c r="FQ8">
        <f t="shared" ref="FQ8" si="77">FQ7+FO8</f>
        <v>23.5</v>
      </c>
      <c r="FR8">
        <f t="shared" si="50"/>
        <v>20.068317677198973</v>
      </c>
      <c r="FS8">
        <f t="shared" si="51"/>
        <v>9.0909090909090917</v>
      </c>
      <c r="FT8">
        <f t="shared" si="52"/>
        <v>0.4528633905235101</v>
      </c>
      <c r="FY8">
        <v>3.5</v>
      </c>
      <c r="FZ8">
        <v>3</v>
      </c>
      <c r="GA8">
        <f t="shared" ref="GA8" si="78">GA7+FY8</f>
        <v>17.5</v>
      </c>
      <c r="GB8">
        <f t="shared" si="53"/>
        <v>33.301617507136058</v>
      </c>
      <c r="GC8">
        <f t="shared" si="54"/>
        <v>10.714285714285714</v>
      </c>
      <c r="GD8">
        <f t="shared" si="55"/>
        <v>0.59467174119885768</v>
      </c>
      <c r="GI8">
        <v>9</v>
      </c>
      <c r="GJ8">
        <v>3</v>
      </c>
      <c r="GK8">
        <f t="shared" ref="GK8" si="79">GK7+GI8</f>
        <v>30</v>
      </c>
      <c r="GL8">
        <f t="shared" si="56"/>
        <v>26.726057906458799</v>
      </c>
      <c r="GM8">
        <f t="shared" si="57"/>
        <v>9.0909090909090917</v>
      </c>
      <c r="GN8">
        <f t="shared" si="58"/>
        <v>0.60741040696497239</v>
      </c>
    </row>
    <row r="9" spans="1:199" x14ac:dyDescent="0.2">
      <c r="A9">
        <v>40</v>
      </c>
      <c r="B9">
        <v>4</v>
      </c>
      <c r="C9">
        <f t="shared" si="59"/>
        <v>200</v>
      </c>
      <c r="D9">
        <f t="shared" si="0"/>
        <v>35.890533871691346</v>
      </c>
      <c r="E9">
        <f t="shared" si="1"/>
        <v>11.111111111111111</v>
      </c>
      <c r="F9">
        <f t="shared" si="2"/>
        <v>0.69787149194955445</v>
      </c>
      <c r="K9">
        <v>30</v>
      </c>
      <c r="L9">
        <v>4</v>
      </c>
      <c r="M9">
        <f t="shared" si="60"/>
        <v>151</v>
      </c>
      <c r="N9">
        <f t="shared" si="3"/>
        <v>33.68655883993307</v>
      </c>
      <c r="O9">
        <f t="shared" si="4"/>
        <v>13.333333333333334</v>
      </c>
      <c r="P9">
        <f t="shared" si="5"/>
        <v>0.7808142777467928</v>
      </c>
      <c r="U9">
        <v>26</v>
      </c>
      <c r="V9">
        <v>4</v>
      </c>
      <c r="W9">
        <f t="shared" si="61"/>
        <v>139</v>
      </c>
      <c r="X9">
        <f t="shared" si="6"/>
        <v>35.123183828174355</v>
      </c>
      <c r="Y9">
        <f t="shared" si="7"/>
        <v>11.76470588235294</v>
      </c>
      <c r="Z9">
        <f t="shared" si="62"/>
        <v>0.67630337036899391</v>
      </c>
      <c r="AE9">
        <v>34</v>
      </c>
      <c r="AF9">
        <v>4</v>
      </c>
      <c r="AG9">
        <f t="shared" si="63"/>
        <v>189</v>
      </c>
      <c r="AH9">
        <f t="shared" si="8"/>
        <v>37.396121883656512</v>
      </c>
      <c r="AI9">
        <f t="shared" si="9"/>
        <v>9.5238095238095237</v>
      </c>
      <c r="AJ9">
        <f t="shared" si="10"/>
        <v>0.56061205645693168</v>
      </c>
      <c r="AO9">
        <v>19</v>
      </c>
      <c r="AP9">
        <v>4</v>
      </c>
      <c r="AQ9">
        <f t="shared" si="64"/>
        <v>88</v>
      </c>
      <c r="AR9">
        <f t="shared" si="11"/>
        <v>28.933092224231459</v>
      </c>
      <c r="AS9">
        <f t="shared" si="12"/>
        <v>10.810810810810811</v>
      </c>
      <c r="AT9">
        <f t="shared" si="13"/>
        <v>0.59092464155755231</v>
      </c>
      <c r="AY9">
        <v>23</v>
      </c>
      <c r="AZ9">
        <v>4</v>
      </c>
      <c r="BA9">
        <f t="shared" si="65"/>
        <v>103</v>
      </c>
      <c r="BB9">
        <f t="shared" si="14"/>
        <v>32.102228455664637</v>
      </c>
      <c r="BC9">
        <f t="shared" si="15"/>
        <v>12.903225806451612</v>
      </c>
      <c r="BD9">
        <f t="shared" si="16"/>
        <v>0.80934212047635501</v>
      </c>
      <c r="BI9">
        <v>14</v>
      </c>
      <c r="BJ9">
        <v>4</v>
      </c>
      <c r="BK9">
        <f t="shared" si="66"/>
        <v>69</v>
      </c>
      <c r="BL9">
        <f t="shared" si="17"/>
        <v>32.818073721759809</v>
      </c>
      <c r="BM9">
        <f t="shared" si="18"/>
        <v>12.903225806451612</v>
      </c>
      <c r="BN9">
        <f t="shared" si="19"/>
        <v>0.75179318016186558</v>
      </c>
      <c r="BS9">
        <v>9</v>
      </c>
      <c r="BT9">
        <v>4</v>
      </c>
      <c r="BU9">
        <f t="shared" si="67"/>
        <v>56</v>
      </c>
      <c r="BV9">
        <f t="shared" si="20"/>
        <v>42.829827915869984</v>
      </c>
      <c r="BW9">
        <f t="shared" si="21"/>
        <v>12.903225806451612</v>
      </c>
      <c r="BX9">
        <f t="shared" si="22"/>
        <v>0.77715413557022162</v>
      </c>
      <c r="CC9">
        <v>7.5</v>
      </c>
      <c r="CD9">
        <v>4</v>
      </c>
      <c r="CE9">
        <f t="shared" si="68"/>
        <v>38.5</v>
      </c>
      <c r="CF9">
        <f t="shared" si="23"/>
        <v>34.841628959276015</v>
      </c>
      <c r="CG9">
        <f t="shared" si="24"/>
        <v>14.285714285714285</v>
      </c>
      <c r="CH9">
        <f t="shared" si="25"/>
        <v>0.84841628959275983</v>
      </c>
      <c r="CM9">
        <v>6</v>
      </c>
      <c r="CN9">
        <v>4</v>
      </c>
      <c r="CO9">
        <f t="shared" si="69"/>
        <v>25</v>
      </c>
      <c r="CP9">
        <f t="shared" si="26"/>
        <v>25.70694087403599</v>
      </c>
      <c r="CQ9">
        <f t="shared" si="27"/>
        <v>10.810810810810811</v>
      </c>
      <c r="CR9">
        <f t="shared" si="28"/>
        <v>0.58361703605919546</v>
      </c>
      <c r="CW9">
        <v>17</v>
      </c>
      <c r="CX9">
        <v>4</v>
      </c>
      <c r="CY9">
        <f t="shared" si="70"/>
        <v>83</v>
      </c>
      <c r="CZ9">
        <f t="shared" si="29"/>
        <v>45.392398140552366</v>
      </c>
      <c r="DA9">
        <f t="shared" si="30"/>
        <v>12.903225806451612</v>
      </c>
      <c r="DB9">
        <f>(DA9+DA8)/2*(CZ9-CZ8)/100</f>
        <v>1.0496881808639196</v>
      </c>
      <c r="DG9">
        <v>9</v>
      </c>
      <c r="DH9">
        <v>4</v>
      </c>
      <c r="DI9">
        <f>DI8+DG9</f>
        <v>44</v>
      </c>
      <c r="DJ9">
        <f t="shared" si="32"/>
        <v>32.376747608535688</v>
      </c>
      <c r="DK9">
        <f t="shared" si="33"/>
        <v>13.793103448275861</v>
      </c>
      <c r="DL9">
        <f>(DK9+DK8)/2*(DJ9-DJ8)/100</f>
        <v>0.79926923955240925</v>
      </c>
      <c r="DQ9">
        <v>5</v>
      </c>
      <c r="DR9">
        <v>4</v>
      </c>
      <c r="DS9">
        <f>DS8+DQ9</f>
        <v>31</v>
      </c>
      <c r="DT9">
        <f t="shared" si="35"/>
        <v>32.308494007295465</v>
      </c>
      <c r="DU9">
        <f t="shared" si="36"/>
        <v>13.793103448275861</v>
      </c>
      <c r="DV9">
        <f>(DU9+DU8)/2*(DT9-DT8)/100</f>
        <v>0.62891951627104614</v>
      </c>
      <c r="EA9">
        <v>3.5</v>
      </c>
      <c r="EB9">
        <v>4</v>
      </c>
      <c r="EC9">
        <f>EC8+EA9</f>
        <v>25</v>
      </c>
      <c r="ED9">
        <f t="shared" si="38"/>
        <v>37.481259370314852</v>
      </c>
      <c r="EE9">
        <f t="shared" si="39"/>
        <v>11.428571428571429</v>
      </c>
      <c r="EF9">
        <f>(EE9+EE8)/2*(ED9-ED8)/100</f>
        <v>0.52473763118440853</v>
      </c>
      <c r="EK9">
        <v>9</v>
      </c>
      <c r="EL9">
        <v>4</v>
      </c>
      <c r="EM9">
        <f>EM8+EK9</f>
        <v>43</v>
      </c>
      <c r="EN9">
        <f t="shared" si="41"/>
        <v>30.714285714285715</v>
      </c>
      <c r="EO9">
        <f t="shared" si="42"/>
        <v>11.111111111111111</v>
      </c>
      <c r="EP9">
        <f>(EO9+EO8)/2*(EN9-EN8)/100</f>
        <v>0.62500000000000011</v>
      </c>
      <c r="EU9">
        <v>6</v>
      </c>
      <c r="EV9">
        <v>4</v>
      </c>
      <c r="EW9">
        <f>EW8+EU9</f>
        <v>34.5</v>
      </c>
      <c r="EX9">
        <f t="shared" si="44"/>
        <v>37.912087912087912</v>
      </c>
      <c r="EY9">
        <f t="shared" si="45"/>
        <v>14.285714285714285</v>
      </c>
      <c r="EZ9">
        <f>(EY9+EY8)/2*(EX9-EX8)/100</f>
        <v>0.82417582417582436</v>
      </c>
      <c r="FE9">
        <v>6</v>
      </c>
      <c r="FF9">
        <v>4</v>
      </c>
      <c r="FG9">
        <f>FG8+FE9</f>
        <v>37</v>
      </c>
      <c r="FH9">
        <f t="shared" si="47"/>
        <v>32.671081677704194</v>
      </c>
      <c r="FI9">
        <f t="shared" si="48"/>
        <v>12.5</v>
      </c>
      <c r="FJ9">
        <f>(FI9+FI8)/2*(FH9-FH8)/100</f>
        <v>0.57947019867549654</v>
      </c>
      <c r="FO9">
        <v>7</v>
      </c>
      <c r="FP9">
        <v>4</v>
      </c>
      <c r="FQ9">
        <f>FQ8+FO9</f>
        <v>30.5</v>
      </c>
      <c r="FR9">
        <f t="shared" si="50"/>
        <v>26.046114432109306</v>
      </c>
      <c r="FS9">
        <f t="shared" si="51"/>
        <v>12.121212121212121</v>
      </c>
      <c r="FT9">
        <f>(FS9+FS8)/2*(FR9-FR8)/100</f>
        <v>0.63400874673291407</v>
      </c>
      <c r="FY9">
        <v>3.5</v>
      </c>
      <c r="FZ9">
        <v>4</v>
      </c>
      <c r="GA9">
        <f>GA8+FY9</f>
        <v>21</v>
      </c>
      <c r="GB9">
        <f t="shared" si="53"/>
        <v>39.961941008563272</v>
      </c>
      <c r="GC9">
        <f t="shared" si="54"/>
        <v>14.285714285714285</v>
      </c>
      <c r="GD9">
        <f>(GC9+GC8)/2*(GB9-GB8)/100</f>
        <v>0.83254043767840191</v>
      </c>
      <c r="GI9">
        <v>9</v>
      </c>
      <c r="GJ9">
        <v>4</v>
      </c>
      <c r="GK9">
        <f>GK8+GI9</f>
        <v>39</v>
      </c>
      <c r="GL9">
        <f t="shared" si="56"/>
        <v>34.743875278396445</v>
      </c>
      <c r="GM9">
        <f t="shared" si="57"/>
        <v>12.121212121212121</v>
      </c>
      <c r="GN9">
        <f>(GM9+GM8)/2*(GL9-GL8)/100</f>
        <v>0.85037456975096248</v>
      </c>
    </row>
    <row r="10" spans="1:199" x14ac:dyDescent="0.2">
      <c r="A10">
        <v>34</v>
      </c>
      <c r="B10">
        <v>5</v>
      </c>
      <c r="C10">
        <f t="shared" si="59"/>
        <v>234</v>
      </c>
      <c r="D10">
        <f t="shared" si="0"/>
        <v>41.991924629878866</v>
      </c>
      <c r="E10">
        <f t="shared" si="1"/>
        <v>13.888888888888889</v>
      </c>
      <c r="F10">
        <f t="shared" si="2"/>
        <v>0.76267384477343991</v>
      </c>
      <c r="K10">
        <v>28</v>
      </c>
      <c r="L10">
        <v>5</v>
      </c>
      <c r="M10">
        <f t="shared" si="60"/>
        <v>179</v>
      </c>
      <c r="N10">
        <f t="shared" si="3"/>
        <v>39.933073061907422</v>
      </c>
      <c r="O10">
        <f t="shared" si="4"/>
        <v>16.666666666666664</v>
      </c>
      <c r="P10">
        <f t="shared" si="5"/>
        <v>0.93697713329615273</v>
      </c>
      <c r="U10">
        <v>25</v>
      </c>
      <c r="V10">
        <v>5</v>
      </c>
      <c r="W10">
        <f t="shared" si="61"/>
        <v>164</v>
      </c>
      <c r="X10">
        <f t="shared" si="6"/>
        <v>41.440303221730886</v>
      </c>
      <c r="Y10">
        <f t="shared" si="7"/>
        <v>14.705882352941178</v>
      </c>
      <c r="Z10">
        <f t="shared" si="62"/>
        <v>0.83608933150012898</v>
      </c>
      <c r="AE10">
        <v>25</v>
      </c>
      <c r="AF10">
        <v>5</v>
      </c>
      <c r="AG10">
        <f t="shared" si="63"/>
        <v>214</v>
      </c>
      <c r="AH10">
        <f t="shared" si="8"/>
        <v>42.342698852394143</v>
      </c>
      <c r="AI10">
        <f t="shared" si="9"/>
        <v>11.904761904761903</v>
      </c>
      <c r="AJ10">
        <f t="shared" si="10"/>
        <v>0.52999038950760324</v>
      </c>
      <c r="AO10">
        <v>17</v>
      </c>
      <c r="AP10">
        <v>5</v>
      </c>
      <c r="AQ10">
        <f t="shared" si="64"/>
        <v>105</v>
      </c>
      <c r="AR10">
        <f t="shared" si="11"/>
        <v>34.522439585730716</v>
      </c>
      <c r="AS10">
        <f t="shared" si="12"/>
        <v>13.513513513513514</v>
      </c>
      <c r="AT10">
        <f t="shared" si="13"/>
        <v>0.67978548991207177</v>
      </c>
      <c r="AY10">
        <v>22</v>
      </c>
      <c r="AZ10">
        <v>5</v>
      </c>
      <c r="BA10">
        <f t="shared" si="65"/>
        <v>125</v>
      </c>
      <c r="BB10">
        <f t="shared" si="14"/>
        <v>38.959015116097859</v>
      </c>
      <c r="BC10">
        <f t="shared" si="15"/>
        <v>16.129032258064516</v>
      </c>
      <c r="BD10">
        <f t="shared" si="16"/>
        <v>0.99533999909514526</v>
      </c>
      <c r="BI10">
        <v>12.5</v>
      </c>
      <c r="BJ10">
        <v>5</v>
      </c>
      <c r="BK10">
        <f t="shared" si="66"/>
        <v>81.5</v>
      </c>
      <c r="BL10">
        <f t="shared" si="17"/>
        <v>38.763376932223544</v>
      </c>
      <c r="BM10">
        <f t="shared" si="18"/>
        <v>16.129032258064516</v>
      </c>
      <c r="BN10">
        <f t="shared" si="19"/>
        <v>0.86302788538989683</v>
      </c>
      <c r="BS10">
        <v>8</v>
      </c>
      <c r="BT10">
        <v>5</v>
      </c>
      <c r="BU10">
        <f t="shared" si="67"/>
        <v>64</v>
      </c>
      <c r="BV10">
        <f t="shared" si="20"/>
        <v>48.948374760994263</v>
      </c>
      <c r="BW10">
        <f t="shared" si="21"/>
        <v>16.129032258064516</v>
      </c>
      <c r="BX10">
        <f t="shared" si="22"/>
        <v>0.88817615493739521</v>
      </c>
      <c r="CC10">
        <v>7</v>
      </c>
      <c r="CD10">
        <v>5</v>
      </c>
      <c r="CE10">
        <f t="shared" si="68"/>
        <v>45.5</v>
      </c>
      <c r="CF10">
        <f t="shared" si="23"/>
        <v>41.17647058823529</v>
      </c>
      <c r="CG10">
        <f t="shared" si="24"/>
        <v>17.857142857142858</v>
      </c>
      <c r="CH10">
        <f t="shared" si="25"/>
        <v>1.0180995475113119</v>
      </c>
      <c r="CM10">
        <v>6</v>
      </c>
      <c r="CN10">
        <v>5</v>
      </c>
      <c r="CO10">
        <f t="shared" si="69"/>
        <v>31</v>
      </c>
      <c r="CP10">
        <f t="shared" si="26"/>
        <v>31.876606683804624</v>
      </c>
      <c r="CQ10">
        <f t="shared" si="27"/>
        <v>13.513513513513514</v>
      </c>
      <c r="CR10">
        <f t="shared" si="28"/>
        <v>0.75036476064753654</v>
      </c>
      <c r="CW10">
        <v>16</v>
      </c>
      <c r="CX10">
        <v>5</v>
      </c>
      <c r="CY10">
        <f t="shared" si="70"/>
        <v>99</v>
      </c>
      <c r="CZ10">
        <f t="shared" si="29"/>
        <v>54.14273995077933</v>
      </c>
      <c r="DA10">
        <f t="shared" si="30"/>
        <v>16.129032258064516</v>
      </c>
      <c r="DB10">
        <f t="shared" si="31"/>
        <v>1.2702109079361721</v>
      </c>
      <c r="DG10">
        <v>9</v>
      </c>
      <c r="DH10">
        <v>5</v>
      </c>
      <c r="DI10">
        <f t="shared" si="71"/>
        <v>53</v>
      </c>
      <c r="DJ10">
        <f t="shared" si="32"/>
        <v>38.999264164827075</v>
      </c>
      <c r="DK10">
        <f t="shared" si="33"/>
        <v>17.241379310344829</v>
      </c>
      <c r="DL10">
        <f t="shared" ref="DL10:DL34" si="80">(DK10+DK9)/2*(DJ10-DJ9)/100</f>
        <v>1.0276318794245256</v>
      </c>
      <c r="DQ10">
        <v>5</v>
      </c>
      <c r="DR10">
        <v>5</v>
      </c>
      <c r="DS10">
        <f t="shared" ref="DS10:DS11" si="81">DS9+DQ10</f>
        <v>36</v>
      </c>
      <c r="DT10">
        <f t="shared" si="35"/>
        <v>37.519541427826994</v>
      </c>
      <c r="DU10">
        <f t="shared" si="36"/>
        <v>17.241379310344829</v>
      </c>
      <c r="DV10">
        <f t="shared" ref="DV10:DV34" si="82">(DU10+DU9)/2*(DT10-DT9)/100</f>
        <v>0.80861080663420271</v>
      </c>
      <c r="EA10">
        <v>3</v>
      </c>
      <c r="EB10">
        <v>5</v>
      </c>
      <c r="EC10">
        <f t="shared" ref="EC10:EC11" si="83">EC9+EA10</f>
        <v>28</v>
      </c>
      <c r="ED10">
        <f t="shared" si="38"/>
        <v>41.979010494752636</v>
      </c>
      <c r="EE10">
        <f t="shared" si="39"/>
        <v>14.285714285714285</v>
      </c>
      <c r="EF10">
        <f t="shared" ref="EF10:EF40" si="84">(EE10+EE9)/2*(ED10-ED9)/100</f>
        <v>0.57828228742771504</v>
      </c>
      <c r="EK10">
        <v>8</v>
      </c>
      <c r="EL10">
        <v>5</v>
      </c>
      <c r="EM10">
        <f t="shared" ref="EM10:EM11" si="85">EM9+EK10</f>
        <v>51</v>
      </c>
      <c r="EN10">
        <f t="shared" si="41"/>
        <v>36.428571428571423</v>
      </c>
      <c r="EO10">
        <f t="shared" si="42"/>
        <v>13.888888888888889</v>
      </c>
      <c r="EP10">
        <f t="shared" ref="EP10:EP41" si="86">(EO10+EO9)/2*(EN10-EN9)/100</f>
        <v>0.71428571428571364</v>
      </c>
      <c r="EU10">
        <v>5</v>
      </c>
      <c r="EV10">
        <v>5</v>
      </c>
      <c r="EW10">
        <f t="shared" ref="EW10:EW11" si="87">EW9+EU10</f>
        <v>39.5</v>
      </c>
      <c r="EX10">
        <f t="shared" si="44"/>
        <v>43.406593406593409</v>
      </c>
      <c r="EY10">
        <f t="shared" si="45"/>
        <v>17.857142857142858</v>
      </c>
      <c r="EZ10">
        <f t="shared" ref="EZ10:EZ33" si="88">(EY10+EY9)/2*(EX10-EX9)/100</f>
        <v>0.88304552590266894</v>
      </c>
      <c r="FE10">
        <v>6</v>
      </c>
      <c r="FF10">
        <v>5</v>
      </c>
      <c r="FG10">
        <f t="shared" ref="FG10:FG11" si="89">FG9+FE10</f>
        <v>43</v>
      </c>
      <c r="FH10">
        <f t="shared" si="47"/>
        <v>37.969094922737305</v>
      </c>
      <c r="FI10">
        <f t="shared" si="48"/>
        <v>15.625</v>
      </c>
      <c r="FJ10">
        <f t="shared" ref="FJ10:FJ37" si="90">(FI10+FI9)/2*(FH10-FH9)/100</f>
        <v>0.74503311258278127</v>
      </c>
      <c r="FO10">
        <v>7</v>
      </c>
      <c r="FP10">
        <v>5</v>
      </c>
      <c r="FQ10">
        <f t="shared" ref="FQ10:FQ11" si="91">FQ9+FO10</f>
        <v>37.5</v>
      </c>
      <c r="FR10">
        <f t="shared" si="50"/>
        <v>32.023911187019635</v>
      </c>
      <c r="FS10">
        <f t="shared" si="51"/>
        <v>15.151515151515152</v>
      </c>
      <c r="FT10">
        <f t="shared" ref="FT10:FT38" si="92">(FS10+FS9)/2*(FR10-FR9)/100</f>
        <v>0.81515410294231772</v>
      </c>
      <c r="FY10">
        <v>2.5</v>
      </c>
      <c r="FZ10">
        <v>5</v>
      </c>
      <c r="GA10">
        <f t="shared" ref="GA10:GA11" si="93">GA9+FY10</f>
        <v>23.5</v>
      </c>
      <c r="GB10">
        <f t="shared" si="53"/>
        <v>44.719314938154142</v>
      </c>
      <c r="GC10">
        <f t="shared" si="54"/>
        <v>17.857142857142858</v>
      </c>
      <c r="GD10">
        <f t="shared" ref="GD10:GD33" si="94">(GC10+GC9)/2*(GB10-GB9)/100</f>
        <v>0.76457795296996112</v>
      </c>
      <c r="GI10">
        <v>8.5</v>
      </c>
      <c r="GJ10">
        <v>5</v>
      </c>
      <c r="GK10">
        <f t="shared" ref="GK10:GK11" si="95">GK9+GI10</f>
        <v>47.5</v>
      </c>
      <c r="GL10">
        <f t="shared" si="56"/>
        <v>42.316258351893097</v>
      </c>
      <c r="GM10">
        <f t="shared" si="57"/>
        <v>15.151515151515152</v>
      </c>
      <c r="GN10">
        <f t="shared" ref="GN10:GN38" si="96">(GM10+GM9)/2*(GL10-GL9)/100</f>
        <v>1.0325976918404527</v>
      </c>
    </row>
    <row r="11" spans="1:199" x14ac:dyDescent="0.2">
      <c r="A11">
        <v>32</v>
      </c>
      <c r="B11">
        <v>6</v>
      </c>
      <c r="C11">
        <f t="shared" si="59"/>
        <v>266</v>
      </c>
      <c r="D11">
        <f t="shared" si="0"/>
        <v>47.734410049349485</v>
      </c>
      <c r="E11">
        <f t="shared" si="1"/>
        <v>16.666666666666664</v>
      </c>
      <c r="F11">
        <f t="shared" si="2"/>
        <v>0.87732416130801116</v>
      </c>
      <c r="K11">
        <v>28</v>
      </c>
      <c r="L11">
        <v>6</v>
      </c>
      <c r="M11">
        <f t="shared" si="60"/>
        <v>207</v>
      </c>
      <c r="N11">
        <f t="shared" si="3"/>
        <v>46.179587283881759</v>
      </c>
      <c r="O11">
        <f t="shared" si="4"/>
        <v>20</v>
      </c>
      <c r="P11">
        <f t="shared" si="5"/>
        <v>1.1451942740286283</v>
      </c>
      <c r="U11">
        <v>25</v>
      </c>
      <c r="V11">
        <v>6</v>
      </c>
      <c r="W11">
        <f t="shared" si="61"/>
        <v>189</v>
      </c>
      <c r="X11">
        <f t="shared" si="6"/>
        <v>47.757422615287432</v>
      </c>
      <c r="Y11">
        <f t="shared" si="7"/>
        <v>17.647058823529413</v>
      </c>
      <c r="Z11">
        <f t="shared" si="62"/>
        <v>1.0218869607223826</v>
      </c>
      <c r="AE11">
        <v>25</v>
      </c>
      <c r="AF11">
        <v>6</v>
      </c>
      <c r="AG11">
        <f t="shared" si="63"/>
        <v>239</v>
      </c>
      <c r="AH11">
        <f t="shared" si="8"/>
        <v>47.289275821131774</v>
      </c>
      <c r="AI11">
        <f t="shared" si="9"/>
        <v>14.285714285714285</v>
      </c>
      <c r="AJ11">
        <f t="shared" si="10"/>
        <v>0.64776603162040403</v>
      </c>
      <c r="AO11">
        <v>15</v>
      </c>
      <c r="AP11">
        <v>6</v>
      </c>
      <c r="AQ11">
        <f t="shared" si="64"/>
        <v>120</v>
      </c>
      <c r="AR11">
        <f t="shared" si="11"/>
        <v>39.454216669406541</v>
      </c>
      <c r="AS11">
        <f t="shared" si="12"/>
        <v>16.216216216216218</v>
      </c>
      <c r="AT11">
        <f t="shared" si="13"/>
        <v>0.73310199892478489</v>
      </c>
      <c r="AY11">
        <v>18</v>
      </c>
      <c r="AZ11">
        <v>6</v>
      </c>
      <c r="BA11">
        <f t="shared" si="65"/>
        <v>143</v>
      </c>
      <c r="BB11">
        <f t="shared" si="14"/>
        <v>44.569113292815956</v>
      </c>
      <c r="BC11">
        <f t="shared" si="15"/>
        <v>19.35483870967742</v>
      </c>
      <c r="BD11">
        <f t="shared" si="16"/>
        <v>0.99533999909514614</v>
      </c>
      <c r="BI11">
        <v>12</v>
      </c>
      <c r="BJ11">
        <v>6</v>
      </c>
      <c r="BK11">
        <f t="shared" si="66"/>
        <v>93.5</v>
      </c>
      <c r="BL11">
        <f t="shared" si="17"/>
        <v>44.470868014268724</v>
      </c>
      <c r="BM11">
        <f t="shared" si="18"/>
        <v>19.35483870967742</v>
      </c>
      <c r="BN11">
        <f t="shared" si="19"/>
        <v>1.012619385524145</v>
      </c>
      <c r="BS11">
        <v>8</v>
      </c>
      <c r="BT11">
        <v>6</v>
      </c>
      <c r="BU11">
        <f t="shared" si="67"/>
        <v>72</v>
      </c>
      <c r="BV11">
        <f t="shared" si="20"/>
        <v>55.066921606118548</v>
      </c>
      <c r="BW11">
        <f t="shared" si="21"/>
        <v>19.35483870967742</v>
      </c>
      <c r="BX11">
        <f t="shared" si="22"/>
        <v>1.0855486338123732</v>
      </c>
      <c r="CC11">
        <v>6.5</v>
      </c>
      <c r="CD11">
        <v>6</v>
      </c>
      <c r="CE11">
        <f t="shared" si="68"/>
        <v>52</v>
      </c>
      <c r="CF11">
        <f t="shared" si="23"/>
        <v>47.058823529411761</v>
      </c>
      <c r="CG11">
        <f t="shared" si="24"/>
        <v>21.428571428571427</v>
      </c>
      <c r="CH11">
        <f t="shared" si="25"/>
        <v>1.1554621848739497</v>
      </c>
      <c r="CM11">
        <v>5</v>
      </c>
      <c r="CN11">
        <v>6</v>
      </c>
      <c r="CO11">
        <f t="shared" si="69"/>
        <v>36</v>
      </c>
      <c r="CP11">
        <f t="shared" si="26"/>
        <v>37.017994858611821</v>
      </c>
      <c r="CQ11">
        <f t="shared" si="27"/>
        <v>16.216216216216218</v>
      </c>
      <c r="CR11">
        <f t="shared" si="28"/>
        <v>0.76426040436323206</v>
      </c>
      <c r="CW11">
        <v>15</v>
      </c>
      <c r="CX11">
        <v>6</v>
      </c>
      <c r="CY11">
        <f t="shared" si="70"/>
        <v>114</v>
      </c>
      <c r="CZ11">
        <f t="shared" si="29"/>
        <v>62.346185397867103</v>
      </c>
      <c r="DA11">
        <f t="shared" si="30"/>
        <v>19.35483870967742</v>
      </c>
      <c r="DB11">
        <f t="shared" si="31"/>
        <v>1.455449998676863</v>
      </c>
      <c r="DG11">
        <v>8</v>
      </c>
      <c r="DH11">
        <v>6</v>
      </c>
      <c r="DI11">
        <f t="shared" si="71"/>
        <v>61</v>
      </c>
      <c r="DJ11">
        <f t="shared" si="32"/>
        <v>44.885945548197206</v>
      </c>
      <c r="DK11">
        <f t="shared" si="33"/>
        <v>20.689655172413794</v>
      </c>
      <c r="DL11">
        <f t="shared" si="80"/>
        <v>1.1164395727081284</v>
      </c>
      <c r="DQ11">
        <v>5</v>
      </c>
      <c r="DR11">
        <v>6</v>
      </c>
      <c r="DS11">
        <f t="shared" si="81"/>
        <v>41</v>
      </c>
      <c r="DT11">
        <f t="shared" si="35"/>
        <v>42.730588848358522</v>
      </c>
      <c r="DU11">
        <f t="shared" si="36"/>
        <v>20.689655172413794</v>
      </c>
      <c r="DV11">
        <f t="shared" si="82"/>
        <v>0.98830209699735871</v>
      </c>
      <c r="EA11">
        <v>3</v>
      </c>
      <c r="EB11">
        <v>6</v>
      </c>
      <c r="EC11">
        <f t="shared" si="83"/>
        <v>31</v>
      </c>
      <c r="ED11">
        <f t="shared" si="38"/>
        <v>46.476761619190412</v>
      </c>
      <c r="EE11">
        <f t="shared" si="39"/>
        <v>17.142857142857142</v>
      </c>
      <c r="EF11">
        <f t="shared" si="84"/>
        <v>0.70678946241165053</v>
      </c>
      <c r="EK11">
        <v>8</v>
      </c>
      <c r="EL11">
        <v>6</v>
      </c>
      <c r="EM11">
        <f t="shared" si="85"/>
        <v>59</v>
      </c>
      <c r="EN11">
        <f t="shared" si="41"/>
        <v>42.142857142857146</v>
      </c>
      <c r="EO11">
        <f t="shared" si="42"/>
        <v>16.666666666666664</v>
      </c>
      <c r="EP11">
        <f t="shared" si="86"/>
        <v>0.87301587301587413</v>
      </c>
      <c r="EU11">
        <v>5</v>
      </c>
      <c r="EV11">
        <v>6</v>
      </c>
      <c r="EW11">
        <f t="shared" si="87"/>
        <v>44.5</v>
      </c>
      <c r="EX11">
        <f t="shared" si="44"/>
        <v>48.901098901098898</v>
      </c>
      <c r="EY11">
        <f t="shared" si="45"/>
        <v>21.428571428571427</v>
      </c>
      <c r="EZ11">
        <f t="shared" si="88"/>
        <v>1.0792778649921495</v>
      </c>
      <c r="FE11">
        <v>5.5</v>
      </c>
      <c r="FF11">
        <v>6</v>
      </c>
      <c r="FG11">
        <f t="shared" si="89"/>
        <v>48.5</v>
      </c>
      <c r="FH11">
        <f t="shared" si="47"/>
        <v>42.82560706401766</v>
      </c>
      <c r="FI11">
        <f t="shared" si="48"/>
        <v>18.75</v>
      </c>
      <c r="FJ11">
        <f t="shared" si="90"/>
        <v>0.834713024282561</v>
      </c>
      <c r="FO11">
        <v>6.5</v>
      </c>
      <c r="FP11">
        <v>6</v>
      </c>
      <c r="FQ11">
        <f t="shared" si="91"/>
        <v>44</v>
      </c>
      <c r="FR11">
        <f t="shared" si="50"/>
        <v>37.57472245943638</v>
      </c>
      <c r="FS11">
        <f t="shared" si="51"/>
        <v>18.181818181818183</v>
      </c>
      <c r="FT11">
        <f t="shared" si="92"/>
        <v>0.92513521206945759</v>
      </c>
      <c r="FY11">
        <v>2.5</v>
      </c>
      <c r="FZ11">
        <v>6</v>
      </c>
      <c r="GA11">
        <f t="shared" si="93"/>
        <v>26</v>
      </c>
      <c r="GB11">
        <f t="shared" si="53"/>
        <v>49.476688867745004</v>
      </c>
      <c r="GC11">
        <f t="shared" si="54"/>
        <v>21.428571428571427</v>
      </c>
      <c r="GD11">
        <f t="shared" si="94"/>
        <v>0.93448416474106222</v>
      </c>
      <c r="GI11">
        <v>7.5</v>
      </c>
      <c r="GJ11">
        <v>6</v>
      </c>
      <c r="GK11">
        <f t="shared" si="95"/>
        <v>55</v>
      </c>
      <c r="GL11">
        <f t="shared" si="56"/>
        <v>48.997772828507799</v>
      </c>
      <c r="GM11">
        <f t="shared" si="57"/>
        <v>18.181818181818183</v>
      </c>
      <c r="GN11">
        <f t="shared" si="96"/>
        <v>1.1135857461024503</v>
      </c>
    </row>
    <row r="12" spans="1:199" x14ac:dyDescent="0.2">
      <c r="A12">
        <v>30</v>
      </c>
      <c r="B12">
        <v>7</v>
      </c>
      <c r="C12">
        <f t="shared" si="59"/>
        <v>296</v>
      </c>
      <c r="D12">
        <f t="shared" si="0"/>
        <v>53.117990130103188</v>
      </c>
      <c r="E12">
        <f t="shared" si="1"/>
        <v>19.444444444444446</v>
      </c>
      <c r="F12">
        <f t="shared" si="2"/>
        <v>0.97203529235830755</v>
      </c>
      <c r="K12">
        <v>25</v>
      </c>
      <c r="L12">
        <v>7</v>
      </c>
      <c r="M12">
        <f t="shared" si="60"/>
        <v>232</v>
      </c>
      <c r="N12">
        <f t="shared" si="3"/>
        <v>51.756832124930284</v>
      </c>
      <c r="O12">
        <f t="shared" si="4"/>
        <v>23.333333333333332</v>
      </c>
      <c r="P12">
        <f t="shared" si="5"/>
        <v>1.2084030488938469</v>
      </c>
      <c r="U12">
        <v>20</v>
      </c>
      <c r="V12">
        <v>7</v>
      </c>
      <c r="W12">
        <f t="shared" si="61"/>
        <v>209</v>
      </c>
      <c r="X12">
        <f t="shared" si="6"/>
        <v>52.811118130132662</v>
      </c>
      <c r="Y12">
        <f t="shared" si="7"/>
        <v>20.588235294117645</v>
      </c>
      <c r="Z12">
        <f t="shared" si="62"/>
        <v>0.96614767195570583</v>
      </c>
      <c r="AE12">
        <v>25</v>
      </c>
      <c r="AF12">
        <v>7</v>
      </c>
      <c r="AG12">
        <f t="shared" si="63"/>
        <v>264</v>
      </c>
      <c r="AH12">
        <f t="shared" si="8"/>
        <v>52.235852789869405</v>
      </c>
      <c r="AI12">
        <f t="shared" si="9"/>
        <v>16.666666666666664</v>
      </c>
      <c r="AJ12">
        <f t="shared" si="10"/>
        <v>0.7655416737332047</v>
      </c>
      <c r="AO12">
        <v>15</v>
      </c>
      <c r="AP12">
        <v>7</v>
      </c>
      <c r="AQ12">
        <f t="shared" si="64"/>
        <v>135</v>
      </c>
      <c r="AR12">
        <f t="shared" si="11"/>
        <v>44.385993753082353</v>
      </c>
      <c r="AS12">
        <f t="shared" si="12"/>
        <v>18.918918918918919</v>
      </c>
      <c r="AT12">
        <f t="shared" si="13"/>
        <v>0.86639327145656153</v>
      </c>
      <c r="AY12">
        <v>17</v>
      </c>
      <c r="AZ12">
        <v>7</v>
      </c>
      <c r="BA12">
        <f t="shared" si="65"/>
        <v>160</v>
      </c>
      <c r="BB12">
        <f t="shared" si="14"/>
        <v>49.86753934860527</v>
      </c>
      <c r="BC12">
        <f t="shared" si="15"/>
        <v>22.58064516129032</v>
      </c>
      <c r="BD12">
        <f t="shared" si="16"/>
        <v>1.11096030202034</v>
      </c>
      <c r="BI12">
        <v>12</v>
      </c>
      <c r="BJ12">
        <v>7</v>
      </c>
      <c r="BK12">
        <f>BK11+BI12</f>
        <v>105.5</v>
      </c>
      <c r="BL12">
        <f t="shared" si="17"/>
        <v>50.178359096313905</v>
      </c>
      <c r="BM12">
        <f t="shared" si="18"/>
        <v>22.58064516129032</v>
      </c>
      <c r="BN12">
        <f t="shared" si="19"/>
        <v>1.1967320010739895</v>
      </c>
      <c r="BS12">
        <v>6.5</v>
      </c>
      <c r="BT12">
        <v>7</v>
      </c>
      <c r="BU12">
        <f>BU11+BS12</f>
        <v>78.5</v>
      </c>
      <c r="BV12">
        <f t="shared" si="20"/>
        <v>60.038240917782026</v>
      </c>
      <c r="BW12">
        <f t="shared" si="21"/>
        <v>22.58064516129032</v>
      </c>
      <c r="BX12">
        <f t="shared" si="22"/>
        <v>1.0423734040584713</v>
      </c>
      <c r="CC12">
        <v>5</v>
      </c>
      <c r="CD12">
        <v>7</v>
      </c>
      <c r="CE12">
        <f>CE11+CC12</f>
        <v>57</v>
      </c>
      <c r="CF12">
        <f t="shared" si="23"/>
        <v>51.583710407239828</v>
      </c>
      <c r="CG12">
        <f t="shared" si="24"/>
        <v>25</v>
      </c>
      <c r="CH12">
        <f t="shared" si="25"/>
        <v>1.0504201680672298</v>
      </c>
      <c r="CM12">
        <v>5</v>
      </c>
      <c r="CN12">
        <v>7</v>
      </c>
      <c r="CO12">
        <f>CO11+CM12</f>
        <v>41</v>
      </c>
      <c r="CP12">
        <f t="shared" si="26"/>
        <v>42.159383033419026</v>
      </c>
      <c r="CQ12">
        <f t="shared" si="27"/>
        <v>18.918918918918919</v>
      </c>
      <c r="CR12">
        <f t="shared" si="28"/>
        <v>0.90321684152018467</v>
      </c>
      <c r="CW12">
        <v>10</v>
      </c>
      <c r="CX12">
        <v>7</v>
      </c>
      <c r="CY12">
        <f>CY11+CW12</f>
        <v>124</v>
      </c>
      <c r="CZ12">
        <f t="shared" si="29"/>
        <v>67.815149029258961</v>
      </c>
      <c r="DA12">
        <f t="shared" si="30"/>
        <v>22.58064516129032</v>
      </c>
      <c r="DB12">
        <f t="shared" si="31"/>
        <v>1.1467181807757123</v>
      </c>
      <c r="DG12">
        <v>7</v>
      </c>
      <c r="DH12">
        <v>7</v>
      </c>
      <c r="DI12">
        <f>DI11+DG12</f>
        <v>68</v>
      </c>
      <c r="DJ12">
        <f t="shared" si="32"/>
        <v>50.036791758646061</v>
      </c>
      <c r="DK12">
        <f t="shared" si="33"/>
        <v>24.137931034482758</v>
      </c>
      <c r="DL12">
        <f t="shared" si="80"/>
        <v>1.1545000126868123</v>
      </c>
      <c r="DQ12">
        <v>5</v>
      </c>
      <c r="DR12">
        <v>7</v>
      </c>
      <c r="DS12">
        <f>DS11+DQ12</f>
        <v>46</v>
      </c>
      <c r="DT12">
        <f t="shared" si="35"/>
        <v>47.941636268890051</v>
      </c>
      <c r="DU12">
        <f t="shared" si="36"/>
        <v>24.137931034482758</v>
      </c>
      <c r="DV12">
        <f t="shared" si="82"/>
        <v>1.1679933873605151</v>
      </c>
      <c r="EA12">
        <v>3</v>
      </c>
      <c r="EB12">
        <v>7</v>
      </c>
      <c r="EC12">
        <f>EC11+EA12</f>
        <v>34</v>
      </c>
      <c r="ED12">
        <f t="shared" si="38"/>
        <v>50.974512743628196</v>
      </c>
      <c r="EE12">
        <f t="shared" si="39"/>
        <v>20</v>
      </c>
      <c r="EF12">
        <f t="shared" si="84"/>
        <v>0.83529663739558824</v>
      </c>
      <c r="EK12">
        <v>7</v>
      </c>
      <c r="EL12">
        <v>7</v>
      </c>
      <c r="EM12">
        <f>EM11+EK12</f>
        <v>66</v>
      </c>
      <c r="EN12">
        <f t="shared" si="41"/>
        <v>47.142857142857139</v>
      </c>
      <c r="EO12">
        <f t="shared" si="42"/>
        <v>19.444444444444446</v>
      </c>
      <c r="EP12">
        <f t="shared" si="86"/>
        <v>0.90277777777777657</v>
      </c>
      <c r="EU12">
        <v>5</v>
      </c>
      <c r="EV12">
        <v>7</v>
      </c>
      <c r="EW12">
        <f>EW11+EU12</f>
        <v>49.5</v>
      </c>
      <c r="EX12">
        <f t="shared" si="44"/>
        <v>54.395604395604394</v>
      </c>
      <c r="EY12">
        <f t="shared" si="45"/>
        <v>25</v>
      </c>
      <c r="EZ12">
        <f t="shared" si="88"/>
        <v>1.2755102040816331</v>
      </c>
      <c r="FE12">
        <v>5</v>
      </c>
      <c r="FF12">
        <v>7</v>
      </c>
      <c r="FG12">
        <f>FG11+FE12</f>
        <v>53.5</v>
      </c>
      <c r="FH12">
        <f t="shared" si="47"/>
        <v>47.240618101545259</v>
      </c>
      <c r="FI12">
        <f t="shared" si="48"/>
        <v>21.875</v>
      </c>
      <c r="FJ12">
        <f t="shared" si="90"/>
        <v>0.89679911699779358</v>
      </c>
      <c r="FO12">
        <v>6.5</v>
      </c>
      <c r="FP12">
        <v>7</v>
      </c>
      <c r="FQ12">
        <f>FQ11+FO12</f>
        <v>50.5</v>
      </c>
      <c r="FR12">
        <f t="shared" si="50"/>
        <v>43.125533731853118</v>
      </c>
      <c r="FS12">
        <f t="shared" si="51"/>
        <v>21.212121212121211</v>
      </c>
      <c r="FT12">
        <f t="shared" si="92"/>
        <v>1.0933416142639028</v>
      </c>
      <c r="FY12">
        <v>2.5</v>
      </c>
      <c r="FZ12">
        <v>7</v>
      </c>
      <c r="GA12">
        <f>GA11+FY12</f>
        <v>28.5</v>
      </c>
      <c r="GB12">
        <f t="shared" si="53"/>
        <v>54.234062797335866</v>
      </c>
      <c r="GC12">
        <f t="shared" si="54"/>
        <v>25</v>
      </c>
      <c r="GD12">
        <f t="shared" si="94"/>
        <v>1.1043903765121645</v>
      </c>
      <c r="GI12">
        <v>6</v>
      </c>
      <c r="GJ12">
        <v>7</v>
      </c>
      <c r="GK12">
        <f>GK11+GI12</f>
        <v>61</v>
      </c>
      <c r="GL12">
        <f t="shared" si="56"/>
        <v>54.34298440979957</v>
      </c>
      <c r="GM12">
        <f t="shared" si="57"/>
        <v>21.212121212121211</v>
      </c>
      <c r="GN12">
        <f t="shared" si="96"/>
        <v>1.0528447054059549</v>
      </c>
    </row>
    <row r="13" spans="1:199" x14ac:dyDescent="0.2">
      <c r="A13">
        <v>30</v>
      </c>
      <c r="B13">
        <v>8</v>
      </c>
      <c r="C13">
        <f t="shared" si="59"/>
        <v>326</v>
      </c>
      <c r="D13">
        <f t="shared" si="0"/>
        <v>58.50157021085689</v>
      </c>
      <c r="E13">
        <f t="shared" si="1"/>
        <v>22.222222222222221</v>
      </c>
      <c r="F13">
        <f t="shared" si="2"/>
        <v>1.1215791834903548</v>
      </c>
      <c r="K13">
        <v>24</v>
      </c>
      <c r="L13">
        <v>8</v>
      </c>
      <c r="M13">
        <f t="shared" si="60"/>
        <v>256</v>
      </c>
      <c r="N13">
        <f t="shared" si="3"/>
        <v>57.11098717233687</v>
      </c>
      <c r="O13">
        <f t="shared" si="4"/>
        <v>26.666666666666668</v>
      </c>
      <c r="P13">
        <f t="shared" si="5"/>
        <v>1.3385387618516464</v>
      </c>
      <c r="U13">
        <v>19</v>
      </c>
      <c r="V13">
        <v>8</v>
      </c>
      <c r="W13">
        <f t="shared" si="61"/>
        <v>228</v>
      </c>
      <c r="X13">
        <f t="shared" si="6"/>
        <v>57.612128869235626</v>
      </c>
      <c r="Y13">
        <f t="shared" si="7"/>
        <v>23.52941176470588</v>
      </c>
      <c r="Z13">
        <f t="shared" si="62"/>
        <v>1.0590464865668299</v>
      </c>
      <c r="AE13">
        <v>21</v>
      </c>
      <c r="AF13">
        <v>8</v>
      </c>
      <c r="AG13">
        <f t="shared" si="63"/>
        <v>285</v>
      </c>
      <c r="AH13">
        <f t="shared" si="8"/>
        <v>56.390977443609025</v>
      </c>
      <c r="AI13">
        <f t="shared" si="9"/>
        <v>19.047619047619047</v>
      </c>
      <c r="AJ13">
        <f t="shared" si="10"/>
        <v>0.74198654531064623</v>
      </c>
      <c r="AO13">
        <v>14</v>
      </c>
      <c r="AP13">
        <v>8</v>
      </c>
      <c r="AQ13">
        <f t="shared" si="64"/>
        <v>149</v>
      </c>
      <c r="AR13">
        <f t="shared" si="11"/>
        <v>48.988985697846452</v>
      </c>
      <c r="AS13">
        <f t="shared" si="12"/>
        <v>21.621621621621621</v>
      </c>
      <c r="AT13">
        <f t="shared" si="13"/>
        <v>0.93303890772245257</v>
      </c>
      <c r="AY13">
        <v>15</v>
      </c>
      <c r="AZ13">
        <v>8</v>
      </c>
      <c r="BA13">
        <f t="shared" si="65"/>
        <v>175</v>
      </c>
      <c r="BB13">
        <f t="shared" si="14"/>
        <v>54.54262116253701</v>
      </c>
      <c r="BC13">
        <f t="shared" si="15"/>
        <v>25.806451612903224</v>
      </c>
      <c r="BD13">
        <f t="shared" si="16"/>
        <v>1.1310681807899372</v>
      </c>
      <c r="BI13">
        <v>11</v>
      </c>
      <c r="BJ13">
        <v>8</v>
      </c>
      <c r="BK13">
        <f t="shared" si="66"/>
        <v>116.5</v>
      </c>
      <c r="BL13">
        <f t="shared" si="17"/>
        <v>55.410225921521992</v>
      </c>
      <c r="BM13">
        <f t="shared" si="18"/>
        <v>25.806451612903224</v>
      </c>
      <c r="BN13">
        <f t="shared" si="19"/>
        <v>1.2657742319051821</v>
      </c>
      <c r="BS13">
        <v>6</v>
      </c>
      <c r="BT13">
        <v>8</v>
      </c>
      <c r="BU13">
        <f t="shared" ref="BU13:BU35" si="97">BU12+BS13</f>
        <v>84.5</v>
      </c>
      <c r="BV13">
        <f t="shared" si="20"/>
        <v>64.627151051625248</v>
      </c>
      <c r="BW13">
        <f t="shared" si="21"/>
        <v>25.806451612903224</v>
      </c>
      <c r="BX13">
        <f t="shared" si="22"/>
        <v>1.1102201936717468</v>
      </c>
      <c r="CC13">
        <v>5</v>
      </c>
      <c r="CD13">
        <v>8</v>
      </c>
      <c r="CE13">
        <f t="shared" ref="CE13:CE33" si="98">CE12+CC13</f>
        <v>62</v>
      </c>
      <c r="CF13">
        <f t="shared" si="23"/>
        <v>56.108597285067873</v>
      </c>
      <c r="CG13">
        <f t="shared" si="24"/>
        <v>28.571428571428569</v>
      </c>
      <c r="CH13">
        <f t="shared" si="25"/>
        <v>1.2120232708467977</v>
      </c>
      <c r="CM13">
        <v>5</v>
      </c>
      <c r="CN13">
        <v>8</v>
      </c>
      <c r="CO13">
        <f t="shared" ref="CO13:CO42" si="99">CO12+CM13</f>
        <v>46</v>
      </c>
      <c r="CP13">
        <f t="shared" si="26"/>
        <v>47.300771208226223</v>
      </c>
      <c r="CQ13">
        <f t="shared" si="27"/>
        <v>21.621621621621621</v>
      </c>
      <c r="CR13">
        <f t="shared" si="28"/>
        <v>1.0421732786771345</v>
      </c>
      <c r="CW13">
        <v>9</v>
      </c>
      <c r="CX13">
        <v>8</v>
      </c>
      <c r="CY13">
        <f t="shared" ref="CY13:CY35" si="100">CY12+CW13</f>
        <v>133</v>
      </c>
      <c r="CZ13">
        <f t="shared" si="29"/>
        <v>72.737216297511623</v>
      </c>
      <c r="DA13">
        <f t="shared" si="30"/>
        <v>25.806451612903224</v>
      </c>
      <c r="DB13">
        <f t="shared" si="31"/>
        <v>1.1908227261901598</v>
      </c>
      <c r="DG13">
        <v>7</v>
      </c>
      <c r="DH13">
        <v>8</v>
      </c>
      <c r="DI13">
        <f t="shared" ref="DI13:DI34" si="101">DI12+DG13</f>
        <v>75</v>
      </c>
      <c r="DJ13">
        <f t="shared" si="32"/>
        <v>55.187637969094915</v>
      </c>
      <c r="DK13">
        <f t="shared" si="33"/>
        <v>27.586206896551722</v>
      </c>
      <c r="DL13">
        <f t="shared" si="80"/>
        <v>1.3321153992540138</v>
      </c>
      <c r="DQ13">
        <v>5</v>
      </c>
      <c r="DR13">
        <v>8</v>
      </c>
      <c r="DS13">
        <f t="shared" ref="DS13:DS34" si="102">DS12+DQ13</f>
        <v>51</v>
      </c>
      <c r="DT13">
        <f t="shared" si="35"/>
        <v>53.152683689421579</v>
      </c>
      <c r="DU13">
        <f t="shared" si="36"/>
        <v>27.586206896551722</v>
      </c>
      <c r="DV13">
        <f t="shared" si="82"/>
        <v>1.3476846777236711</v>
      </c>
      <c r="EA13">
        <v>2.5</v>
      </c>
      <c r="EB13">
        <v>8</v>
      </c>
      <c r="EC13">
        <f t="shared" ref="EC13:EC40" si="103">EC12+EA13</f>
        <v>36.5</v>
      </c>
      <c r="ED13">
        <f t="shared" si="38"/>
        <v>54.722638680659671</v>
      </c>
      <c r="EE13">
        <f t="shared" si="39"/>
        <v>22.857142857142858</v>
      </c>
      <c r="EF13">
        <f t="shared" si="84"/>
        <v>0.80316984364960176</v>
      </c>
      <c r="EK13">
        <v>7</v>
      </c>
      <c r="EL13">
        <v>8</v>
      </c>
      <c r="EM13">
        <f t="shared" ref="EM13:EM41" si="104">EM12+EK13</f>
        <v>73</v>
      </c>
      <c r="EN13">
        <f t="shared" si="41"/>
        <v>52.142857142857146</v>
      </c>
      <c r="EO13">
        <f t="shared" si="42"/>
        <v>22.222222222222221</v>
      </c>
      <c r="EP13">
        <f t="shared" si="86"/>
        <v>1.0416666666666683</v>
      </c>
      <c r="EU13">
        <v>4.5</v>
      </c>
      <c r="EV13">
        <v>8</v>
      </c>
      <c r="EW13">
        <f t="shared" ref="EW13:EW33" si="105">EW12+EU13</f>
        <v>54</v>
      </c>
      <c r="EX13">
        <f t="shared" si="44"/>
        <v>59.340659340659343</v>
      </c>
      <c r="EY13">
        <f t="shared" si="45"/>
        <v>28.571428571428569</v>
      </c>
      <c r="EZ13">
        <f t="shared" si="88"/>
        <v>1.324568288854004</v>
      </c>
      <c r="FE13">
        <v>5</v>
      </c>
      <c r="FF13">
        <v>8</v>
      </c>
      <c r="FG13">
        <f t="shared" ref="FG13:FG37" si="106">FG12+FE13</f>
        <v>58.5</v>
      </c>
      <c r="FH13">
        <f t="shared" si="47"/>
        <v>51.655629139072843</v>
      </c>
      <c r="FI13">
        <f t="shared" si="48"/>
        <v>25</v>
      </c>
      <c r="FJ13">
        <f t="shared" si="90"/>
        <v>1.0347682119205275</v>
      </c>
      <c r="FO13">
        <v>6</v>
      </c>
      <c r="FP13">
        <v>8</v>
      </c>
      <c r="FQ13">
        <f t="shared" ref="FQ13:FQ38" si="107">FQ12+FO13</f>
        <v>56.5</v>
      </c>
      <c r="FR13">
        <f t="shared" si="50"/>
        <v>48.249359521776256</v>
      </c>
      <c r="FS13">
        <f t="shared" si="51"/>
        <v>24.242424242424242</v>
      </c>
      <c r="FT13">
        <f t="shared" si="92"/>
        <v>1.1645058613461678</v>
      </c>
      <c r="FY13">
        <v>2.5</v>
      </c>
      <c r="FZ13">
        <v>8</v>
      </c>
      <c r="GA13">
        <f t="shared" ref="GA13:GA33" si="108">GA12+FY13</f>
        <v>31</v>
      </c>
      <c r="GB13">
        <f t="shared" si="53"/>
        <v>58.991436726926736</v>
      </c>
      <c r="GC13">
        <f t="shared" si="54"/>
        <v>28.571428571428569</v>
      </c>
      <c r="GD13">
        <f t="shared" si="94"/>
        <v>1.2742965882832684</v>
      </c>
      <c r="GI13">
        <v>6</v>
      </c>
      <c r="GJ13">
        <v>8</v>
      </c>
      <c r="GK13">
        <f t="shared" ref="GK13:GK38" si="109">GK12+GI13</f>
        <v>67</v>
      </c>
      <c r="GL13">
        <f t="shared" si="56"/>
        <v>59.68819599109132</v>
      </c>
      <c r="GM13">
        <f t="shared" si="57"/>
        <v>24.242424242424242</v>
      </c>
      <c r="GN13">
        <f t="shared" si="96"/>
        <v>1.214820813929943</v>
      </c>
    </row>
    <row r="14" spans="1:199" x14ac:dyDescent="0.2">
      <c r="A14">
        <v>30</v>
      </c>
      <c r="B14">
        <v>9</v>
      </c>
      <c r="C14">
        <f t="shared" si="59"/>
        <v>356</v>
      </c>
      <c r="D14">
        <f t="shared" si="0"/>
        <v>63.885150291610593</v>
      </c>
      <c r="E14">
        <f t="shared" si="1"/>
        <v>25</v>
      </c>
      <c r="F14">
        <f t="shared" si="2"/>
        <v>1.271123074622402</v>
      </c>
      <c r="K14">
        <v>21</v>
      </c>
      <c r="L14">
        <v>9</v>
      </c>
      <c r="M14">
        <f t="shared" si="60"/>
        <v>277</v>
      </c>
      <c r="N14">
        <f t="shared" si="3"/>
        <v>61.795872838817623</v>
      </c>
      <c r="O14">
        <f t="shared" si="4"/>
        <v>30</v>
      </c>
      <c r="P14">
        <f t="shared" si="5"/>
        <v>1.3273842721695468</v>
      </c>
      <c r="U14">
        <v>18</v>
      </c>
      <c r="V14">
        <v>9</v>
      </c>
      <c r="W14">
        <f t="shared" si="61"/>
        <v>246</v>
      </c>
      <c r="X14">
        <f t="shared" si="6"/>
        <v>62.160454832596336</v>
      </c>
      <c r="Y14">
        <f t="shared" si="7"/>
        <v>26.47058823529412</v>
      </c>
      <c r="Z14">
        <f t="shared" si="62"/>
        <v>1.1370814908401776</v>
      </c>
      <c r="AE14">
        <v>18</v>
      </c>
      <c r="AF14">
        <v>9</v>
      </c>
      <c r="AG14">
        <f t="shared" si="63"/>
        <v>303</v>
      </c>
      <c r="AH14">
        <f t="shared" si="8"/>
        <v>59.952512861100125</v>
      </c>
      <c r="AI14">
        <f t="shared" si="9"/>
        <v>21.428571428571427</v>
      </c>
      <c r="AJ14">
        <f t="shared" si="10"/>
        <v>0.72078692973034175</v>
      </c>
      <c r="AO14">
        <v>10</v>
      </c>
      <c r="AP14">
        <v>9</v>
      </c>
      <c r="AQ14">
        <f t="shared" si="64"/>
        <v>159</v>
      </c>
      <c r="AR14">
        <f t="shared" si="11"/>
        <v>52.276837086963667</v>
      </c>
      <c r="AS14">
        <f t="shared" si="12"/>
        <v>24.324324324324326</v>
      </c>
      <c r="AT14">
        <f t="shared" si="13"/>
        <v>0.75531721101341431</v>
      </c>
      <c r="AY14">
        <v>15</v>
      </c>
      <c r="AZ14">
        <v>9</v>
      </c>
      <c r="BA14">
        <f t="shared" si="65"/>
        <v>190</v>
      </c>
      <c r="BB14">
        <f t="shared" si="14"/>
        <v>59.217702976468757</v>
      </c>
      <c r="BC14">
        <f t="shared" si="15"/>
        <v>29.032258064516132</v>
      </c>
      <c r="BD14">
        <f t="shared" si="16"/>
        <v>1.2818772715619309</v>
      </c>
      <c r="BI14">
        <v>11</v>
      </c>
      <c r="BJ14">
        <v>9</v>
      </c>
      <c r="BK14">
        <f t="shared" si="66"/>
        <v>127.5</v>
      </c>
      <c r="BL14">
        <f t="shared" si="17"/>
        <v>60.642092746730079</v>
      </c>
      <c r="BM14">
        <f t="shared" si="18"/>
        <v>29.032258064516132</v>
      </c>
      <c r="BN14">
        <f t="shared" si="19"/>
        <v>1.4345441294925403</v>
      </c>
      <c r="BS14">
        <v>5</v>
      </c>
      <c r="BT14">
        <v>9</v>
      </c>
      <c r="BU14">
        <f t="shared" si="97"/>
        <v>89.5</v>
      </c>
      <c r="BV14">
        <f t="shared" si="20"/>
        <v>68.451242829827919</v>
      </c>
      <c r="BW14">
        <f t="shared" si="21"/>
        <v>29.032258064516132</v>
      </c>
      <c r="BX14">
        <f t="shared" si="22"/>
        <v>1.0485412940233132</v>
      </c>
      <c r="CC14">
        <v>4.5</v>
      </c>
      <c r="CD14">
        <v>9</v>
      </c>
      <c r="CE14">
        <f t="shared" si="98"/>
        <v>66.5</v>
      </c>
      <c r="CF14">
        <f t="shared" si="23"/>
        <v>60.180995475113122</v>
      </c>
      <c r="CG14">
        <f t="shared" si="24"/>
        <v>32.142857142857146</v>
      </c>
      <c r="CH14">
        <f t="shared" si="25"/>
        <v>1.2362637362637363</v>
      </c>
      <c r="CM14">
        <v>4</v>
      </c>
      <c r="CN14">
        <v>9</v>
      </c>
      <c r="CO14">
        <f t="shared" si="99"/>
        <v>50</v>
      </c>
      <c r="CP14">
        <f t="shared" si="26"/>
        <v>51.413881748071979</v>
      </c>
      <c r="CQ14">
        <f t="shared" si="27"/>
        <v>24.324324324324326</v>
      </c>
      <c r="CR14">
        <f t="shared" si="28"/>
        <v>0.94490377266726855</v>
      </c>
      <c r="CW14">
        <v>5</v>
      </c>
      <c r="CX14">
        <v>9</v>
      </c>
      <c r="CY14">
        <f t="shared" si="100"/>
        <v>138</v>
      </c>
      <c r="CZ14">
        <f t="shared" si="29"/>
        <v>75.471698113207552</v>
      </c>
      <c r="DA14">
        <f t="shared" si="30"/>
        <v>29.032258064516132</v>
      </c>
      <c r="DB14">
        <f t="shared" si="31"/>
        <v>0.74977727204565814</v>
      </c>
      <c r="DG14">
        <v>7</v>
      </c>
      <c r="DH14">
        <v>9</v>
      </c>
      <c r="DI14">
        <f t="shared" si="101"/>
        <v>82</v>
      </c>
      <c r="DJ14">
        <f t="shared" si="32"/>
        <v>60.338484179543784</v>
      </c>
      <c r="DK14">
        <f t="shared" si="33"/>
        <v>31.03448275862069</v>
      </c>
      <c r="DL14">
        <f t="shared" si="80"/>
        <v>1.5097307858212201</v>
      </c>
      <c r="DQ14">
        <v>4</v>
      </c>
      <c r="DR14">
        <v>9</v>
      </c>
      <c r="DS14">
        <f t="shared" si="102"/>
        <v>55</v>
      </c>
      <c r="DT14">
        <f t="shared" si="35"/>
        <v>57.321521625846806</v>
      </c>
      <c r="DU14">
        <f t="shared" si="36"/>
        <v>31.03448275862069</v>
      </c>
      <c r="DV14">
        <f t="shared" si="82"/>
        <v>1.221900774469463</v>
      </c>
      <c r="EA14">
        <v>2.5</v>
      </c>
      <c r="EB14">
        <v>9</v>
      </c>
      <c r="EC14">
        <f t="shared" si="103"/>
        <v>39</v>
      </c>
      <c r="ED14">
        <f t="shared" si="38"/>
        <v>58.47076461769116</v>
      </c>
      <c r="EE14">
        <f t="shared" si="39"/>
        <v>25.714285714285712</v>
      </c>
      <c r="EF14">
        <f t="shared" si="84"/>
        <v>0.91025915613621866</v>
      </c>
      <c r="EK14">
        <v>6.5</v>
      </c>
      <c r="EL14">
        <v>9</v>
      </c>
      <c r="EM14">
        <f t="shared" si="104"/>
        <v>79.5</v>
      </c>
      <c r="EN14">
        <f t="shared" si="41"/>
        <v>56.785714285714285</v>
      </c>
      <c r="EO14">
        <f t="shared" si="42"/>
        <v>25</v>
      </c>
      <c r="EP14">
        <f t="shared" si="86"/>
        <v>1.0962301587301577</v>
      </c>
      <c r="EU14">
        <v>4</v>
      </c>
      <c r="EV14">
        <v>9</v>
      </c>
      <c r="EW14">
        <f t="shared" si="105"/>
        <v>58</v>
      </c>
      <c r="EX14">
        <f t="shared" si="44"/>
        <v>63.73626373626373</v>
      </c>
      <c r="EY14">
        <f t="shared" si="45"/>
        <v>32.142857142857146</v>
      </c>
      <c r="EZ14">
        <f t="shared" si="88"/>
        <v>1.3343799058084747</v>
      </c>
      <c r="FE14">
        <v>4.5</v>
      </c>
      <c r="FF14">
        <v>9</v>
      </c>
      <c r="FG14">
        <f t="shared" si="106"/>
        <v>63</v>
      </c>
      <c r="FH14">
        <f t="shared" si="47"/>
        <v>55.629139072847678</v>
      </c>
      <c r="FI14">
        <f t="shared" si="48"/>
        <v>28.125</v>
      </c>
      <c r="FJ14">
        <f t="shared" si="90"/>
        <v>1.0554635761589406</v>
      </c>
      <c r="FO14">
        <v>6</v>
      </c>
      <c r="FP14">
        <v>9</v>
      </c>
      <c r="FQ14">
        <f t="shared" si="107"/>
        <v>62.5</v>
      </c>
      <c r="FR14">
        <f t="shared" si="50"/>
        <v>53.373185311699402</v>
      </c>
      <c r="FS14">
        <f t="shared" si="51"/>
        <v>27.27272727272727</v>
      </c>
      <c r="FT14">
        <f t="shared" si="92"/>
        <v>1.3197733095256587</v>
      </c>
      <c r="FY14">
        <v>2</v>
      </c>
      <c r="FZ14">
        <v>9</v>
      </c>
      <c r="GA14">
        <f t="shared" si="108"/>
        <v>33</v>
      </c>
      <c r="GB14">
        <f t="shared" si="53"/>
        <v>62.797335870599433</v>
      </c>
      <c r="GC14">
        <f t="shared" si="54"/>
        <v>32.142857142857146</v>
      </c>
      <c r="GD14">
        <f t="shared" si="94"/>
        <v>1.1553622400434973</v>
      </c>
      <c r="GI14">
        <v>6</v>
      </c>
      <c r="GJ14">
        <v>9</v>
      </c>
      <c r="GK14">
        <f t="shared" si="109"/>
        <v>73</v>
      </c>
      <c r="GL14">
        <f t="shared" si="56"/>
        <v>65.033407572383084</v>
      </c>
      <c r="GM14">
        <f t="shared" si="57"/>
        <v>27.27272727272727</v>
      </c>
      <c r="GN14">
        <f t="shared" si="96"/>
        <v>1.3767969224539391</v>
      </c>
    </row>
    <row r="15" spans="1:199" x14ac:dyDescent="0.2">
      <c r="A15">
        <v>25</v>
      </c>
      <c r="B15">
        <v>10</v>
      </c>
      <c r="C15">
        <f t="shared" si="59"/>
        <v>381</v>
      </c>
      <c r="D15">
        <f t="shared" si="0"/>
        <v>68.371467025572002</v>
      </c>
      <c r="E15">
        <f t="shared" si="1"/>
        <v>27.777777777777779</v>
      </c>
      <c r="F15">
        <f t="shared" si="2"/>
        <v>1.1838891381287053</v>
      </c>
      <c r="K15">
        <v>20</v>
      </c>
      <c r="L15">
        <v>10</v>
      </c>
      <c r="M15">
        <f t="shared" si="60"/>
        <v>297</v>
      </c>
      <c r="N15">
        <f t="shared" si="3"/>
        <v>66.257668711656436</v>
      </c>
      <c r="O15">
        <f t="shared" si="4"/>
        <v>33.333333333333329</v>
      </c>
      <c r="P15">
        <f t="shared" si="5"/>
        <v>1.4129020263989573</v>
      </c>
      <c r="U15">
        <v>18</v>
      </c>
      <c r="V15">
        <v>10</v>
      </c>
      <c r="W15">
        <f t="shared" si="61"/>
        <v>264</v>
      </c>
      <c r="X15">
        <f t="shared" si="6"/>
        <v>66.70878079595704</v>
      </c>
      <c r="Y15">
        <f t="shared" si="7"/>
        <v>29.411764705882355</v>
      </c>
      <c r="Z15">
        <f t="shared" si="62"/>
        <v>1.2708557838801966</v>
      </c>
      <c r="AE15">
        <v>16</v>
      </c>
      <c r="AF15">
        <v>10</v>
      </c>
      <c r="AG15">
        <f t="shared" si="63"/>
        <v>319</v>
      </c>
      <c r="AH15">
        <f t="shared" si="8"/>
        <v>63.118322121092206</v>
      </c>
      <c r="AI15">
        <f t="shared" si="9"/>
        <v>23.809523809523807</v>
      </c>
      <c r="AJ15">
        <f t="shared" si="10"/>
        <v>0.71607590404582766</v>
      </c>
      <c r="AO15">
        <v>9</v>
      </c>
      <c r="AP15">
        <v>10</v>
      </c>
      <c r="AQ15">
        <f t="shared" si="64"/>
        <v>168</v>
      </c>
      <c r="AR15">
        <f t="shared" si="11"/>
        <v>55.235903337169155</v>
      </c>
      <c r="AS15">
        <f t="shared" si="12"/>
        <v>27.027027027027028</v>
      </c>
      <c r="AT15">
        <f t="shared" si="13"/>
        <v>0.75976025343113884</v>
      </c>
      <c r="AY15">
        <v>15</v>
      </c>
      <c r="AZ15">
        <v>10</v>
      </c>
      <c r="BA15">
        <f t="shared" si="65"/>
        <v>205</v>
      </c>
      <c r="BB15">
        <f t="shared" si="14"/>
        <v>63.892784790400491</v>
      </c>
      <c r="BC15">
        <f t="shared" si="15"/>
        <v>32.258064516129032</v>
      </c>
      <c r="BD15">
        <f t="shared" si="16"/>
        <v>1.4326863623339186</v>
      </c>
      <c r="BI15">
        <v>10</v>
      </c>
      <c r="BJ15">
        <v>10</v>
      </c>
      <c r="BK15">
        <f t="shared" si="66"/>
        <v>137.5</v>
      </c>
      <c r="BL15">
        <f t="shared" si="17"/>
        <v>65.398335315101079</v>
      </c>
      <c r="BM15">
        <f t="shared" si="18"/>
        <v>32.258064516129032</v>
      </c>
      <c r="BN15">
        <f t="shared" si="19"/>
        <v>1.4575582064362742</v>
      </c>
      <c r="BS15">
        <v>4.5</v>
      </c>
      <c r="BT15">
        <v>10</v>
      </c>
      <c r="BU15">
        <f t="shared" si="97"/>
        <v>94</v>
      </c>
      <c r="BV15">
        <f t="shared" si="20"/>
        <v>71.892925430210326</v>
      </c>
      <c r="BW15">
        <f t="shared" si="21"/>
        <v>32.258064516129032</v>
      </c>
      <c r="BX15">
        <f t="shared" si="22"/>
        <v>1.0547091839881571</v>
      </c>
      <c r="CC15">
        <v>4</v>
      </c>
      <c r="CD15">
        <v>10</v>
      </c>
      <c r="CE15">
        <f t="shared" si="98"/>
        <v>70.5</v>
      </c>
      <c r="CF15">
        <f t="shared" si="23"/>
        <v>63.800904977375559</v>
      </c>
      <c r="CG15">
        <f t="shared" si="24"/>
        <v>35.714285714285715</v>
      </c>
      <c r="CH15">
        <f t="shared" si="25"/>
        <v>1.2281835811247557</v>
      </c>
      <c r="CM15">
        <v>4</v>
      </c>
      <c r="CN15">
        <v>10</v>
      </c>
      <c r="CO15">
        <f t="shared" si="99"/>
        <v>54</v>
      </c>
      <c r="CP15">
        <f t="shared" si="26"/>
        <v>55.526992287917743</v>
      </c>
      <c r="CQ15">
        <f t="shared" si="27"/>
        <v>27.027027027027028</v>
      </c>
      <c r="CR15">
        <f t="shared" si="28"/>
        <v>1.0560689223928312</v>
      </c>
      <c r="CW15">
        <v>5</v>
      </c>
      <c r="CX15">
        <v>10</v>
      </c>
      <c r="CY15">
        <f t="shared" si="100"/>
        <v>143</v>
      </c>
      <c r="CZ15">
        <f t="shared" si="29"/>
        <v>78.206179928903481</v>
      </c>
      <c r="DA15">
        <f t="shared" si="30"/>
        <v>32.258064516129032</v>
      </c>
      <c r="DB15">
        <f t="shared" si="31"/>
        <v>0.83798636287455908</v>
      </c>
      <c r="DG15">
        <v>6</v>
      </c>
      <c r="DH15">
        <v>10</v>
      </c>
      <c r="DI15">
        <f t="shared" si="101"/>
        <v>88</v>
      </c>
      <c r="DJ15">
        <f t="shared" si="32"/>
        <v>64.753495217071375</v>
      </c>
      <c r="DK15">
        <f t="shared" si="33"/>
        <v>34.482758620689658</v>
      </c>
      <c r="DL15">
        <f t="shared" si="80"/>
        <v>1.4462967191900731</v>
      </c>
      <c r="DQ15">
        <v>4</v>
      </c>
      <c r="DR15">
        <v>10</v>
      </c>
      <c r="DS15">
        <f t="shared" si="102"/>
        <v>59</v>
      </c>
      <c r="DT15">
        <f t="shared" si="35"/>
        <v>61.490359562272026</v>
      </c>
      <c r="DU15">
        <f t="shared" si="36"/>
        <v>34.482758620689658</v>
      </c>
      <c r="DV15">
        <f t="shared" si="82"/>
        <v>1.3656538067599859</v>
      </c>
      <c r="EA15">
        <v>2.5</v>
      </c>
      <c r="EB15">
        <v>10</v>
      </c>
      <c r="EC15">
        <f t="shared" si="103"/>
        <v>41.5</v>
      </c>
      <c r="ED15">
        <f t="shared" si="38"/>
        <v>62.218890554722648</v>
      </c>
      <c r="EE15">
        <f t="shared" si="39"/>
        <v>28.571428571428569</v>
      </c>
      <c r="EF15">
        <f t="shared" si="84"/>
        <v>1.0173484686228325</v>
      </c>
      <c r="EK15">
        <v>6</v>
      </c>
      <c r="EL15">
        <v>10</v>
      </c>
      <c r="EM15">
        <f t="shared" si="104"/>
        <v>85.5</v>
      </c>
      <c r="EN15">
        <f t="shared" si="41"/>
        <v>61.071428571428577</v>
      </c>
      <c r="EO15">
        <f t="shared" si="42"/>
        <v>27.777777777777779</v>
      </c>
      <c r="EP15">
        <f t="shared" si="86"/>
        <v>1.1309523809523825</v>
      </c>
      <c r="EU15">
        <v>3.5</v>
      </c>
      <c r="EV15">
        <v>10</v>
      </c>
      <c r="EW15">
        <f t="shared" si="105"/>
        <v>61.5</v>
      </c>
      <c r="EX15">
        <f t="shared" si="44"/>
        <v>67.582417582417591</v>
      </c>
      <c r="EY15">
        <f t="shared" si="45"/>
        <v>35.714285714285715</v>
      </c>
      <c r="EZ15">
        <f t="shared" si="88"/>
        <v>1.3049450549450601</v>
      </c>
      <c r="FE15">
        <v>4.5</v>
      </c>
      <c r="FF15">
        <v>10</v>
      </c>
      <c r="FG15">
        <f t="shared" si="106"/>
        <v>67.5</v>
      </c>
      <c r="FH15">
        <f t="shared" si="47"/>
        <v>59.602649006622521</v>
      </c>
      <c r="FI15">
        <f t="shared" si="48"/>
        <v>31.25</v>
      </c>
      <c r="FJ15">
        <f t="shared" si="90"/>
        <v>1.1796357615894062</v>
      </c>
      <c r="FO15">
        <v>6</v>
      </c>
      <c r="FP15">
        <v>10</v>
      </c>
      <c r="FQ15">
        <f t="shared" si="107"/>
        <v>68.5</v>
      </c>
      <c r="FR15">
        <f t="shared" si="50"/>
        <v>58.49701110162254</v>
      </c>
      <c r="FS15">
        <f t="shared" si="51"/>
        <v>30.303030303030305</v>
      </c>
      <c r="FT15">
        <f t="shared" si="92"/>
        <v>1.4750407577051459</v>
      </c>
      <c r="FY15">
        <v>2</v>
      </c>
      <c r="FZ15">
        <v>10</v>
      </c>
      <c r="GA15">
        <f t="shared" si="108"/>
        <v>35</v>
      </c>
      <c r="GB15">
        <f t="shared" si="53"/>
        <v>66.603235014272116</v>
      </c>
      <c r="GC15">
        <f t="shared" si="54"/>
        <v>35.714285714285715</v>
      </c>
      <c r="GD15">
        <f t="shared" si="94"/>
        <v>1.2912872094603745</v>
      </c>
      <c r="GI15">
        <v>5</v>
      </c>
      <c r="GJ15">
        <v>10</v>
      </c>
      <c r="GK15">
        <f t="shared" si="109"/>
        <v>78</v>
      </c>
      <c r="GL15">
        <f t="shared" si="56"/>
        <v>69.487750556792889</v>
      </c>
      <c r="GM15">
        <f t="shared" si="57"/>
        <v>30.303030303030305</v>
      </c>
      <c r="GN15">
        <f t="shared" si="96"/>
        <v>1.2823108591482777</v>
      </c>
    </row>
    <row r="16" spans="1:199" x14ac:dyDescent="0.2">
      <c r="A16">
        <v>21</v>
      </c>
      <c r="B16">
        <v>11</v>
      </c>
      <c r="C16">
        <f t="shared" si="59"/>
        <v>402</v>
      </c>
      <c r="D16">
        <f t="shared" si="0"/>
        <v>72.139973082099601</v>
      </c>
      <c r="E16">
        <f t="shared" si="1"/>
        <v>30.555555555555557</v>
      </c>
      <c r="F16">
        <f t="shared" si="2"/>
        <v>1.0991475998205498</v>
      </c>
      <c r="K16">
        <v>20</v>
      </c>
      <c r="L16">
        <v>11</v>
      </c>
      <c r="M16">
        <f t="shared" si="60"/>
        <v>317</v>
      </c>
      <c r="N16">
        <f t="shared" si="3"/>
        <v>70.719464584495256</v>
      </c>
      <c r="O16">
        <f t="shared" si="4"/>
        <v>36.666666666666664</v>
      </c>
      <c r="P16">
        <f t="shared" si="5"/>
        <v>1.5616285554935871</v>
      </c>
      <c r="U16">
        <v>14</v>
      </c>
      <c r="V16">
        <v>11</v>
      </c>
      <c r="W16">
        <f t="shared" si="61"/>
        <v>278</v>
      </c>
      <c r="X16">
        <f t="shared" si="6"/>
        <v>70.24636765634871</v>
      </c>
      <c r="Y16">
        <f t="shared" si="7"/>
        <v>32.352941176470587</v>
      </c>
      <c r="Z16">
        <f t="shared" si="62"/>
        <v>1.0924900598268392</v>
      </c>
      <c r="AE16">
        <v>16</v>
      </c>
      <c r="AF16">
        <v>11</v>
      </c>
      <c r="AG16">
        <f t="shared" si="63"/>
        <v>335</v>
      </c>
      <c r="AH16">
        <f t="shared" si="8"/>
        <v>66.284131381084293</v>
      </c>
      <c r="AI16">
        <f t="shared" si="9"/>
        <v>26.190476190476193</v>
      </c>
      <c r="AJ16">
        <f t="shared" si="10"/>
        <v>0.79145231499802193</v>
      </c>
      <c r="AO16">
        <v>9</v>
      </c>
      <c r="AP16">
        <v>11</v>
      </c>
      <c r="AQ16">
        <f t="shared" si="64"/>
        <v>177</v>
      </c>
      <c r="AR16">
        <f t="shared" si="11"/>
        <v>58.194969587374644</v>
      </c>
      <c r="AS16">
        <f t="shared" si="12"/>
        <v>29.72972972972973</v>
      </c>
      <c r="AT16">
        <f t="shared" si="13"/>
        <v>0.83973501695020614</v>
      </c>
      <c r="AY16">
        <v>13</v>
      </c>
      <c r="AZ16">
        <v>11</v>
      </c>
      <c r="BA16">
        <f t="shared" si="65"/>
        <v>218</v>
      </c>
      <c r="BB16">
        <f t="shared" si="14"/>
        <v>67.944522362474672</v>
      </c>
      <c r="BC16">
        <f t="shared" si="15"/>
        <v>35.483870967741936</v>
      </c>
      <c r="BD16">
        <f t="shared" si="16"/>
        <v>1.3723627260251261</v>
      </c>
      <c r="BI16">
        <v>9</v>
      </c>
      <c r="BJ16">
        <v>11</v>
      </c>
      <c r="BK16">
        <f t="shared" si="66"/>
        <v>146.5</v>
      </c>
      <c r="BL16">
        <f t="shared" si="17"/>
        <v>69.67895362663495</v>
      </c>
      <c r="BM16">
        <f t="shared" si="18"/>
        <v>35.483870967741936</v>
      </c>
      <c r="BN16">
        <f t="shared" si="19"/>
        <v>1.4498868474550211</v>
      </c>
      <c r="BS16">
        <v>4</v>
      </c>
      <c r="BT16">
        <v>11</v>
      </c>
      <c r="BU16">
        <f t="shared" si="97"/>
        <v>98</v>
      </c>
      <c r="BV16">
        <f t="shared" si="20"/>
        <v>74.952198852772469</v>
      </c>
      <c r="BW16">
        <f t="shared" si="21"/>
        <v>35.483870967741936</v>
      </c>
      <c r="BX16">
        <f t="shared" si="22"/>
        <v>1.036205514093629</v>
      </c>
      <c r="CC16">
        <v>4</v>
      </c>
      <c r="CD16">
        <v>11</v>
      </c>
      <c r="CE16">
        <f t="shared" si="98"/>
        <v>74.5</v>
      </c>
      <c r="CF16">
        <f t="shared" si="23"/>
        <v>67.420814479638011</v>
      </c>
      <c r="CG16">
        <f t="shared" si="24"/>
        <v>39.285714285714285</v>
      </c>
      <c r="CH16">
        <f t="shared" si="25"/>
        <v>1.3574660633484195</v>
      </c>
      <c r="CM16">
        <v>4</v>
      </c>
      <c r="CN16">
        <v>11</v>
      </c>
      <c r="CO16">
        <f t="shared" si="99"/>
        <v>58</v>
      </c>
      <c r="CP16">
        <f t="shared" si="26"/>
        <v>59.640102827763499</v>
      </c>
      <c r="CQ16">
        <f t="shared" si="27"/>
        <v>29.72972972972973</v>
      </c>
      <c r="CR16">
        <f t="shared" si="28"/>
        <v>1.1672340721183903</v>
      </c>
      <c r="CW16">
        <v>5</v>
      </c>
      <c r="CX16">
        <v>11</v>
      </c>
      <c r="CY16">
        <f t="shared" si="100"/>
        <v>148</v>
      </c>
      <c r="CZ16">
        <f t="shared" si="29"/>
        <v>80.940661744599396</v>
      </c>
      <c r="DA16">
        <f t="shared" si="30"/>
        <v>35.483870967741936</v>
      </c>
      <c r="DB16">
        <f t="shared" si="31"/>
        <v>0.92619545370345524</v>
      </c>
      <c r="DG16">
        <v>6</v>
      </c>
      <c r="DH16">
        <v>11</v>
      </c>
      <c r="DI16">
        <f t="shared" si="101"/>
        <v>94</v>
      </c>
      <c r="DJ16">
        <f t="shared" si="32"/>
        <v>69.168506254598967</v>
      </c>
      <c r="DK16">
        <f t="shared" si="33"/>
        <v>37.931034482758619</v>
      </c>
      <c r="DL16">
        <f t="shared" si="80"/>
        <v>1.5985384791048178</v>
      </c>
      <c r="DQ16">
        <v>4</v>
      </c>
      <c r="DR16">
        <v>11</v>
      </c>
      <c r="DS16">
        <f t="shared" si="102"/>
        <v>63</v>
      </c>
      <c r="DT16">
        <f t="shared" si="35"/>
        <v>65.659197498697239</v>
      </c>
      <c r="DU16">
        <f t="shared" si="36"/>
        <v>37.931034482758619</v>
      </c>
      <c r="DV16">
        <f t="shared" si="82"/>
        <v>1.5094068390505084</v>
      </c>
      <c r="EA16">
        <v>2.5</v>
      </c>
      <c r="EB16">
        <v>11</v>
      </c>
      <c r="EC16">
        <f t="shared" si="103"/>
        <v>44</v>
      </c>
      <c r="ED16">
        <f t="shared" si="38"/>
        <v>65.967016491754137</v>
      </c>
      <c r="EE16">
        <f t="shared" si="39"/>
        <v>31.428571428571427</v>
      </c>
      <c r="EF16">
        <f t="shared" si="84"/>
        <v>1.1244377811094466</v>
      </c>
      <c r="EK16">
        <v>6</v>
      </c>
      <c r="EL16">
        <v>11</v>
      </c>
      <c r="EM16">
        <f t="shared" si="104"/>
        <v>91.5</v>
      </c>
      <c r="EN16">
        <f t="shared" si="41"/>
        <v>65.357142857142861</v>
      </c>
      <c r="EO16">
        <f t="shared" si="42"/>
        <v>30.555555555555557</v>
      </c>
      <c r="EP16">
        <f t="shared" si="86"/>
        <v>1.2499999999999998</v>
      </c>
      <c r="EU16">
        <v>3</v>
      </c>
      <c r="EV16">
        <v>11</v>
      </c>
      <c r="EW16">
        <f t="shared" si="105"/>
        <v>64.5</v>
      </c>
      <c r="EX16">
        <f t="shared" si="44"/>
        <v>70.879120879120876</v>
      </c>
      <c r="EY16">
        <f t="shared" si="45"/>
        <v>39.285714285714285</v>
      </c>
      <c r="EZ16">
        <f t="shared" si="88"/>
        <v>1.2362637362637319</v>
      </c>
      <c r="FE16">
        <v>4</v>
      </c>
      <c r="FF16">
        <v>11</v>
      </c>
      <c r="FG16">
        <f t="shared" si="106"/>
        <v>71.5</v>
      </c>
      <c r="FH16">
        <f t="shared" si="47"/>
        <v>63.134657836644593</v>
      </c>
      <c r="FI16">
        <f t="shared" si="48"/>
        <v>34.375</v>
      </c>
      <c r="FJ16">
        <f t="shared" si="90"/>
        <v>1.1589403973509922</v>
      </c>
      <c r="FO16">
        <v>6</v>
      </c>
      <c r="FP16">
        <v>11</v>
      </c>
      <c r="FQ16">
        <f t="shared" si="107"/>
        <v>74.5</v>
      </c>
      <c r="FR16">
        <f t="shared" si="50"/>
        <v>63.620836891545686</v>
      </c>
      <c r="FS16">
        <f t="shared" si="51"/>
        <v>33.333333333333329</v>
      </c>
      <c r="FT16">
        <f t="shared" si="92"/>
        <v>1.6303082058846372</v>
      </c>
      <c r="FY16">
        <v>2</v>
      </c>
      <c r="FZ16">
        <v>11</v>
      </c>
      <c r="GA16">
        <f t="shared" si="108"/>
        <v>37</v>
      </c>
      <c r="GB16">
        <f t="shared" si="53"/>
        <v>70.40913415794482</v>
      </c>
      <c r="GC16">
        <f t="shared" si="54"/>
        <v>39.285714285714285</v>
      </c>
      <c r="GD16">
        <f t="shared" si="94"/>
        <v>1.427212178877264</v>
      </c>
      <c r="GI16">
        <v>3.5</v>
      </c>
      <c r="GJ16">
        <v>11</v>
      </c>
      <c r="GK16">
        <f t="shared" si="109"/>
        <v>81.5</v>
      </c>
      <c r="GL16">
        <f t="shared" si="56"/>
        <v>72.605790645879736</v>
      </c>
      <c r="GM16">
        <f t="shared" si="57"/>
        <v>33.333333333333329</v>
      </c>
      <c r="GN16">
        <f t="shared" si="96"/>
        <v>0.99210366470945122</v>
      </c>
    </row>
    <row r="17" spans="1:196" x14ac:dyDescent="0.2">
      <c r="A17">
        <v>20</v>
      </c>
      <c r="B17">
        <v>12</v>
      </c>
      <c r="C17">
        <f t="shared" si="59"/>
        <v>422</v>
      </c>
      <c r="D17">
        <f t="shared" si="0"/>
        <v>75.729026469268732</v>
      </c>
      <c r="E17">
        <f t="shared" si="1"/>
        <v>33.333333333333329</v>
      </c>
      <c r="F17">
        <f t="shared" si="2"/>
        <v>1.1465031653456945</v>
      </c>
      <c r="K17">
        <v>18</v>
      </c>
      <c r="L17">
        <v>12</v>
      </c>
      <c r="M17">
        <f t="shared" si="60"/>
        <v>335</v>
      </c>
      <c r="N17">
        <f t="shared" si="3"/>
        <v>74.735080870050197</v>
      </c>
      <c r="O17">
        <f t="shared" si="4"/>
        <v>40</v>
      </c>
      <c r="P17">
        <f t="shared" si="5"/>
        <v>1.5393195761293939</v>
      </c>
      <c r="U17">
        <v>14</v>
      </c>
      <c r="V17">
        <v>12</v>
      </c>
      <c r="W17">
        <f t="shared" si="61"/>
        <v>292</v>
      </c>
      <c r="X17">
        <f t="shared" si="6"/>
        <v>73.783954516740366</v>
      </c>
      <c r="Y17">
        <f t="shared" si="7"/>
        <v>35.294117647058826</v>
      </c>
      <c r="Z17">
        <f t="shared" si="62"/>
        <v>1.1965367321912954</v>
      </c>
      <c r="AE17">
        <v>16</v>
      </c>
      <c r="AF17">
        <v>12</v>
      </c>
      <c r="AG17">
        <f t="shared" si="63"/>
        <v>351</v>
      </c>
      <c r="AH17">
        <f t="shared" si="8"/>
        <v>69.449940641076381</v>
      </c>
      <c r="AI17">
        <f t="shared" si="9"/>
        <v>28.571428571428569</v>
      </c>
      <c r="AJ17">
        <f t="shared" si="10"/>
        <v>0.86682872595021454</v>
      </c>
      <c r="AO17">
        <v>9</v>
      </c>
      <c r="AP17">
        <v>12</v>
      </c>
      <c r="AQ17">
        <f t="shared" si="64"/>
        <v>186</v>
      </c>
      <c r="AR17">
        <f t="shared" si="11"/>
        <v>61.154035837580132</v>
      </c>
      <c r="AS17">
        <f t="shared" si="12"/>
        <v>32.432432432432435</v>
      </c>
      <c r="AT17">
        <f t="shared" si="13"/>
        <v>0.91970978046927343</v>
      </c>
      <c r="AY17">
        <v>12</v>
      </c>
      <c r="AZ17">
        <v>12</v>
      </c>
      <c r="BA17">
        <f t="shared" si="65"/>
        <v>230</v>
      </c>
      <c r="BB17">
        <f t="shared" si="14"/>
        <v>71.68458781362007</v>
      </c>
      <c r="BC17">
        <f t="shared" si="15"/>
        <v>38.70967741935484</v>
      </c>
      <c r="BD17">
        <f t="shared" si="16"/>
        <v>1.3874436351023249</v>
      </c>
      <c r="BI17">
        <v>8</v>
      </c>
      <c r="BJ17">
        <v>12</v>
      </c>
      <c r="BK17">
        <f t="shared" si="66"/>
        <v>154.5</v>
      </c>
      <c r="BL17">
        <f t="shared" si="17"/>
        <v>73.483947681331756</v>
      </c>
      <c r="BM17">
        <f t="shared" si="18"/>
        <v>38.70967741935484</v>
      </c>
      <c r="BN17">
        <f t="shared" si="19"/>
        <v>1.411530052548815</v>
      </c>
      <c r="BS17">
        <v>4</v>
      </c>
      <c r="BT17">
        <v>12</v>
      </c>
      <c r="BU17">
        <f t="shared" si="97"/>
        <v>102</v>
      </c>
      <c r="BV17">
        <f t="shared" si="20"/>
        <v>78.011472275334597</v>
      </c>
      <c r="BW17">
        <f t="shared" si="21"/>
        <v>38.70967741935484</v>
      </c>
      <c r="BX17">
        <f t="shared" si="22"/>
        <v>1.134891753531112</v>
      </c>
      <c r="CC17">
        <v>3.5</v>
      </c>
      <c r="CD17">
        <v>12</v>
      </c>
      <c r="CE17">
        <f t="shared" si="98"/>
        <v>78</v>
      </c>
      <c r="CF17">
        <f t="shared" si="23"/>
        <v>70.588235294117652</v>
      </c>
      <c r="CG17">
        <f t="shared" si="24"/>
        <v>42.857142857142854</v>
      </c>
      <c r="CH17">
        <f t="shared" si="25"/>
        <v>1.300904977375567</v>
      </c>
      <c r="CM17">
        <v>3.5</v>
      </c>
      <c r="CN17">
        <v>12</v>
      </c>
      <c r="CO17">
        <f t="shared" si="99"/>
        <v>61.5</v>
      </c>
      <c r="CP17">
        <f t="shared" si="26"/>
        <v>63.239074550128535</v>
      </c>
      <c r="CQ17">
        <f t="shared" si="27"/>
        <v>32.432432432432435</v>
      </c>
      <c r="CR17">
        <f>(CQ17+CQ16)/2*(CP17-CP16)/100</f>
        <v>1.1185993191134571</v>
      </c>
      <c r="CW17">
        <v>4.5</v>
      </c>
      <c r="CX17">
        <v>12</v>
      </c>
      <c r="CY17">
        <f t="shared" si="100"/>
        <v>152.5</v>
      </c>
      <c r="CZ17">
        <f t="shared" si="29"/>
        <v>83.401695378725734</v>
      </c>
      <c r="DA17">
        <f t="shared" si="30"/>
        <v>38.70967741935484</v>
      </c>
      <c r="DB17">
        <f t="shared" si="31"/>
        <v>0.91296409007912516</v>
      </c>
      <c r="DG17">
        <v>6</v>
      </c>
      <c r="DH17">
        <v>12</v>
      </c>
      <c r="DI17">
        <f t="shared" si="101"/>
        <v>100</v>
      </c>
      <c r="DJ17">
        <f t="shared" si="32"/>
        <v>73.583517292126572</v>
      </c>
      <c r="DK17">
        <f t="shared" si="33"/>
        <v>41.379310344827587</v>
      </c>
      <c r="DL17">
        <f t="shared" si="80"/>
        <v>1.7507802390195679</v>
      </c>
      <c r="DQ17">
        <v>4</v>
      </c>
      <c r="DR17">
        <v>12</v>
      </c>
      <c r="DS17">
        <f t="shared" si="102"/>
        <v>67</v>
      </c>
      <c r="DT17">
        <f t="shared" si="35"/>
        <v>69.828035435122473</v>
      </c>
      <c r="DU17">
        <f t="shared" si="36"/>
        <v>41.379310344827587</v>
      </c>
      <c r="DV17">
        <f t="shared" si="82"/>
        <v>1.6531598713410411</v>
      </c>
      <c r="EA17">
        <v>2</v>
      </c>
      <c r="EB17">
        <v>12</v>
      </c>
      <c r="EC17">
        <f t="shared" si="103"/>
        <v>46</v>
      </c>
      <c r="ED17">
        <f t="shared" si="38"/>
        <v>68.965517241379331</v>
      </c>
      <c r="EE17">
        <f t="shared" si="39"/>
        <v>34.285714285714285</v>
      </c>
      <c r="EF17">
        <f t="shared" si="84"/>
        <v>0.98522167487684942</v>
      </c>
      <c r="EK17">
        <v>5.5</v>
      </c>
      <c r="EL17">
        <v>12</v>
      </c>
      <c r="EM17">
        <f t="shared" si="104"/>
        <v>97</v>
      </c>
      <c r="EN17">
        <f t="shared" si="41"/>
        <v>69.285714285714278</v>
      </c>
      <c r="EO17">
        <f t="shared" si="42"/>
        <v>33.333333333333329</v>
      </c>
      <c r="EP17">
        <f t="shared" si="86"/>
        <v>1.2549603174603134</v>
      </c>
      <c r="EU17">
        <v>3</v>
      </c>
      <c r="EV17">
        <v>12</v>
      </c>
      <c r="EW17">
        <f t="shared" si="105"/>
        <v>67.5</v>
      </c>
      <c r="EX17">
        <f t="shared" si="44"/>
        <v>74.175824175824175</v>
      </c>
      <c r="EY17">
        <f t="shared" si="45"/>
        <v>42.857142857142854</v>
      </c>
      <c r="EZ17">
        <f t="shared" si="88"/>
        <v>1.3540031397174264</v>
      </c>
      <c r="FE17">
        <v>4</v>
      </c>
      <c r="FF17">
        <v>12</v>
      </c>
      <c r="FG17">
        <f t="shared" si="106"/>
        <v>75.5</v>
      </c>
      <c r="FH17">
        <f t="shared" si="47"/>
        <v>66.666666666666657</v>
      </c>
      <c r="FI17">
        <f t="shared" si="48"/>
        <v>37.5</v>
      </c>
      <c r="FJ17">
        <f t="shared" si="90"/>
        <v>1.2693156732891795</v>
      </c>
      <c r="FO17">
        <v>5</v>
      </c>
      <c r="FP17">
        <v>12</v>
      </c>
      <c r="FQ17">
        <f t="shared" si="107"/>
        <v>79.5</v>
      </c>
      <c r="FR17">
        <f t="shared" si="50"/>
        <v>67.890691716481626</v>
      </c>
      <c r="FS17">
        <f t="shared" si="51"/>
        <v>36.363636363636367</v>
      </c>
      <c r="FT17">
        <f t="shared" si="92"/>
        <v>1.4879797117201001</v>
      </c>
      <c r="FY17">
        <v>2</v>
      </c>
      <c r="FZ17">
        <v>12</v>
      </c>
      <c r="GA17">
        <f t="shared" si="108"/>
        <v>39</v>
      </c>
      <c r="GB17">
        <f t="shared" si="53"/>
        <v>74.21503330161751</v>
      </c>
      <c r="GC17">
        <f t="shared" si="54"/>
        <v>42.857142857142854</v>
      </c>
      <c r="GD17">
        <f t="shared" si="94"/>
        <v>1.5631371482941403</v>
      </c>
      <c r="GI17">
        <v>3</v>
      </c>
      <c r="GJ17">
        <v>12</v>
      </c>
      <c r="GK17">
        <f t="shared" si="109"/>
        <v>84.5</v>
      </c>
      <c r="GL17">
        <f t="shared" si="56"/>
        <v>75.278396436525625</v>
      </c>
      <c r="GM17">
        <f t="shared" si="57"/>
        <v>36.363636363636367</v>
      </c>
      <c r="GN17">
        <f t="shared" si="96"/>
        <v>0.93136262401296122</v>
      </c>
    </row>
    <row r="18" spans="1:196" x14ac:dyDescent="0.2">
      <c r="A18">
        <v>18</v>
      </c>
      <c r="B18">
        <v>13</v>
      </c>
      <c r="C18">
        <f t="shared" si="59"/>
        <v>440</v>
      </c>
      <c r="D18">
        <f t="shared" si="0"/>
        <v>78.959174517720953</v>
      </c>
      <c r="E18">
        <f t="shared" si="1"/>
        <v>36.111111111111107</v>
      </c>
      <c r="F18">
        <f t="shared" si="2"/>
        <v>1.1215791834903543</v>
      </c>
      <c r="K18">
        <v>16</v>
      </c>
      <c r="L18">
        <v>13</v>
      </c>
      <c r="M18">
        <f t="shared" si="60"/>
        <v>351</v>
      </c>
      <c r="N18">
        <f t="shared" si="3"/>
        <v>78.304517568321259</v>
      </c>
      <c r="O18">
        <f t="shared" si="4"/>
        <v>43.333333333333336</v>
      </c>
      <c r="P18">
        <f t="shared" si="5"/>
        <v>1.487265290946276</v>
      </c>
      <c r="U18">
        <v>13</v>
      </c>
      <c r="V18">
        <v>13</v>
      </c>
      <c r="W18">
        <f t="shared" si="61"/>
        <v>305</v>
      </c>
      <c r="X18">
        <f t="shared" si="6"/>
        <v>77.068856601389768</v>
      </c>
      <c r="Y18">
        <f t="shared" si="7"/>
        <v>38.235294117647058</v>
      </c>
      <c r="Z18">
        <f t="shared" si="62"/>
        <v>1.2076845899446333</v>
      </c>
      <c r="AE18">
        <v>15</v>
      </c>
      <c r="AF18">
        <v>13</v>
      </c>
      <c r="AG18">
        <f t="shared" si="63"/>
        <v>366</v>
      </c>
      <c r="AH18">
        <f t="shared" si="8"/>
        <v>72.417886822318962</v>
      </c>
      <c r="AI18">
        <f t="shared" si="9"/>
        <v>30.952380952380953</v>
      </c>
      <c r="AJ18">
        <f t="shared" si="10"/>
        <v>0.88331731584600637</v>
      </c>
      <c r="AO18">
        <v>9</v>
      </c>
      <c r="AP18">
        <v>13</v>
      </c>
      <c r="AQ18">
        <f t="shared" si="64"/>
        <v>195</v>
      </c>
      <c r="AR18">
        <f t="shared" si="11"/>
        <v>64.11310208778562</v>
      </c>
      <c r="AS18">
        <f t="shared" si="12"/>
        <v>35.135135135135137</v>
      </c>
      <c r="AT18">
        <f t="shared" si="13"/>
        <v>0.99968454398834083</v>
      </c>
      <c r="AY18">
        <v>12</v>
      </c>
      <c r="AZ18">
        <v>13</v>
      </c>
      <c r="BA18">
        <f t="shared" si="65"/>
        <v>242</v>
      </c>
      <c r="BB18">
        <f t="shared" si="14"/>
        <v>75.424653264765467</v>
      </c>
      <c r="BC18">
        <f t="shared" si="15"/>
        <v>41.935483870967744</v>
      </c>
      <c r="BD18">
        <f t="shared" si="16"/>
        <v>1.5080909077199187</v>
      </c>
      <c r="BI18">
        <v>8</v>
      </c>
      <c r="BJ18">
        <v>13</v>
      </c>
      <c r="BK18">
        <f t="shared" si="66"/>
        <v>162.5</v>
      </c>
      <c r="BL18">
        <f t="shared" si="17"/>
        <v>77.288941736028534</v>
      </c>
      <c r="BM18">
        <f t="shared" si="18"/>
        <v>41.935483870967744</v>
      </c>
      <c r="BN18">
        <f t="shared" si="19"/>
        <v>1.5342717962487009</v>
      </c>
      <c r="BS18">
        <v>4</v>
      </c>
      <c r="BT18">
        <v>13</v>
      </c>
      <c r="BU18">
        <f t="shared" si="97"/>
        <v>106</v>
      </c>
      <c r="BV18">
        <f t="shared" si="20"/>
        <v>81.070745697896754</v>
      </c>
      <c r="BW18">
        <f t="shared" si="21"/>
        <v>41.935483870967744</v>
      </c>
      <c r="BX18">
        <f t="shared" si="22"/>
        <v>1.2335779929686119</v>
      </c>
      <c r="CC18">
        <v>3.5</v>
      </c>
      <c r="CD18">
        <v>13</v>
      </c>
      <c r="CE18">
        <f t="shared" si="98"/>
        <v>81.5</v>
      </c>
      <c r="CF18">
        <f t="shared" si="23"/>
        <v>73.755656108597293</v>
      </c>
      <c r="CG18">
        <f t="shared" si="24"/>
        <v>46.428571428571431</v>
      </c>
      <c r="CH18">
        <f t="shared" si="25"/>
        <v>1.4140271493212682</v>
      </c>
      <c r="CM18">
        <v>3.5</v>
      </c>
      <c r="CN18">
        <v>13</v>
      </c>
      <c r="CO18">
        <f t="shared" si="99"/>
        <v>65</v>
      </c>
      <c r="CP18">
        <f t="shared" si="26"/>
        <v>66.838046272493585</v>
      </c>
      <c r="CQ18">
        <f t="shared" si="27"/>
        <v>35.135135135135137</v>
      </c>
      <c r="CR18">
        <f t="shared" si="28"/>
        <v>1.2158688251233278</v>
      </c>
      <c r="CW18">
        <v>4.5</v>
      </c>
      <c r="CX18">
        <v>13</v>
      </c>
      <c r="CY18">
        <f t="shared" si="100"/>
        <v>157</v>
      </c>
      <c r="CZ18">
        <f t="shared" si="29"/>
        <v>85.862729012852071</v>
      </c>
      <c r="DA18">
        <f t="shared" si="30"/>
        <v>41.935483870967744</v>
      </c>
      <c r="DB18">
        <f t="shared" si="31"/>
        <v>0.9923522718251363</v>
      </c>
      <c r="DG18">
        <v>5</v>
      </c>
      <c r="DH18">
        <v>13</v>
      </c>
      <c r="DI18">
        <f t="shared" si="101"/>
        <v>105</v>
      </c>
      <c r="DJ18">
        <f t="shared" si="32"/>
        <v>77.262693156732894</v>
      </c>
      <c r="DK18">
        <f t="shared" si="33"/>
        <v>44.827586206896555</v>
      </c>
      <c r="DL18">
        <f t="shared" si="80"/>
        <v>1.585851665778587</v>
      </c>
      <c r="DQ18">
        <v>4</v>
      </c>
      <c r="DR18">
        <v>13</v>
      </c>
      <c r="DS18">
        <f t="shared" si="102"/>
        <v>71</v>
      </c>
      <c r="DT18">
        <f t="shared" si="35"/>
        <v>73.996873371547693</v>
      </c>
      <c r="DU18">
        <f t="shared" si="36"/>
        <v>44.827586206896555</v>
      </c>
      <c r="DV18">
        <f t="shared" si="82"/>
        <v>1.7969129036315605</v>
      </c>
      <c r="EA18">
        <v>2</v>
      </c>
      <c r="EB18">
        <v>13</v>
      </c>
      <c r="EC18">
        <f t="shared" si="103"/>
        <v>48</v>
      </c>
      <c r="ED18">
        <f t="shared" si="38"/>
        <v>71.964017991004511</v>
      </c>
      <c r="EE18">
        <f t="shared" si="39"/>
        <v>37.142857142857146</v>
      </c>
      <c r="EF18">
        <f t="shared" si="84"/>
        <v>1.0708931248661357</v>
      </c>
      <c r="EK18">
        <v>5</v>
      </c>
      <c r="EL18">
        <v>13</v>
      </c>
      <c r="EM18">
        <f t="shared" si="104"/>
        <v>102</v>
      </c>
      <c r="EN18">
        <f t="shared" si="41"/>
        <v>72.857142857142847</v>
      </c>
      <c r="EO18">
        <f t="shared" si="42"/>
        <v>36.111111111111107</v>
      </c>
      <c r="EP18">
        <f t="shared" si="86"/>
        <v>1.240079365079364</v>
      </c>
      <c r="EU18">
        <v>3</v>
      </c>
      <c r="EV18">
        <v>13</v>
      </c>
      <c r="EW18">
        <f t="shared" si="105"/>
        <v>70.5</v>
      </c>
      <c r="EX18">
        <f t="shared" si="44"/>
        <v>77.472527472527474</v>
      </c>
      <c r="EY18">
        <f t="shared" si="45"/>
        <v>46.428571428571431</v>
      </c>
      <c r="EZ18">
        <f t="shared" si="88"/>
        <v>1.4717425431711155</v>
      </c>
      <c r="FE18">
        <v>4</v>
      </c>
      <c r="FF18">
        <v>13</v>
      </c>
      <c r="FG18">
        <f t="shared" si="106"/>
        <v>79.5</v>
      </c>
      <c r="FH18">
        <f t="shared" si="47"/>
        <v>70.19867549668875</v>
      </c>
      <c r="FI18">
        <f t="shared" si="48"/>
        <v>40.625</v>
      </c>
      <c r="FJ18">
        <f t="shared" si="90"/>
        <v>1.3796909492273801</v>
      </c>
      <c r="FO18">
        <v>4</v>
      </c>
      <c r="FP18">
        <v>13</v>
      </c>
      <c r="FQ18">
        <f t="shared" si="107"/>
        <v>83.5</v>
      </c>
      <c r="FR18">
        <f t="shared" si="50"/>
        <v>71.306575576430404</v>
      </c>
      <c r="FS18">
        <f t="shared" si="51"/>
        <v>39.393939393939391</v>
      </c>
      <c r="FT18">
        <f t="shared" si="92"/>
        <v>1.2938954014957491</v>
      </c>
      <c r="FY18">
        <v>2</v>
      </c>
      <c r="FZ18">
        <v>13</v>
      </c>
      <c r="GA18">
        <f t="shared" si="108"/>
        <v>41</v>
      </c>
      <c r="GB18">
        <f t="shared" si="53"/>
        <v>78.0209324452902</v>
      </c>
      <c r="GC18">
        <f t="shared" si="54"/>
        <v>46.428571428571431</v>
      </c>
      <c r="GD18">
        <f t="shared" si="94"/>
        <v>1.6990621177110221</v>
      </c>
      <c r="GI18">
        <v>2.5</v>
      </c>
      <c r="GJ18">
        <v>13</v>
      </c>
      <c r="GK18">
        <f t="shared" si="109"/>
        <v>87</v>
      </c>
      <c r="GL18">
        <f t="shared" si="56"/>
        <v>77.505567928730528</v>
      </c>
      <c r="GM18">
        <f t="shared" si="57"/>
        <v>39.393939393939391</v>
      </c>
      <c r="GN18">
        <f t="shared" si="96"/>
        <v>0.84362556522912979</v>
      </c>
    </row>
    <row r="19" spans="1:196" x14ac:dyDescent="0.2">
      <c r="A19">
        <v>17</v>
      </c>
      <c r="B19">
        <v>14</v>
      </c>
      <c r="C19">
        <f t="shared" si="59"/>
        <v>457</v>
      </c>
      <c r="D19">
        <f t="shared" si="0"/>
        <v>82.009869896814706</v>
      </c>
      <c r="E19">
        <f t="shared" si="1"/>
        <v>38.888888888888893</v>
      </c>
      <c r="F19">
        <f t="shared" si="2"/>
        <v>1.1440107671601574</v>
      </c>
      <c r="K19">
        <v>16</v>
      </c>
      <c r="L19">
        <v>14</v>
      </c>
      <c r="M19">
        <f t="shared" si="60"/>
        <v>367</v>
      </c>
      <c r="N19">
        <f t="shared" si="3"/>
        <v>81.873954266592307</v>
      </c>
      <c r="O19">
        <f t="shared" si="4"/>
        <v>46.666666666666664</v>
      </c>
      <c r="P19">
        <f t="shared" si="5"/>
        <v>1.6062465142219713</v>
      </c>
      <c r="U19">
        <v>12</v>
      </c>
      <c r="V19">
        <v>14</v>
      </c>
      <c r="W19">
        <f t="shared" si="61"/>
        <v>317</v>
      </c>
      <c r="X19">
        <f t="shared" si="6"/>
        <v>80.101073910296904</v>
      </c>
      <c r="Y19">
        <f t="shared" si="7"/>
        <v>41.17647058823529</v>
      </c>
      <c r="Z19">
        <f t="shared" si="62"/>
        <v>1.2039686373601861</v>
      </c>
      <c r="AE19">
        <v>14</v>
      </c>
      <c r="AF19">
        <v>14</v>
      </c>
      <c r="AG19">
        <f t="shared" si="63"/>
        <v>380</v>
      </c>
      <c r="AH19">
        <f t="shared" si="8"/>
        <v>75.187969924812037</v>
      </c>
      <c r="AI19">
        <f t="shared" si="9"/>
        <v>33.333333333333329</v>
      </c>
      <c r="AJ19">
        <f t="shared" si="10"/>
        <v>0.89038385437277401</v>
      </c>
      <c r="AO19">
        <v>9</v>
      </c>
      <c r="AP19">
        <v>14</v>
      </c>
      <c r="AQ19">
        <f t="shared" si="64"/>
        <v>204</v>
      </c>
      <c r="AR19">
        <f t="shared" si="11"/>
        <v>67.072168337991116</v>
      </c>
      <c r="AS19">
        <f t="shared" si="12"/>
        <v>37.837837837837839</v>
      </c>
      <c r="AT19">
        <f t="shared" si="13"/>
        <v>1.0796593075074103</v>
      </c>
      <c r="AY19">
        <v>12</v>
      </c>
      <c r="AZ19">
        <v>14</v>
      </c>
      <c r="BA19">
        <f t="shared" si="65"/>
        <v>254</v>
      </c>
      <c r="BB19">
        <f t="shared" si="14"/>
        <v>79.164718715910851</v>
      </c>
      <c r="BC19">
        <f t="shared" si="15"/>
        <v>45.161290322580641</v>
      </c>
      <c r="BD19">
        <f t="shared" si="16"/>
        <v>1.6287381803375058</v>
      </c>
      <c r="BI19">
        <v>6</v>
      </c>
      <c r="BJ19">
        <v>14</v>
      </c>
      <c r="BK19">
        <f t="shared" si="66"/>
        <v>168.5</v>
      </c>
      <c r="BL19">
        <f t="shared" si="17"/>
        <v>80.142687277051124</v>
      </c>
      <c r="BM19">
        <f t="shared" si="18"/>
        <v>45.161290322580641</v>
      </c>
      <c r="BN19">
        <f t="shared" si="19"/>
        <v>1.2427601549614504</v>
      </c>
      <c r="BS19">
        <v>3.5</v>
      </c>
      <c r="BT19">
        <v>14</v>
      </c>
      <c r="BU19">
        <f t="shared" si="97"/>
        <v>109.5</v>
      </c>
      <c r="BV19">
        <f t="shared" si="20"/>
        <v>83.747609942638618</v>
      </c>
      <c r="BW19">
        <f t="shared" si="21"/>
        <v>45.161290322580641</v>
      </c>
      <c r="BX19">
        <f t="shared" si="22"/>
        <v>1.165731203355328</v>
      </c>
      <c r="CC19">
        <v>3.5</v>
      </c>
      <c r="CD19">
        <v>14</v>
      </c>
      <c r="CE19">
        <f t="shared" si="98"/>
        <v>85</v>
      </c>
      <c r="CF19">
        <f t="shared" si="23"/>
        <v>76.923076923076934</v>
      </c>
      <c r="CG19">
        <f t="shared" si="24"/>
        <v>50</v>
      </c>
      <c r="CH19">
        <f t="shared" si="25"/>
        <v>1.5271493212669696</v>
      </c>
      <c r="CM19">
        <v>3</v>
      </c>
      <c r="CN19">
        <v>14</v>
      </c>
      <c r="CO19">
        <f t="shared" si="99"/>
        <v>68</v>
      </c>
      <c r="CP19">
        <f t="shared" si="26"/>
        <v>69.922879177377894</v>
      </c>
      <c r="CQ19">
        <f t="shared" si="27"/>
        <v>37.837837837837839</v>
      </c>
      <c r="CR19">
        <f t="shared" si="28"/>
        <v>1.1255471409713016</v>
      </c>
      <c r="CW19">
        <v>3.5</v>
      </c>
      <c r="CX19">
        <v>14</v>
      </c>
      <c r="CY19">
        <f t="shared" si="100"/>
        <v>160.5</v>
      </c>
      <c r="CZ19">
        <f t="shared" si="29"/>
        <v>87.776866283839212</v>
      </c>
      <c r="DA19">
        <f t="shared" si="30"/>
        <v>45.161290322580641</v>
      </c>
      <c r="DB19">
        <f t="shared" si="31"/>
        <v>0.83357590833310946</v>
      </c>
      <c r="DG19">
        <v>4.75</v>
      </c>
      <c r="DH19">
        <v>14</v>
      </c>
      <c r="DI19">
        <f t="shared" si="101"/>
        <v>109.75</v>
      </c>
      <c r="DJ19">
        <f t="shared" si="32"/>
        <v>80.757910228108898</v>
      </c>
      <c r="DK19">
        <f t="shared" si="33"/>
        <v>48.275862068965516</v>
      </c>
      <c r="DL19">
        <f t="shared" si="80"/>
        <v>1.6270838090888293</v>
      </c>
      <c r="DQ19">
        <v>3.5</v>
      </c>
      <c r="DR19">
        <v>14</v>
      </c>
      <c r="DS19">
        <f t="shared" si="102"/>
        <v>74.5</v>
      </c>
      <c r="DT19">
        <f t="shared" si="35"/>
        <v>77.644606565919759</v>
      </c>
      <c r="DU19">
        <f t="shared" si="36"/>
        <v>48.275862068965516</v>
      </c>
      <c r="DV19">
        <f t="shared" si="82"/>
        <v>1.6980826939318237</v>
      </c>
      <c r="EA19">
        <v>2</v>
      </c>
      <c r="EB19">
        <v>14</v>
      </c>
      <c r="EC19">
        <f t="shared" si="103"/>
        <v>50</v>
      </c>
      <c r="ED19">
        <f t="shared" si="38"/>
        <v>74.962518740629704</v>
      </c>
      <c r="EE19">
        <f t="shared" si="39"/>
        <v>40</v>
      </c>
      <c r="EF19">
        <f t="shared" si="84"/>
        <v>1.1565645748554318</v>
      </c>
      <c r="EK19">
        <v>4</v>
      </c>
      <c r="EL19">
        <v>14</v>
      </c>
      <c r="EM19">
        <f t="shared" si="104"/>
        <v>106</v>
      </c>
      <c r="EN19">
        <f t="shared" si="41"/>
        <v>75.714285714285708</v>
      </c>
      <c r="EO19">
        <f t="shared" si="42"/>
        <v>38.888888888888893</v>
      </c>
      <c r="EP19">
        <f t="shared" si="86"/>
        <v>1.071428571428573</v>
      </c>
      <c r="EU19">
        <v>3</v>
      </c>
      <c r="EV19">
        <v>14</v>
      </c>
      <c r="EW19">
        <f t="shared" si="105"/>
        <v>73.5</v>
      </c>
      <c r="EX19">
        <f t="shared" si="44"/>
        <v>80.769230769230774</v>
      </c>
      <c r="EY19">
        <f t="shared" si="45"/>
        <v>50</v>
      </c>
      <c r="EZ19">
        <f t="shared" si="88"/>
        <v>1.5894819466248049</v>
      </c>
      <c r="FE19">
        <v>3</v>
      </c>
      <c r="FF19">
        <v>14</v>
      </c>
      <c r="FG19">
        <f t="shared" si="106"/>
        <v>82.5</v>
      </c>
      <c r="FH19">
        <f t="shared" si="47"/>
        <v>72.847682119205288</v>
      </c>
      <c r="FI19">
        <f t="shared" si="48"/>
        <v>43.75</v>
      </c>
      <c r="FJ19">
        <f t="shared" si="90"/>
        <v>1.1175496688741644</v>
      </c>
      <c r="FO19">
        <v>4</v>
      </c>
      <c r="FP19">
        <v>14</v>
      </c>
      <c r="FQ19">
        <f t="shared" si="107"/>
        <v>87.5</v>
      </c>
      <c r="FR19">
        <f t="shared" si="50"/>
        <v>74.722459436379168</v>
      </c>
      <c r="FS19">
        <f t="shared" si="51"/>
        <v>42.424242424242422</v>
      </c>
      <c r="FT19">
        <f t="shared" si="92"/>
        <v>1.3974070336154034</v>
      </c>
      <c r="FY19">
        <v>2</v>
      </c>
      <c r="FZ19">
        <v>14</v>
      </c>
      <c r="GA19">
        <f t="shared" si="108"/>
        <v>43</v>
      </c>
      <c r="GB19">
        <f t="shared" si="53"/>
        <v>81.826831588962904</v>
      </c>
      <c r="GC19">
        <f t="shared" si="54"/>
        <v>50</v>
      </c>
      <c r="GD19">
        <f t="shared" si="94"/>
        <v>1.8349870871279108</v>
      </c>
      <c r="GI19">
        <v>2.5</v>
      </c>
      <c r="GJ19">
        <v>14</v>
      </c>
      <c r="GK19">
        <f t="shared" si="109"/>
        <v>89.5</v>
      </c>
      <c r="GL19">
        <f t="shared" si="56"/>
        <v>79.732739420935417</v>
      </c>
      <c r="GM19">
        <f t="shared" si="57"/>
        <v>42.424242424242422</v>
      </c>
      <c r="GN19">
        <f t="shared" si="96"/>
        <v>0.91111561044745448</v>
      </c>
    </row>
    <row r="20" spans="1:196" x14ac:dyDescent="0.2">
      <c r="A20">
        <v>13</v>
      </c>
      <c r="B20">
        <v>15</v>
      </c>
      <c r="C20">
        <f t="shared" si="59"/>
        <v>470</v>
      </c>
      <c r="D20">
        <f t="shared" si="0"/>
        <v>84.342754598474656</v>
      </c>
      <c r="E20">
        <f t="shared" si="1"/>
        <v>41.666666666666671</v>
      </c>
      <c r="F20">
        <f t="shared" si="2"/>
        <v>0.93963411594636881</v>
      </c>
      <c r="K20">
        <v>14</v>
      </c>
      <c r="L20">
        <v>15</v>
      </c>
      <c r="M20">
        <f t="shared" si="60"/>
        <v>381</v>
      </c>
      <c r="N20">
        <f t="shared" si="3"/>
        <v>84.997211377579475</v>
      </c>
      <c r="O20">
        <f t="shared" si="4"/>
        <v>50</v>
      </c>
      <c r="P20">
        <f t="shared" si="5"/>
        <v>1.5095742703104644</v>
      </c>
      <c r="U20">
        <v>12</v>
      </c>
      <c r="V20">
        <v>15</v>
      </c>
      <c r="W20">
        <f t="shared" si="61"/>
        <v>329</v>
      </c>
      <c r="X20">
        <f t="shared" si="6"/>
        <v>83.13329121920404</v>
      </c>
      <c r="Y20">
        <f t="shared" si="7"/>
        <v>44.117647058823529</v>
      </c>
      <c r="Z20">
        <f t="shared" si="62"/>
        <v>1.2931514993868667</v>
      </c>
      <c r="AE20">
        <v>13</v>
      </c>
      <c r="AF20">
        <v>15</v>
      </c>
      <c r="AG20">
        <f t="shared" si="63"/>
        <v>393</v>
      </c>
      <c r="AH20">
        <f t="shared" si="8"/>
        <v>77.760189948555606</v>
      </c>
      <c r="AI20">
        <f t="shared" si="9"/>
        <v>35.714285714285715</v>
      </c>
      <c r="AJ20">
        <f t="shared" si="10"/>
        <v>0.88802834153051757</v>
      </c>
      <c r="AO20">
        <v>8</v>
      </c>
      <c r="AP20">
        <v>15</v>
      </c>
      <c r="AQ20">
        <f t="shared" si="64"/>
        <v>212</v>
      </c>
      <c r="AR20">
        <f t="shared" si="11"/>
        <v>69.702449449284885</v>
      </c>
      <c r="AS20">
        <f t="shared" si="12"/>
        <v>40.54054054054054</v>
      </c>
      <c r="AT20">
        <f t="shared" si="13"/>
        <v>1.0307858409124231</v>
      </c>
      <c r="AY20">
        <v>10</v>
      </c>
      <c r="AZ20">
        <v>15</v>
      </c>
      <c r="BA20">
        <f t="shared" si="65"/>
        <v>264</v>
      </c>
      <c r="BB20">
        <f t="shared" si="14"/>
        <v>82.281439925198683</v>
      </c>
      <c r="BC20">
        <f t="shared" si="15"/>
        <v>48.387096774193552</v>
      </c>
      <c r="BD20">
        <f t="shared" si="16"/>
        <v>1.4578212107959212</v>
      </c>
      <c r="BI20">
        <v>6</v>
      </c>
      <c r="BJ20">
        <v>15</v>
      </c>
      <c r="BK20">
        <f t="shared" si="66"/>
        <v>174.5</v>
      </c>
      <c r="BL20">
        <f t="shared" si="17"/>
        <v>82.996432818073714</v>
      </c>
      <c r="BM20">
        <f t="shared" si="18"/>
        <v>48.387096774193552</v>
      </c>
      <c r="BN20">
        <f t="shared" si="19"/>
        <v>1.334816462736373</v>
      </c>
      <c r="BS20">
        <v>3</v>
      </c>
      <c r="BT20">
        <v>15</v>
      </c>
      <c r="BU20">
        <f t="shared" si="97"/>
        <v>112.5</v>
      </c>
      <c r="BV20">
        <f t="shared" si="20"/>
        <v>86.042065009560233</v>
      </c>
      <c r="BW20">
        <f t="shared" si="21"/>
        <v>48.387096774193552</v>
      </c>
      <c r="BX20">
        <f t="shared" si="22"/>
        <v>1.0732128538826904</v>
      </c>
      <c r="CC20">
        <v>3.5</v>
      </c>
      <c r="CD20">
        <v>15</v>
      </c>
      <c r="CE20">
        <f t="shared" si="98"/>
        <v>88.5</v>
      </c>
      <c r="CF20">
        <f t="shared" si="23"/>
        <v>80.090497737556561</v>
      </c>
      <c r="CG20">
        <f t="shared" si="24"/>
        <v>53.571428571428569</v>
      </c>
      <c r="CH20">
        <f t="shared" si="25"/>
        <v>1.6402714932126639</v>
      </c>
      <c r="CM20">
        <v>3</v>
      </c>
      <c r="CN20">
        <v>15</v>
      </c>
      <c r="CO20">
        <f t="shared" si="99"/>
        <v>71</v>
      </c>
      <c r="CP20">
        <f t="shared" si="26"/>
        <v>73.007712082262216</v>
      </c>
      <c r="CQ20">
        <f t="shared" si="27"/>
        <v>40.54054054054054</v>
      </c>
      <c r="CR20">
        <f t="shared" si="28"/>
        <v>1.2089210032654778</v>
      </c>
      <c r="CW20">
        <v>3</v>
      </c>
      <c r="CX20">
        <v>15</v>
      </c>
      <c r="CY20">
        <f t="shared" si="100"/>
        <v>163.5</v>
      </c>
      <c r="CZ20">
        <f t="shared" si="29"/>
        <v>89.417555373256775</v>
      </c>
      <c r="DA20">
        <f t="shared" si="30"/>
        <v>48.387096774193552</v>
      </c>
      <c r="DB20">
        <f t="shared" si="31"/>
        <v>0.76741909021144084</v>
      </c>
      <c r="DG20">
        <v>4</v>
      </c>
      <c r="DH20">
        <v>15</v>
      </c>
      <c r="DI20">
        <f t="shared" si="101"/>
        <v>113.75</v>
      </c>
      <c r="DJ20">
        <f t="shared" si="32"/>
        <v>83.701250919793964</v>
      </c>
      <c r="DK20">
        <f t="shared" si="33"/>
        <v>51.724137931034484</v>
      </c>
      <c r="DL20">
        <f t="shared" si="80"/>
        <v>1.4716703458425329</v>
      </c>
      <c r="DQ20">
        <v>3</v>
      </c>
      <c r="DR20">
        <v>15</v>
      </c>
      <c r="DS20">
        <f t="shared" si="102"/>
        <v>77.5</v>
      </c>
      <c r="DT20">
        <f t="shared" si="35"/>
        <v>80.77123501823867</v>
      </c>
      <c r="DU20">
        <f t="shared" si="36"/>
        <v>51.724137931034484</v>
      </c>
      <c r="DV20">
        <f t="shared" si="82"/>
        <v>1.5633142261594557</v>
      </c>
      <c r="EA20">
        <v>2</v>
      </c>
      <c r="EB20">
        <v>15</v>
      </c>
      <c r="EC20">
        <f t="shared" si="103"/>
        <v>52</v>
      </c>
      <c r="ED20">
        <f t="shared" si="38"/>
        <v>77.961019490254884</v>
      </c>
      <c r="EE20">
        <f t="shared" si="39"/>
        <v>42.857142857142854</v>
      </c>
      <c r="EF20">
        <f t="shared" si="84"/>
        <v>1.2422360248447175</v>
      </c>
      <c r="EK20">
        <v>4</v>
      </c>
      <c r="EL20">
        <v>15</v>
      </c>
      <c r="EM20">
        <f t="shared" si="104"/>
        <v>110</v>
      </c>
      <c r="EN20">
        <f t="shared" si="41"/>
        <v>78.571428571428569</v>
      </c>
      <c r="EO20">
        <f t="shared" si="42"/>
        <v>41.666666666666671</v>
      </c>
      <c r="EP20">
        <f t="shared" si="86"/>
        <v>1.1507936507936527</v>
      </c>
      <c r="EU20">
        <v>3</v>
      </c>
      <c r="EV20">
        <v>15</v>
      </c>
      <c r="EW20">
        <f t="shared" si="105"/>
        <v>76.5</v>
      </c>
      <c r="EX20">
        <f t="shared" si="44"/>
        <v>84.065934065934073</v>
      </c>
      <c r="EY20">
        <f t="shared" si="45"/>
        <v>53.571428571428569</v>
      </c>
      <c r="EZ20">
        <f t="shared" si="88"/>
        <v>1.7072213500784943</v>
      </c>
      <c r="FE20">
        <v>3</v>
      </c>
      <c r="FF20">
        <v>15</v>
      </c>
      <c r="FG20">
        <f t="shared" si="106"/>
        <v>85.5</v>
      </c>
      <c r="FH20">
        <f t="shared" si="47"/>
        <v>75.496688741721854</v>
      </c>
      <c r="FI20">
        <f t="shared" si="48"/>
        <v>46.875</v>
      </c>
      <c r="FJ20">
        <f t="shared" si="90"/>
        <v>1.2003311258278191</v>
      </c>
      <c r="FO20">
        <v>3.5</v>
      </c>
      <c r="FP20">
        <v>15</v>
      </c>
      <c r="FQ20">
        <f t="shared" si="107"/>
        <v>91</v>
      </c>
      <c r="FR20">
        <f t="shared" si="50"/>
        <v>77.711357813834326</v>
      </c>
      <c r="FS20">
        <f t="shared" si="51"/>
        <v>45.454545454545453</v>
      </c>
      <c r="FT20">
        <f t="shared" si="92"/>
        <v>1.3133038325181752</v>
      </c>
      <c r="FY20">
        <v>1.3</v>
      </c>
      <c r="FZ20">
        <v>15</v>
      </c>
      <c r="GA20">
        <f t="shared" si="108"/>
        <v>44.3</v>
      </c>
      <c r="GB20">
        <f t="shared" si="53"/>
        <v>84.300666032350151</v>
      </c>
      <c r="GC20">
        <f t="shared" si="54"/>
        <v>53.571428571428569</v>
      </c>
      <c r="GD20">
        <f t="shared" si="94"/>
        <v>1.2810928367541101</v>
      </c>
      <c r="GI20">
        <v>2.5</v>
      </c>
      <c r="GJ20">
        <v>15</v>
      </c>
      <c r="GK20">
        <f t="shared" si="109"/>
        <v>92</v>
      </c>
      <c r="GL20">
        <f t="shared" si="56"/>
        <v>81.95991091314032</v>
      </c>
      <c r="GM20">
        <f t="shared" si="57"/>
        <v>45.454545454545453</v>
      </c>
      <c r="GN20">
        <f t="shared" si="96"/>
        <v>0.9786056556657905</v>
      </c>
    </row>
    <row r="21" spans="1:196" x14ac:dyDescent="0.2">
      <c r="A21">
        <v>12</v>
      </c>
      <c r="B21">
        <v>16</v>
      </c>
      <c r="C21">
        <f t="shared" si="59"/>
        <v>482</v>
      </c>
      <c r="D21">
        <f t="shared" si="0"/>
        <v>86.496186630776123</v>
      </c>
      <c r="E21">
        <f t="shared" si="1"/>
        <v>44.444444444444443</v>
      </c>
      <c r="F21">
        <f t="shared" si="2"/>
        <v>0.92717212501868718</v>
      </c>
      <c r="K21">
        <v>13</v>
      </c>
      <c r="L21">
        <v>16</v>
      </c>
      <c r="M21">
        <f t="shared" si="60"/>
        <v>394</v>
      </c>
      <c r="N21">
        <f t="shared" si="3"/>
        <v>87.897378694924711</v>
      </c>
      <c r="O21">
        <f t="shared" si="4"/>
        <v>53.333333333333336</v>
      </c>
      <c r="P21">
        <f t="shared" si="5"/>
        <v>1.4984197806283719</v>
      </c>
      <c r="U21">
        <v>10</v>
      </c>
      <c r="V21">
        <v>16</v>
      </c>
      <c r="W21">
        <f t="shared" si="61"/>
        <v>339</v>
      </c>
      <c r="X21">
        <f t="shared" si="6"/>
        <v>85.660138976626655</v>
      </c>
      <c r="Y21">
        <f t="shared" si="7"/>
        <v>47.058823529411761</v>
      </c>
      <c r="Z21">
        <f t="shared" si="62"/>
        <v>1.151945301177957</v>
      </c>
      <c r="AE21">
        <v>11</v>
      </c>
      <c r="AF21">
        <v>16</v>
      </c>
      <c r="AG21">
        <f t="shared" si="63"/>
        <v>404</v>
      </c>
      <c r="AH21">
        <f t="shared" si="8"/>
        <v>79.936683814800162</v>
      </c>
      <c r="AI21">
        <f t="shared" si="9"/>
        <v>38.095238095238095</v>
      </c>
      <c r="AJ21">
        <f t="shared" si="10"/>
        <v>0.80322987920930033</v>
      </c>
      <c r="AO21">
        <v>8</v>
      </c>
      <c r="AP21">
        <v>16</v>
      </c>
      <c r="AQ21">
        <f t="shared" si="64"/>
        <v>220</v>
      </c>
      <c r="AR21">
        <f t="shared" si="11"/>
        <v>72.332730560578653</v>
      </c>
      <c r="AS21">
        <f t="shared" si="12"/>
        <v>43.243243243243242</v>
      </c>
      <c r="AT21">
        <f t="shared" si="13"/>
        <v>1.1018745195960382</v>
      </c>
      <c r="AY21">
        <v>8</v>
      </c>
      <c r="AZ21">
        <v>16</v>
      </c>
      <c r="BA21">
        <f t="shared" si="65"/>
        <v>272</v>
      </c>
      <c r="BB21">
        <f t="shared" si="14"/>
        <v>84.774816892628948</v>
      </c>
      <c r="BC21">
        <f t="shared" si="15"/>
        <v>51.612903225806448</v>
      </c>
      <c r="BD21">
        <f t="shared" si="16"/>
        <v>1.2466884837151326</v>
      </c>
      <c r="BI21">
        <v>5.5</v>
      </c>
      <c r="BJ21">
        <v>16</v>
      </c>
      <c r="BK21">
        <f t="shared" si="66"/>
        <v>180</v>
      </c>
      <c r="BL21">
        <f t="shared" si="17"/>
        <v>85.612366230677765</v>
      </c>
      <c r="BM21">
        <f t="shared" si="18"/>
        <v>51.612903225806448</v>
      </c>
      <c r="BN21">
        <f t="shared" si="19"/>
        <v>1.3079667063020253</v>
      </c>
      <c r="BS21">
        <v>3</v>
      </c>
      <c r="BT21">
        <v>16</v>
      </c>
      <c r="BU21">
        <f t="shared" si="97"/>
        <v>115.5</v>
      </c>
      <c r="BV21">
        <f t="shared" si="20"/>
        <v>88.336520076481833</v>
      </c>
      <c r="BW21">
        <f t="shared" si="21"/>
        <v>51.612903225806448</v>
      </c>
      <c r="BX21">
        <f t="shared" si="22"/>
        <v>1.1472275334608</v>
      </c>
      <c r="CC21">
        <v>3</v>
      </c>
      <c r="CD21">
        <v>16</v>
      </c>
      <c r="CE21">
        <f t="shared" si="98"/>
        <v>91.5</v>
      </c>
      <c r="CF21">
        <f t="shared" si="23"/>
        <v>82.805429864253384</v>
      </c>
      <c r="CG21">
        <f t="shared" si="24"/>
        <v>57.142857142857139</v>
      </c>
      <c r="CH21">
        <f t="shared" si="25"/>
        <v>1.5029088558500268</v>
      </c>
      <c r="CM21">
        <v>2.5</v>
      </c>
      <c r="CN21">
        <v>16</v>
      </c>
      <c r="CO21">
        <f t="shared" si="99"/>
        <v>73.5</v>
      </c>
      <c r="CP21">
        <f t="shared" si="26"/>
        <v>75.578406169665811</v>
      </c>
      <c r="CQ21">
        <f t="shared" si="27"/>
        <v>43.243243243243242</v>
      </c>
      <c r="CR21">
        <f t="shared" si="28"/>
        <v>1.0769123879663709</v>
      </c>
      <c r="CW21">
        <v>3</v>
      </c>
      <c r="CX21">
        <v>16</v>
      </c>
      <c r="CY21">
        <f t="shared" si="100"/>
        <v>166.5</v>
      </c>
      <c r="CZ21">
        <f t="shared" si="29"/>
        <v>91.058244462674338</v>
      </c>
      <c r="DA21">
        <f t="shared" si="30"/>
        <v>51.612903225806448</v>
      </c>
      <c r="DB21">
        <f t="shared" si="31"/>
        <v>0.8203445447087816</v>
      </c>
      <c r="DG21">
        <v>3.5</v>
      </c>
      <c r="DH21">
        <v>16</v>
      </c>
      <c r="DI21">
        <f t="shared" si="101"/>
        <v>117.25</v>
      </c>
      <c r="DJ21">
        <f t="shared" si="32"/>
        <v>86.276674025018394</v>
      </c>
      <c r="DK21">
        <f t="shared" si="33"/>
        <v>55.172413793103445</v>
      </c>
      <c r="DL21">
        <f t="shared" si="80"/>
        <v>1.3765192458958166</v>
      </c>
      <c r="DQ21">
        <v>3</v>
      </c>
      <c r="DR21">
        <v>16</v>
      </c>
      <c r="DS21">
        <f t="shared" si="102"/>
        <v>80.5</v>
      </c>
      <c r="DT21">
        <f t="shared" si="35"/>
        <v>83.897863470557581</v>
      </c>
      <c r="DU21">
        <f t="shared" si="36"/>
        <v>55.172413793103445</v>
      </c>
      <c r="DV21">
        <f t="shared" si="82"/>
        <v>1.6711290003773493</v>
      </c>
      <c r="EA21">
        <v>2</v>
      </c>
      <c r="EB21">
        <v>16</v>
      </c>
      <c r="EC21">
        <f t="shared" si="103"/>
        <v>54</v>
      </c>
      <c r="ED21">
        <f t="shared" si="38"/>
        <v>80.959520239880078</v>
      </c>
      <c r="EE21">
        <f t="shared" si="39"/>
        <v>45.714285714285715</v>
      </c>
      <c r="EF21">
        <f t="shared" si="84"/>
        <v>1.3279074748340145</v>
      </c>
      <c r="EK21">
        <v>3</v>
      </c>
      <c r="EL21">
        <v>16</v>
      </c>
      <c r="EM21">
        <f t="shared" si="104"/>
        <v>113</v>
      </c>
      <c r="EN21">
        <f t="shared" si="41"/>
        <v>80.714285714285722</v>
      </c>
      <c r="EO21">
        <f t="shared" si="42"/>
        <v>44.444444444444443</v>
      </c>
      <c r="EP21">
        <f t="shared" si="86"/>
        <v>0.922619047619052</v>
      </c>
      <c r="EU21">
        <v>2</v>
      </c>
      <c r="EV21">
        <v>16</v>
      </c>
      <c r="EW21">
        <f t="shared" si="105"/>
        <v>78.5</v>
      </c>
      <c r="EX21">
        <f t="shared" si="44"/>
        <v>86.263736263736263</v>
      </c>
      <c r="EY21">
        <f t="shared" si="45"/>
        <v>57.142857142857139</v>
      </c>
      <c r="EZ21">
        <f t="shared" si="88"/>
        <v>1.2166405023547837</v>
      </c>
      <c r="FE21">
        <v>3</v>
      </c>
      <c r="FF21">
        <v>16</v>
      </c>
      <c r="FG21">
        <f t="shared" si="106"/>
        <v>88.5</v>
      </c>
      <c r="FH21">
        <f t="shared" si="47"/>
        <v>78.145695364238406</v>
      </c>
      <c r="FI21">
        <f t="shared" si="48"/>
        <v>50</v>
      </c>
      <c r="FJ21">
        <f t="shared" si="90"/>
        <v>1.2831125827814549</v>
      </c>
      <c r="FO21">
        <v>3.5</v>
      </c>
      <c r="FP21">
        <v>16</v>
      </c>
      <c r="FQ21">
        <f t="shared" si="107"/>
        <v>94.5</v>
      </c>
      <c r="FR21">
        <f t="shared" si="50"/>
        <v>80.700256191289483</v>
      </c>
      <c r="FS21">
        <f t="shared" si="51"/>
        <v>48.484848484848484</v>
      </c>
      <c r="FT21">
        <f t="shared" si="92"/>
        <v>1.4038765106228772</v>
      </c>
      <c r="FY21">
        <v>1</v>
      </c>
      <c r="FZ21">
        <v>16</v>
      </c>
      <c r="GA21">
        <f t="shared" si="108"/>
        <v>45.3</v>
      </c>
      <c r="GB21">
        <f t="shared" si="53"/>
        <v>86.203615604186496</v>
      </c>
      <c r="GC21">
        <f t="shared" si="54"/>
        <v>57.142857142857139</v>
      </c>
      <c r="GD21">
        <f t="shared" si="94"/>
        <v>1.0534185129808338</v>
      </c>
      <c r="GI21">
        <v>2.5</v>
      </c>
      <c r="GJ21">
        <v>16</v>
      </c>
      <c r="GK21">
        <f t="shared" si="109"/>
        <v>94.5</v>
      </c>
      <c r="GL21">
        <f t="shared" si="56"/>
        <v>84.187082405345222</v>
      </c>
      <c r="GM21">
        <f t="shared" si="57"/>
        <v>48.484848484848484</v>
      </c>
      <c r="GN21">
        <f t="shared" si="96"/>
        <v>1.046095700884121</v>
      </c>
    </row>
    <row r="22" spans="1:196" x14ac:dyDescent="0.2">
      <c r="A22">
        <v>12</v>
      </c>
      <c r="B22">
        <v>17</v>
      </c>
      <c r="C22">
        <f t="shared" si="59"/>
        <v>494</v>
      </c>
      <c r="D22">
        <f t="shared" si="0"/>
        <v>88.649618663077618</v>
      </c>
      <c r="E22">
        <f t="shared" si="1"/>
        <v>47.222222222222221</v>
      </c>
      <c r="F22">
        <f t="shared" si="2"/>
        <v>0.98698968147151855</v>
      </c>
      <c r="K22">
        <v>11</v>
      </c>
      <c r="L22">
        <v>17</v>
      </c>
      <c r="M22">
        <f t="shared" si="60"/>
        <v>405</v>
      </c>
      <c r="N22">
        <f t="shared" si="3"/>
        <v>90.351366424986054</v>
      </c>
      <c r="O22">
        <f t="shared" si="4"/>
        <v>56.666666666666664</v>
      </c>
      <c r="P22">
        <f t="shared" si="5"/>
        <v>1.3496932515337385</v>
      </c>
      <c r="U22">
        <v>7.5</v>
      </c>
      <c r="V22">
        <v>17</v>
      </c>
      <c r="W22">
        <f t="shared" si="61"/>
        <v>346.5</v>
      </c>
      <c r="X22">
        <f t="shared" si="6"/>
        <v>87.555274794693617</v>
      </c>
      <c r="Y22">
        <f t="shared" si="7"/>
        <v>50</v>
      </c>
      <c r="Z22">
        <f t="shared" si="62"/>
        <v>0.91969826465014304</v>
      </c>
      <c r="AE22">
        <v>10</v>
      </c>
      <c r="AF22">
        <v>17</v>
      </c>
      <c r="AG22">
        <f t="shared" si="63"/>
        <v>414</v>
      </c>
      <c r="AH22">
        <f t="shared" si="8"/>
        <v>81.915314602295226</v>
      </c>
      <c r="AI22">
        <f t="shared" si="9"/>
        <v>40.476190476190474</v>
      </c>
      <c r="AJ22">
        <f t="shared" si="10"/>
        <v>0.77731923794448932</v>
      </c>
      <c r="AO22">
        <v>8</v>
      </c>
      <c r="AP22">
        <v>17</v>
      </c>
      <c r="AQ22">
        <f t="shared" si="64"/>
        <v>228</v>
      </c>
      <c r="AR22">
        <f t="shared" si="11"/>
        <v>74.963011671872422</v>
      </c>
      <c r="AS22">
        <f t="shared" si="12"/>
        <v>45.945945945945951</v>
      </c>
      <c r="AT22">
        <f t="shared" si="13"/>
        <v>1.1729631982796538</v>
      </c>
      <c r="AY22">
        <v>7</v>
      </c>
      <c r="AZ22">
        <v>17</v>
      </c>
      <c r="BA22">
        <f t="shared" si="65"/>
        <v>279</v>
      </c>
      <c r="BB22">
        <f t="shared" si="14"/>
        <v>86.956521739130437</v>
      </c>
      <c r="BC22">
        <f t="shared" si="15"/>
        <v>54.838709677419352</v>
      </c>
      <c r="BD22">
        <f t="shared" si="16"/>
        <v>1.1612299989443409</v>
      </c>
      <c r="BI22">
        <v>5</v>
      </c>
      <c r="BJ22">
        <v>17</v>
      </c>
      <c r="BK22">
        <f t="shared" si="66"/>
        <v>185</v>
      </c>
      <c r="BL22">
        <f t="shared" si="17"/>
        <v>87.990487514863261</v>
      </c>
      <c r="BM22">
        <f t="shared" si="18"/>
        <v>54.838709677419352</v>
      </c>
      <c r="BN22">
        <f t="shared" si="19"/>
        <v>1.2657742319051837</v>
      </c>
      <c r="BS22">
        <v>2</v>
      </c>
      <c r="BT22">
        <v>17</v>
      </c>
      <c r="BU22">
        <f t="shared" si="97"/>
        <v>117.5</v>
      </c>
      <c r="BV22">
        <f t="shared" si="20"/>
        <v>89.866156787762904</v>
      </c>
      <c r="BW22">
        <f t="shared" si="21"/>
        <v>54.838709677419352</v>
      </c>
      <c r="BX22">
        <f t="shared" si="22"/>
        <v>0.81416147535927974</v>
      </c>
      <c r="CC22">
        <v>3</v>
      </c>
      <c r="CD22">
        <v>17</v>
      </c>
      <c r="CE22">
        <f t="shared" si="98"/>
        <v>94.5</v>
      </c>
      <c r="CF22">
        <f t="shared" si="23"/>
        <v>85.520361990950221</v>
      </c>
      <c r="CG22">
        <f t="shared" si="24"/>
        <v>60.714285714285708</v>
      </c>
      <c r="CH22">
        <f t="shared" si="25"/>
        <v>1.5998707175177787</v>
      </c>
      <c r="CM22">
        <v>2.5</v>
      </c>
      <c r="CN22">
        <v>17</v>
      </c>
      <c r="CO22">
        <f t="shared" si="99"/>
        <v>76</v>
      </c>
      <c r="CP22">
        <f t="shared" si="26"/>
        <v>78.149100257069406</v>
      </c>
      <c r="CQ22">
        <f t="shared" si="27"/>
        <v>45.945945945945951</v>
      </c>
      <c r="CR22">
        <f t="shared" si="28"/>
        <v>1.1463906065448466</v>
      </c>
      <c r="CW22">
        <v>3</v>
      </c>
      <c r="CX22">
        <v>17</v>
      </c>
      <c r="CY22">
        <f t="shared" si="100"/>
        <v>169.5</v>
      </c>
      <c r="CZ22">
        <f t="shared" si="29"/>
        <v>92.698933552091873</v>
      </c>
      <c r="DA22">
        <f t="shared" si="30"/>
        <v>54.838709677419352</v>
      </c>
      <c r="DB22">
        <f t="shared" si="31"/>
        <v>0.87326999920610715</v>
      </c>
      <c r="DG22">
        <v>3.5</v>
      </c>
      <c r="DH22">
        <v>17</v>
      </c>
      <c r="DI22">
        <f t="shared" si="101"/>
        <v>120.75</v>
      </c>
      <c r="DJ22">
        <f t="shared" si="32"/>
        <v>88.852097130242825</v>
      </c>
      <c r="DK22">
        <f t="shared" si="33"/>
        <v>58.620689655172406</v>
      </c>
      <c r="DL22">
        <f t="shared" si="80"/>
        <v>1.465326939179417</v>
      </c>
      <c r="DQ22">
        <v>2.5</v>
      </c>
      <c r="DR22">
        <v>17</v>
      </c>
      <c r="DS22">
        <f t="shared" si="102"/>
        <v>83</v>
      </c>
      <c r="DT22">
        <f t="shared" si="35"/>
        <v>86.503387180823353</v>
      </c>
      <c r="DU22">
        <f t="shared" si="36"/>
        <v>58.620689655172406</v>
      </c>
      <c r="DV22">
        <f t="shared" si="82"/>
        <v>1.4824531454960421</v>
      </c>
      <c r="EA22">
        <v>2</v>
      </c>
      <c r="EB22">
        <v>17</v>
      </c>
      <c r="EC22">
        <f t="shared" si="103"/>
        <v>56</v>
      </c>
      <c r="ED22">
        <f t="shared" si="38"/>
        <v>83.958020989505272</v>
      </c>
      <c r="EE22">
        <f t="shared" si="39"/>
        <v>48.571428571428569</v>
      </c>
      <c r="EF22">
        <f t="shared" si="84"/>
        <v>1.4135789248233055</v>
      </c>
      <c r="EK22">
        <v>3</v>
      </c>
      <c r="EL22">
        <v>17</v>
      </c>
      <c r="EM22">
        <f t="shared" si="104"/>
        <v>116</v>
      </c>
      <c r="EN22">
        <f t="shared" si="41"/>
        <v>82.857142857142861</v>
      </c>
      <c r="EO22">
        <f t="shared" si="42"/>
        <v>47.222222222222221</v>
      </c>
      <c r="EP22">
        <f t="shared" si="86"/>
        <v>0.98214285714285521</v>
      </c>
      <c r="EU22">
        <v>2</v>
      </c>
      <c r="EV22">
        <v>17</v>
      </c>
      <c r="EW22">
        <f t="shared" si="105"/>
        <v>80.5</v>
      </c>
      <c r="EX22">
        <f t="shared" si="44"/>
        <v>88.461538461538453</v>
      </c>
      <c r="EY22">
        <f t="shared" si="45"/>
        <v>60.714285714285708</v>
      </c>
      <c r="EZ22">
        <f t="shared" si="88"/>
        <v>1.2951334379905761</v>
      </c>
      <c r="FE22">
        <v>2.5</v>
      </c>
      <c r="FF22">
        <v>17</v>
      </c>
      <c r="FG22">
        <f t="shared" si="106"/>
        <v>91</v>
      </c>
      <c r="FH22">
        <f t="shared" si="47"/>
        <v>80.353200883002202</v>
      </c>
      <c r="FI22">
        <f t="shared" si="48"/>
        <v>53.125</v>
      </c>
      <c r="FJ22">
        <f t="shared" si="90"/>
        <v>1.1382450331125822</v>
      </c>
      <c r="FO22">
        <v>3</v>
      </c>
      <c r="FP22">
        <v>17</v>
      </c>
      <c r="FQ22">
        <f t="shared" si="107"/>
        <v>97.5</v>
      </c>
      <c r="FR22">
        <f t="shared" si="50"/>
        <v>83.262169086251063</v>
      </c>
      <c r="FS22">
        <f t="shared" si="51"/>
        <v>51.515151515151516</v>
      </c>
      <c r="FT22">
        <f t="shared" si="92"/>
        <v>1.28095644748079</v>
      </c>
      <c r="FY22">
        <v>1</v>
      </c>
      <c r="FZ22">
        <v>17</v>
      </c>
      <c r="GA22">
        <f t="shared" si="108"/>
        <v>46.3</v>
      </c>
      <c r="GB22">
        <f t="shared" si="53"/>
        <v>88.106565176022826</v>
      </c>
      <c r="GC22">
        <f t="shared" si="54"/>
        <v>60.714285714285708</v>
      </c>
      <c r="GD22">
        <f t="shared" si="94"/>
        <v>1.1213809976892661</v>
      </c>
      <c r="GI22">
        <v>2.5</v>
      </c>
      <c r="GJ22">
        <v>17</v>
      </c>
      <c r="GK22">
        <f t="shared" si="109"/>
        <v>97</v>
      </c>
      <c r="GL22">
        <f t="shared" si="56"/>
        <v>86.414253897550125</v>
      </c>
      <c r="GM22">
        <f t="shared" si="57"/>
        <v>51.515151515151516</v>
      </c>
      <c r="GN22">
        <f t="shared" si="96"/>
        <v>1.1135857461024514</v>
      </c>
    </row>
    <row r="23" spans="1:196" x14ac:dyDescent="0.2">
      <c r="A23">
        <v>12</v>
      </c>
      <c r="B23">
        <v>18</v>
      </c>
      <c r="C23">
        <f t="shared" si="59"/>
        <v>506</v>
      </c>
      <c r="D23">
        <f t="shared" si="0"/>
        <v>90.803050695379099</v>
      </c>
      <c r="E23">
        <f t="shared" si="1"/>
        <v>50</v>
      </c>
      <c r="F23">
        <f t="shared" si="2"/>
        <v>1.0468072379243312</v>
      </c>
      <c r="K23">
        <v>10</v>
      </c>
      <c r="L23">
        <v>18</v>
      </c>
      <c r="M23">
        <f t="shared" si="60"/>
        <v>415</v>
      </c>
      <c r="N23">
        <f t="shared" si="3"/>
        <v>92.582264361405464</v>
      </c>
      <c r="O23">
        <f t="shared" si="4"/>
        <v>60</v>
      </c>
      <c r="P23">
        <f t="shared" si="5"/>
        <v>1.3013571295779891</v>
      </c>
      <c r="U23">
        <v>7</v>
      </c>
      <c r="V23">
        <v>18</v>
      </c>
      <c r="W23">
        <f t="shared" si="61"/>
        <v>353.5</v>
      </c>
      <c r="X23">
        <f t="shared" si="6"/>
        <v>89.324068224889459</v>
      </c>
      <c r="Y23">
        <f t="shared" si="7"/>
        <v>52.941176470588239</v>
      </c>
      <c r="Z23">
        <f t="shared" si="62"/>
        <v>0.91040838318903639</v>
      </c>
      <c r="AE23">
        <v>10</v>
      </c>
      <c r="AF23">
        <v>18</v>
      </c>
      <c r="AG23">
        <f t="shared" si="63"/>
        <v>424</v>
      </c>
      <c r="AH23">
        <f t="shared" si="8"/>
        <v>83.893945389790275</v>
      </c>
      <c r="AI23">
        <f t="shared" si="9"/>
        <v>42.857142857142854</v>
      </c>
      <c r="AJ23">
        <f t="shared" si="10"/>
        <v>0.82442949478960381</v>
      </c>
      <c r="AO23">
        <v>7.5</v>
      </c>
      <c r="AP23">
        <v>18</v>
      </c>
      <c r="AQ23">
        <f t="shared" si="64"/>
        <v>235.5</v>
      </c>
      <c r="AR23">
        <f t="shared" si="11"/>
        <v>77.428900213710321</v>
      </c>
      <c r="AS23">
        <f t="shared" si="12"/>
        <v>48.648648648648653</v>
      </c>
      <c r="AT23">
        <f t="shared" si="13"/>
        <v>1.1662986346530604</v>
      </c>
      <c r="AY23">
        <v>7</v>
      </c>
      <c r="AZ23">
        <v>18</v>
      </c>
      <c r="BA23">
        <f t="shared" si="65"/>
        <v>286</v>
      </c>
      <c r="BB23">
        <f t="shared" si="14"/>
        <v>89.138226585631912</v>
      </c>
      <c r="BC23">
        <f t="shared" si="15"/>
        <v>58.064516129032263</v>
      </c>
      <c r="BD23">
        <f t="shared" si="16"/>
        <v>1.2316075746379296</v>
      </c>
      <c r="BI23">
        <v>5</v>
      </c>
      <c r="BJ23">
        <v>18</v>
      </c>
      <c r="BK23">
        <f t="shared" si="66"/>
        <v>190</v>
      </c>
      <c r="BL23">
        <f t="shared" si="17"/>
        <v>90.368608799048758</v>
      </c>
      <c r="BM23">
        <f t="shared" si="18"/>
        <v>58.064516129032263</v>
      </c>
      <c r="BN23">
        <f t="shared" si="19"/>
        <v>1.3424878217176193</v>
      </c>
      <c r="BS23">
        <v>2</v>
      </c>
      <c r="BT23">
        <v>18</v>
      </c>
      <c r="BU23">
        <f t="shared" si="97"/>
        <v>119.5</v>
      </c>
      <c r="BV23">
        <f t="shared" si="20"/>
        <v>91.395793499043975</v>
      </c>
      <c r="BW23">
        <f t="shared" si="21"/>
        <v>58.064516129032263</v>
      </c>
      <c r="BX23">
        <f t="shared" si="22"/>
        <v>0.86350459507802413</v>
      </c>
      <c r="CC23">
        <v>2.5</v>
      </c>
      <c r="CD23">
        <v>18</v>
      </c>
      <c r="CE23">
        <f t="shared" si="98"/>
        <v>97</v>
      </c>
      <c r="CF23">
        <f t="shared" si="23"/>
        <v>87.782805429864254</v>
      </c>
      <c r="CG23">
        <f t="shared" si="24"/>
        <v>64.285714285714292</v>
      </c>
      <c r="CH23">
        <f t="shared" si="25"/>
        <v>1.4140271493212708</v>
      </c>
      <c r="CM23">
        <v>2.5</v>
      </c>
      <c r="CN23">
        <v>18</v>
      </c>
      <c r="CO23">
        <f t="shared" si="99"/>
        <v>78.5</v>
      </c>
      <c r="CP23">
        <f t="shared" si="26"/>
        <v>80.719794344473002</v>
      </c>
      <c r="CQ23">
        <f t="shared" si="27"/>
        <v>48.648648648648653</v>
      </c>
      <c r="CR23">
        <f t="shared" si="28"/>
        <v>1.2158688251233223</v>
      </c>
      <c r="CW23">
        <v>2.5</v>
      </c>
      <c r="CX23">
        <v>18</v>
      </c>
      <c r="CY23">
        <f t="shared" si="100"/>
        <v>172</v>
      </c>
      <c r="CZ23">
        <f t="shared" si="29"/>
        <v>94.066174459939845</v>
      </c>
      <c r="DA23">
        <f t="shared" si="30"/>
        <v>58.064516129032263</v>
      </c>
      <c r="DB23">
        <f t="shared" si="31"/>
        <v>0.77182954475288723</v>
      </c>
      <c r="DG23">
        <v>3</v>
      </c>
      <c r="DH23">
        <v>18</v>
      </c>
      <c r="DI23">
        <f t="shared" si="101"/>
        <v>123.75</v>
      </c>
      <c r="DJ23">
        <f t="shared" si="32"/>
        <v>91.059602649006621</v>
      </c>
      <c r="DK23">
        <f t="shared" si="33"/>
        <v>62.068965517241381</v>
      </c>
      <c r="DL23">
        <f t="shared" si="80"/>
        <v>1.3321153992540145</v>
      </c>
      <c r="DQ23">
        <v>2</v>
      </c>
      <c r="DR23">
        <v>18</v>
      </c>
      <c r="DS23">
        <f t="shared" si="102"/>
        <v>85</v>
      </c>
      <c r="DT23">
        <f t="shared" si="35"/>
        <v>88.58780614903597</v>
      </c>
      <c r="DU23">
        <f t="shared" si="36"/>
        <v>62.068965517241381</v>
      </c>
      <c r="DV23">
        <f t="shared" si="82"/>
        <v>1.2578390325420963</v>
      </c>
      <c r="EA23">
        <v>2</v>
      </c>
      <c r="EB23">
        <v>18</v>
      </c>
      <c r="EC23">
        <f t="shared" si="103"/>
        <v>58</v>
      </c>
      <c r="ED23">
        <f t="shared" si="38"/>
        <v>86.956521739130451</v>
      </c>
      <c r="EE23">
        <f t="shared" si="39"/>
        <v>51.428571428571423</v>
      </c>
      <c r="EF23">
        <f t="shared" si="84"/>
        <v>1.4992503748125898</v>
      </c>
      <c r="EK23">
        <v>3</v>
      </c>
      <c r="EL23">
        <v>18</v>
      </c>
      <c r="EM23">
        <f t="shared" si="104"/>
        <v>119</v>
      </c>
      <c r="EN23">
        <f t="shared" si="41"/>
        <v>85</v>
      </c>
      <c r="EO23">
        <f t="shared" si="42"/>
        <v>50</v>
      </c>
      <c r="EP23">
        <f t="shared" si="86"/>
        <v>1.0416666666666647</v>
      </c>
      <c r="EU23">
        <v>1.5</v>
      </c>
      <c r="EV23">
        <v>18</v>
      </c>
      <c r="EW23">
        <f t="shared" si="105"/>
        <v>82</v>
      </c>
      <c r="EX23">
        <f t="shared" si="44"/>
        <v>90.109890109890117</v>
      </c>
      <c r="EY23">
        <f t="shared" si="45"/>
        <v>64.285714285714292</v>
      </c>
      <c r="EZ23">
        <f t="shared" si="88"/>
        <v>1.0302197802197899</v>
      </c>
      <c r="FE23">
        <v>2.5</v>
      </c>
      <c r="FF23">
        <v>18</v>
      </c>
      <c r="FG23">
        <f t="shared" si="106"/>
        <v>93.5</v>
      </c>
      <c r="FH23">
        <f t="shared" si="47"/>
        <v>82.560706401765998</v>
      </c>
      <c r="FI23">
        <f t="shared" si="48"/>
        <v>56.25</v>
      </c>
      <c r="FJ23">
        <f t="shared" si="90"/>
        <v>1.2072295805739508</v>
      </c>
      <c r="FO23">
        <v>2.5</v>
      </c>
      <c r="FP23">
        <v>18</v>
      </c>
      <c r="FQ23">
        <f t="shared" si="107"/>
        <v>100</v>
      </c>
      <c r="FR23">
        <f t="shared" si="50"/>
        <v>85.397096498719037</v>
      </c>
      <c r="FS23">
        <f t="shared" si="51"/>
        <v>54.54545454545454</v>
      </c>
      <c r="FT23">
        <f t="shared" si="92"/>
        <v>1.132158476308774</v>
      </c>
      <c r="FY23">
        <v>1</v>
      </c>
      <c r="FZ23">
        <v>18</v>
      </c>
      <c r="GA23">
        <f t="shared" si="108"/>
        <v>47.3</v>
      </c>
      <c r="GB23">
        <f t="shared" si="53"/>
        <v>90.009514747859171</v>
      </c>
      <c r="GC23">
        <f t="shared" si="54"/>
        <v>64.285714285714292</v>
      </c>
      <c r="GD23">
        <f t="shared" si="94"/>
        <v>1.1893434823977156</v>
      </c>
      <c r="GI23">
        <v>2</v>
      </c>
      <c r="GJ23">
        <v>18</v>
      </c>
      <c r="GK23">
        <f t="shared" si="109"/>
        <v>99</v>
      </c>
      <c r="GL23">
        <f t="shared" si="56"/>
        <v>88.195991091314042</v>
      </c>
      <c r="GM23">
        <f t="shared" si="57"/>
        <v>54.54545454545454</v>
      </c>
      <c r="GN23">
        <f t="shared" si="96"/>
        <v>0.94486063305662238</v>
      </c>
    </row>
    <row r="24" spans="1:196" x14ac:dyDescent="0.2">
      <c r="A24">
        <v>10</v>
      </c>
      <c r="B24">
        <v>19</v>
      </c>
      <c r="C24">
        <f t="shared" si="59"/>
        <v>516</v>
      </c>
      <c r="D24">
        <f t="shared" si="0"/>
        <v>92.597577388963657</v>
      </c>
      <c r="E24">
        <f t="shared" si="1"/>
        <v>52.777777777777779</v>
      </c>
      <c r="F24">
        <f t="shared" si="2"/>
        <v>0.92218732864761999</v>
      </c>
      <c r="K24">
        <v>7.5</v>
      </c>
      <c r="L24">
        <v>19</v>
      </c>
      <c r="M24">
        <f t="shared" si="60"/>
        <v>422.5</v>
      </c>
      <c r="N24">
        <f t="shared" si="3"/>
        <v>94.255437813720022</v>
      </c>
      <c r="O24">
        <f t="shared" si="4"/>
        <v>63.333333333333329</v>
      </c>
      <c r="P24">
        <f t="shared" si="5"/>
        <v>1.0317902955939773</v>
      </c>
      <c r="U24">
        <v>7</v>
      </c>
      <c r="V24">
        <v>19</v>
      </c>
      <c r="W24">
        <f t="shared" si="61"/>
        <v>360.5</v>
      </c>
      <c r="X24">
        <f t="shared" si="6"/>
        <v>91.092861655085272</v>
      </c>
      <c r="Y24">
        <f t="shared" si="7"/>
        <v>55.882352941176471</v>
      </c>
      <c r="Z24">
        <f t="shared" si="62"/>
        <v>0.96243171937125149</v>
      </c>
      <c r="AE24">
        <v>10</v>
      </c>
      <c r="AF24">
        <v>19</v>
      </c>
      <c r="AG24">
        <f t="shared" si="63"/>
        <v>434</v>
      </c>
      <c r="AH24">
        <f t="shared" si="8"/>
        <v>85.872576177285325</v>
      </c>
      <c r="AI24">
        <f t="shared" si="9"/>
        <v>45.238095238095241</v>
      </c>
      <c r="AJ24">
        <f t="shared" si="10"/>
        <v>0.87153975163472419</v>
      </c>
      <c r="AO24">
        <v>7</v>
      </c>
      <c r="AP24">
        <v>19</v>
      </c>
      <c r="AQ24">
        <f t="shared" si="64"/>
        <v>242.5</v>
      </c>
      <c r="AR24">
        <f t="shared" si="11"/>
        <v>79.730396186092378</v>
      </c>
      <c r="AS24">
        <f t="shared" si="12"/>
        <v>51.351351351351347</v>
      </c>
      <c r="AT24">
        <f t="shared" si="13"/>
        <v>1.1507479861910284</v>
      </c>
      <c r="AY24">
        <v>6</v>
      </c>
      <c r="AZ24">
        <v>19</v>
      </c>
      <c r="BA24">
        <f t="shared" si="65"/>
        <v>292</v>
      </c>
      <c r="BB24">
        <f t="shared" si="14"/>
        <v>91.008259311204611</v>
      </c>
      <c r="BC24">
        <f t="shared" si="15"/>
        <v>61.29032258064516</v>
      </c>
      <c r="BD24">
        <f t="shared" si="16"/>
        <v>1.1159872717127397</v>
      </c>
      <c r="BI24">
        <v>4.5</v>
      </c>
      <c r="BJ24">
        <v>19</v>
      </c>
      <c r="BK24">
        <f t="shared" si="66"/>
        <v>194.5</v>
      </c>
      <c r="BL24">
        <f t="shared" si="17"/>
        <v>92.508917954815701</v>
      </c>
      <c r="BM24">
        <f t="shared" si="18"/>
        <v>61.29032258064516</v>
      </c>
      <c r="BN24">
        <f t="shared" si="19"/>
        <v>1.2772812703770464</v>
      </c>
      <c r="BS24">
        <v>2</v>
      </c>
      <c r="BT24">
        <v>19</v>
      </c>
      <c r="BU24">
        <f t="shared" si="97"/>
        <v>121.5</v>
      </c>
      <c r="BV24">
        <f t="shared" si="20"/>
        <v>92.925430210325047</v>
      </c>
      <c r="BW24">
        <f t="shared" si="21"/>
        <v>61.29032258064516</v>
      </c>
      <c r="BX24">
        <f t="shared" si="22"/>
        <v>0.91284771479676852</v>
      </c>
      <c r="CC24">
        <v>2</v>
      </c>
      <c r="CD24">
        <v>19</v>
      </c>
      <c r="CE24">
        <f t="shared" si="98"/>
        <v>99</v>
      </c>
      <c r="CF24">
        <f t="shared" si="23"/>
        <v>89.592760180995484</v>
      </c>
      <c r="CG24">
        <f t="shared" si="24"/>
        <v>67.857142857142861</v>
      </c>
      <c r="CH24">
        <f t="shared" si="25"/>
        <v>1.1958629605688484</v>
      </c>
      <c r="CM24">
        <v>2</v>
      </c>
      <c r="CN24">
        <v>19</v>
      </c>
      <c r="CO24">
        <f t="shared" si="99"/>
        <v>80.5</v>
      </c>
      <c r="CP24">
        <f t="shared" si="26"/>
        <v>82.776349614395883</v>
      </c>
      <c r="CQ24">
        <f t="shared" si="27"/>
        <v>51.351351351351347</v>
      </c>
      <c r="CR24">
        <f t="shared" si="28"/>
        <v>1.0282776349614409</v>
      </c>
      <c r="CW24">
        <v>2</v>
      </c>
      <c r="CX24">
        <v>19</v>
      </c>
      <c r="CY24">
        <f t="shared" si="100"/>
        <v>174</v>
      </c>
      <c r="CZ24">
        <f t="shared" si="29"/>
        <v>95.159967186218225</v>
      </c>
      <c r="DA24">
        <f t="shared" si="30"/>
        <v>61.29032258064516</v>
      </c>
      <c r="DB24">
        <f t="shared" si="31"/>
        <v>0.65274727213387207</v>
      </c>
      <c r="DG24">
        <v>2.4</v>
      </c>
      <c r="DH24">
        <v>19</v>
      </c>
      <c r="DI24">
        <f t="shared" si="101"/>
        <v>126.15</v>
      </c>
      <c r="DJ24">
        <f t="shared" si="32"/>
        <v>92.82560706401766</v>
      </c>
      <c r="DK24">
        <f t="shared" si="33"/>
        <v>65.517241379310349</v>
      </c>
      <c r="DL24">
        <f t="shared" si="80"/>
        <v>1.1265890233691114</v>
      </c>
      <c r="DQ24">
        <v>2</v>
      </c>
      <c r="DR24">
        <v>19</v>
      </c>
      <c r="DS24">
        <f t="shared" si="102"/>
        <v>87</v>
      </c>
      <c r="DT24">
        <f t="shared" si="35"/>
        <v>90.672225117248573</v>
      </c>
      <c r="DU24">
        <f t="shared" si="36"/>
        <v>65.517241379310349</v>
      </c>
      <c r="DV24">
        <f t="shared" si="82"/>
        <v>1.3297155486873502</v>
      </c>
      <c r="EA24">
        <v>1.5</v>
      </c>
      <c r="EB24">
        <v>19</v>
      </c>
      <c r="EC24">
        <f t="shared" si="103"/>
        <v>59.5</v>
      </c>
      <c r="ED24">
        <f t="shared" si="38"/>
        <v>89.205397301349336</v>
      </c>
      <c r="EE24">
        <f t="shared" si="39"/>
        <v>54.285714285714285</v>
      </c>
      <c r="EF24">
        <f t="shared" si="84"/>
        <v>1.1886913686014104</v>
      </c>
      <c r="EK24">
        <v>2.5</v>
      </c>
      <c r="EL24">
        <v>19</v>
      </c>
      <c r="EM24">
        <f t="shared" si="104"/>
        <v>121.5</v>
      </c>
      <c r="EN24">
        <f t="shared" si="41"/>
        <v>86.785714285714292</v>
      </c>
      <c r="EO24">
        <f t="shared" si="42"/>
        <v>52.777777777777779</v>
      </c>
      <c r="EP24">
        <f t="shared" si="86"/>
        <v>0.91765873015873323</v>
      </c>
      <c r="EU24">
        <v>1.5</v>
      </c>
      <c r="EV24">
        <v>19</v>
      </c>
      <c r="EW24">
        <f t="shared" si="105"/>
        <v>83.5</v>
      </c>
      <c r="EX24">
        <f t="shared" si="44"/>
        <v>91.758241758241752</v>
      </c>
      <c r="EY24">
        <f t="shared" si="45"/>
        <v>67.857142857142861</v>
      </c>
      <c r="EZ24">
        <f t="shared" si="88"/>
        <v>1.0890894819466164</v>
      </c>
      <c r="FE24">
        <v>2.5</v>
      </c>
      <c r="FF24">
        <v>19</v>
      </c>
      <c r="FG24">
        <f t="shared" si="106"/>
        <v>96</v>
      </c>
      <c r="FH24">
        <f t="shared" si="47"/>
        <v>84.768211920529808</v>
      </c>
      <c r="FI24">
        <f t="shared" si="48"/>
        <v>59.375</v>
      </c>
      <c r="FJ24">
        <f t="shared" si="90"/>
        <v>1.2762141280353276</v>
      </c>
      <c r="FO24">
        <v>2</v>
      </c>
      <c r="FP24">
        <v>19</v>
      </c>
      <c r="FQ24">
        <f t="shared" si="107"/>
        <v>102</v>
      </c>
      <c r="FR24">
        <f t="shared" si="50"/>
        <v>87.105038428693419</v>
      </c>
      <c r="FS24">
        <f t="shared" si="51"/>
        <v>57.575757575757578</v>
      </c>
      <c r="FT24">
        <f t="shared" si="92"/>
        <v>0.95748259710685046</v>
      </c>
      <c r="FY24">
        <v>1</v>
      </c>
      <c r="FZ24">
        <v>19</v>
      </c>
      <c r="GA24">
        <f t="shared" si="108"/>
        <v>48.3</v>
      </c>
      <c r="GB24">
        <f t="shared" si="53"/>
        <v>91.91246431969553</v>
      </c>
      <c r="GC24">
        <f t="shared" si="54"/>
        <v>67.857142857142861</v>
      </c>
      <c r="GD24">
        <f t="shared" si="94"/>
        <v>1.2573059671061662</v>
      </c>
      <c r="GI24">
        <v>2</v>
      </c>
      <c r="GJ24">
        <v>19</v>
      </c>
      <c r="GK24">
        <f t="shared" si="109"/>
        <v>101</v>
      </c>
      <c r="GL24">
        <f t="shared" si="56"/>
        <v>89.977728285077959</v>
      </c>
      <c r="GM24">
        <f t="shared" si="57"/>
        <v>57.575757575757578</v>
      </c>
      <c r="GN24">
        <f t="shared" si="96"/>
        <v>0.99885266923128657</v>
      </c>
    </row>
    <row r="25" spans="1:196" x14ac:dyDescent="0.2">
      <c r="A25">
        <v>7.5</v>
      </c>
      <c r="B25">
        <v>20</v>
      </c>
      <c r="C25">
        <f t="shared" si="59"/>
        <v>523.5</v>
      </c>
      <c r="D25">
        <f t="shared" si="0"/>
        <v>93.943472409152079</v>
      </c>
      <c r="E25">
        <f t="shared" si="1"/>
        <v>55.555555555555557</v>
      </c>
      <c r="F25">
        <f t="shared" si="2"/>
        <v>0.72902646926872872</v>
      </c>
      <c r="K25">
        <v>7</v>
      </c>
      <c r="L25">
        <v>20</v>
      </c>
      <c r="M25">
        <f t="shared" si="60"/>
        <v>429.5</v>
      </c>
      <c r="N25">
        <f t="shared" si="3"/>
        <v>95.817066369213606</v>
      </c>
      <c r="O25">
        <f t="shared" si="4"/>
        <v>66.666666666666657</v>
      </c>
      <c r="P25">
        <f t="shared" si="5"/>
        <v>1.0150585610708298</v>
      </c>
      <c r="U25">
        <v>6</v>
      </c>
      <c r="V25">
        <v>20</v>
      </c>
      <c r="W25">
        <f t="shared" si="61"/>
        <v>366.5</v>
      </c>
      <c r="X25">
        <f t="shared" si="6"/>
        <v>92.608970309538847</v>
      </c>
      <c r="Y25">
        <f t="shared" si="7"/>
        <v>58.82352941176471</v>
      </c>
      <c r="Z25">
        <f t="shared" si="62"/>
        <v>0.86953290476013867</v>
      </c>
      <c r="AE25">
        <v>10</v>
      </c>
      <c r="AF25">
        <v>20</v>
      </c>
      <c r="AG25">
        <f t="shared" si="63"/>
        <v>444</v>
      </c>
      <c r="AH25">
        <f t="shared" si="8"/>
        <v>87.851206964780374</v>
      </c>
      <c r="AI25">
        <f t="shared" si="9"/>
        <v>47.619047619047613</v>
      </c>
      <c r="AJ25">
        <f t="shared" si="10"/>
        <v>0.91865000847984446</v>
      </c>
      <c r="AO25">
        <v>7</v>
      </c>
      <c r="AP25">
        <v>20</v>
      </c>
      <c r="AQ25">
        <f t="shared" si="64"/>
        <v>249.5</v>
      </c>
      <c r="AR25">
        <f t="shared" si="11"/>
        <v>82.031892158474434</v>
      </c>
      <c r="AS25">
        <f t="shared" si="12"/>
        <v>54.054054054054056</v>
      </c>
      <c r="AT25">
        <f t="shared" si="13"/>
        <v>1.212950580039192</v>
      </c>
      <c r="AY25">
        <v>6</v>
      </c>
      <c r="AZ25">
        <v>20</v>
      </c>
      <c r="BA25">
        <f t="shared" si="65"/>
        <v>298</v>
      </c>
      <c r="BB25">
        <f t="shared" si="14"/>
        <v>92.878292036777296</v>
      </c>
      <c r="BC25">
        <f t="shared" si="15"/>
        <v>64.516129032258064</v>
      </c>
      <c r="BD25">
        <f t="shared" si="16"/>
        <v>1.1763109080215275</v>
      </c>
      <c r="BI25">
        <v>4</v>
      </c>
      <c r="BJ25">
        <v>20</v>
      </c>
      <c r="BK25">
        <f t="shared" si="66"/>
        <v>198.5</v>
      </c>
      <c r="BL25">
        <f t="shared" si="17"/>
        <v>94.411414982164089</v>
      </c>
      <c r="BM25">
        <f t="shared" si="18"/>
        <v>64.516129032258064</v>
      </c>
      <c r="BN25">
        <f t="shared" si="19"/>
        <v>1.1967320010739866</v>
      </c>
      <c r="BS25">
        <v>1.5</v>
      </c>
      <c r="BT25">
        <v>20</v>
      </c>
      <c r="BU25">
        <f t="shared" si="97"/>
        <v>123</v>
      </c>
      <c r="BV25">
        <f t="shared" si="20"/>
        <v>94.072657743785854</v>
      </c>
      <c r="BW25">
        <f t="shared" si="21"/>
        <v>64.516129032258064</v>
      </c>
      <c r="BX25">
        <f t="shared" si="22"/>
        <v>0.72164312588663682</v>
      </c>
      <c r="CC25">
        <v>2</v>
      </c>
      <c r="CD25">
        <v>20</v>
      </c>
      <c r="CE25">
        <f t="shared" si="98"/>
        <v>101</v>
      </c>
      <c r="CF25">
        <f t="shared" si="23"/>
        <v>91.402714932126699</v>
      </c>
      <c r="CG25">
        <f t="shared" si="24"/>
        <v>71.428571428571431</v>
      </c>
      <c r="CH25">
        <f t="shared" si="25"/>
        <v>1.2605042016806676</v>
      </c>
      <c r="CM25">
        <v>2</v>
      </c>
      <c r="CN25">
        <v>20</v>
      </c>
      <c r="CO25">
        <f t="shared" si="99"/>
        <v>82.5</v>
      </c>
      <c r="CP25">
        <f t="shared" si="26"/>
        <v>84.832904884318765</v>
      </c>
      <c r="CQ25">
        <f t="shared" si="27"/>
        <v>54.054054054054056</v>
      </c>
      <c r="CR25">
        <f t="shared" si="28"/>
        <v>1.0838602098242214</v>
      </c>
      <c r="CW25">
        <v>2</v>
      </c>
      <c r="CX25">
        <v>20</v>
      </c>
      <c r="CY25">
        <f t="shared" si="100"/>
        <v>176</v>
      </c>
      <c r="CZ25">
        <f t="shared" si="29"/>
        <v>96.253759912496577</v>
      </c>
      <c r="DA25">
        <f t="shared" si="30"/>
        <v>64.516129032258064</v>
      </c>
      <c r="DB25">
        <f t="shared" si="31"/>
        <v>0.68803090846541481</v>
      </c>
      <c r="DG25">
        <v>2</v>
      </c>
      <c r="DH25">
        <v>20</v>
      </c>
      <c r="DI25">
        <f t="shared" si="101"/>
        <v>128.15</v>
      </c>
      <c r="DJ25">
        <f t="shared" si="32"/>
        <v>94.297277409860186</v>
      </c>
      <c r="DK25">
        <f t="shared" si="33"/>
        <v>68.965517241379317</v>
      </c>
      <c r="DL25">
        <f t="shared" si="80"/>
        <v>0.98957143944583625</v>
      </c>
      <c r="DQ25">
        <v>2</v>
      </c>
      <c r="DR25">
        <v>20</v>
      </c>
      <c r="DS25">
        <f t="shared" si="102"/>
        <v>89</v>
      </c>
      <c r="DT25">
        <f t="shared" si="35"/>
        <v>92.75664408546119</v>
      </c>
      <c r="DU25">
        <f t="shared" si="36"/>
        <v>68.965517241379317</v>
      </c>
      <c r="DV25">
        <f t="shared" si="82"/>
        <v>1.4015920648326219</v>
      </c>
      <c r="EA25">
        <v>1</v>
      </c>
      <c r="EB25">
        <v>20</v>
      </c>
      <c r="EC25">
        <f t="shared" si="103"/>
        <v>60.5</v>
      </c>
      <c r="ED25">
        <f t="shared" si="38"/>
        <v>90.704647676161926</v>
      </c>
      <c r="EE25">
        <f t="shared" si="39"/>
        <v>57.142857142857139</v>
      </c>
      <c r="EF25">
        <f t="shared" si="84"/>
        <v>0.83529663739558568</v>
      </c>
      <c r="EK25">
        <v>2.5</v>
      </c>
      <c r="EL25">
        <v>20</v>
      </c>
      <c r="EM25">
        <f t="shared" si="104"/>
        <v>124</v>
      </c>
      <c r="EN25">
        <f t="shared" si="41"/>
        <v>88.571428571428569</v>
      </c>
      <c r="EO25">
        <f t="shared" si="42"/>
        <v>55.555555555555557</v>
      </c>
      <c r="EP25">
        <f t="shared" si="86"/>
        <v>0.96726190476190044</v>
      </c>
      <c r="EU25">
        <v>1.5</v>
      </c>
      <c r="EV25">
        <v>20</v>
      </c>
      <c r="EW25">
        <f t="shared" si="105"/>
        <v>85</v>
      </c>
      <c r="EX25">
        <f t="shared" si="44"/>
        <v>93.406593406593402</v>
      </c>
      <c r="EY25">
        <f t="shared" si="45"/>
        <v>71.428571428571431</v>
      </c>
      <c r="EZ25">
        <f t="shared" si="88"/>
        <v>1.1479591836734702</v>
      </c>
      <c r="FE25">
        <v>2.5</v>
      </c>
      <c r="FF25">
        <v>20</v>
      </c>
      <c r="FG25">
        <f t="shared" si="106"/>
        <v>98.5</v>
      </c>
      <c r="FH25">
        <f t="shared" si="47"/>
        <v>86.975717439293604</v>
      </c>
      <c r="FI25">
        <f t="shared" si="48"/>
        <v>62.5</v>
      </c>
      <c r="FJ25">
        <f t="shared" si="90"/>
        <v>1.3451986754966883</v>
      </c>
      <c r="FO25">
        <v>2</v>
      </c>
      <c r="FP25">
        <v>20</v>
      </c>
      <c r="FQ25">
        <f t="shared" si="107"/>
        <v>104</v>
      </c>
      <c r="FR25">
        <f t="shared" si="50"/>
        <v>88.812980358667801</v>
      </c>
      <c r="FS25">
        <f t="shared" si="51"/>
        <v>60.606060606060609</v>
      </c>
      <c r="FT25">
        <f t="shared" si="92"/>
        <v>1.0092384131666803</v>
      </c>
      <c r="FY25">
        <v>1</v>
      </c>
      <c r="FZ25">
        <v>20</v>
      </c>
      <c r="GA25">
        <f t="shared" si="108"/>
        <v>49.3</v>
      </c>
      <c r="GB25">
        <f t="shared" si="53"/>
        <v>93.815413891531875</v>
      </c>
      <c r="GC25">
        <f t="shared" si="54"/>
        <v>71.428571428571431</v>
      </c>
      <c r="GD25">
        <f t="shared" si="94"/>
        <v>1.3252684518145972</v>
      </c>
      <c r="GI25">
        <v>2</v>
      </c>
      <c r="GJ25">
        <v>20</v>
      </c>
      <c r="GK25">
        <f t="shared" si="109"/>
        <v>103</v>
      </c>
      <c r="GL25">
        <f t="shared" si="56"/>
        <v>91.759465478841889</v>
      </c>
      <c r="GM25">
        <f t="shared" si="57"/>
        <v>60.606060606060609</v>
      </c>
      <c r="GN25">
        <f t="shared" si="96"/>
        <v>1.0528447054059591</v>
      </c>
    </row>
    <row r="26" spans="1:196" x14ac:dyDescent="0.2">
      <c r="A26">
        <v>7</v>
      </c>
      <c r="B26">
        <v>21</v>
      </c>
      <c r="C26">
        <f t="shared" si="59"/>
        <v>530.5</v>
      </c>
      <c r="D26">
        <f t="shared" si="0"/>
        <v>95.199641094661274</v>
      </c>
      <c r="E26">
        <f t="shared" si="1"/>
        <v>58.333333333333336</v>
      </c>
      <c r="F26">
        <f t="shared" si="2"/>
        <v>0.71531827924829161</v>
      </c>
      <c r="K26">
        <v>5</v>
      </c>
      <c r="L26">
        <v>21</v>
      </c>
      <c r="M26">
        <f t="shared" si="60"/>
        <v>434.5</v>
      </c>
      <c r="N26">
        <f t="shared" si="3"/>
        <v>96.932515337423311</v>
      </c>
      <c r="O26">
        <f t="shared" si="4"/>
        <v>70</v>
      </c>
      <c r="P26">
        <f t="shared" si="5"/>
        <v>0.76222346160996512</v>
      </c>
      <c r="U26">
        <v>6</v>
      </c>
      <c r="V26">
        <v>21</v>
      </c>
      <c r="W26">
        <f t="shared" si="61"/>
        <v>372.5</v>
      </c>
      <c r="X26">
        <f t="shared" si="6"/>
        <v>94.125078963992408</v>
      </c>
      <c r="Y26">
        <f t="shared" si="7"/>
        <v>61.764705882352942</v>
      </c>
      <c r="Z26">
        <f t="shared" si="62"/>
        <v>0.91412433577347041</v>
      </c>
      <c r="AE26">
        <v>9</v>
      </c>
      <c r="AF26">
        <v>21</v>
      </c>
      <c r="AG26">
        <f t="shared" si="63"/>
        <v>453</v>
      </c>
      <c r="AH26">
        <f t="shared" si="8"/>
        <v>89.631974673525932</v>
      </c>
      <c r="AI26">
        <f t="shared" si="9"/>
        <v>50</v>
      </c>
      <c r="AJ26">
        <f t="shared" si="10"/>
        <v>0.86918423879247442</v>
      </c>
      <c r="AO26">
        <v>6</v>
      </c>
      <c r="AP26">
        <v>21</v>
      </c>
      <c r="AQ26">
        <f t="shared" si="64"/>
        <v>255.5</v>
      </c>
      <c r="AR26">
        <f t="shared" si="11"/>
        <v>84.004602991944751</v>
      </c>
      <c r="AS26">
        <f t="shared" si="12"/>
        <v>56.756756756756758</v>
      </c>
      <c r="AT26">
        <f t="shared" si="13"/>
        <v>1.0929884347605805</v>
      </c>
      <c r="AY26">
        <v>5.5</v>
      </c>
      <c r="AZ26">
        <v>21</v>
      </c>
      <c r="BA26">
        <f t="shared" si="65"/>
        <v>303.5</v>
      </c>
      <c r="BB26">
        <f t="shared" si="14"/>
        <v>94.592488701885614</v>
      </c>
      <c r="BC26">
        <f t="shared" si="15"/>
        <v>67.741935483870961</v>
      </c>
      <c r="BD26">
        <f t="shared" si="16"/>
        <v>1.1335816656361457</v>
      </c>
      <c r="BI26">
        <v>3.5</v>
      </c>
      <c r="BJ26">
        <v>21</v>
      </c>
      <c r="BK26">
        <f t="shared" si="66"/>
        <v>202</v>
      </c>
      <c r="BL26">
        <f t="shared" si="17"/>
        <v>96.076099881093938</v>
      </c>
      <c r="BM26">
        <f t="shared" si="18"/>
        <v>67.741935483870961</v>
      </c>
      <c r="BN26">
        <f t="shared" si="19"/>
        <v>1.1008400138084484</v>
      </c>
      <c r="BS26">
        <v>1.5</v>
      </c>
      <c r="BT26">
        <v>21</v>
      </c>
      <c r="BU26">
        <f t="shared" si="97"/>
        <v>124.5</v>
      </c>
      <c r="BV26">
        <f t="shared" si="20"/>
        <v>95.219885277246647</v>
      </c>
      <c r="BW26">
        <f t="shared" si="21"/>
        <v>67.741935483870961</v>
      </c>
      <c r="BX26">
        <f t="shared" si="22"/>
        <v>0.7586504656756855</v>
      </c>
      <c r="CC26">
        <v>2</v>
      </c>
      <c r="CD26">
        <v>21</v>
      </c>
      <c r="CE26">
        <f t="shared" si="98"/>
        <v>103</v>
      </c>
      <c r="CF26">
        <f t="shared" si="23"/>
        <v>93.212669683257914</v>
      </c>
      <c r="CG26">
        <f t="shared" si="24"/>
        <v>75</v>
      </c>
      <c r="CH26">
        <f t="shared" si="25"/>
        <v>1.3251454427924971</v>
      </c>
      <c r="CM26">
        <v>1.5</v>
      </c>
      <c r="CN26">
        <v>21</v>
      </c>
      <c r="CO26">
        <f t="shared" si="99"/>
        <v>84</v>
      </c>
      <c r="CP26">
        <f t="shared" si="26"/>
        <v>86.375321336760919</v>
      </c>
      <c r="CQ26">
        <f t="shared" si="27"/>
        <v>56.756756756756758</v>
      </c>
      <c r="CR26">
        <f t="shared" si="28"/>
        <v>0.85458208851524764</v>
      </c>
      <c r="CW26">
        <v>1.5</v>
      </c>
      <c r="CX26">
        <v>21</v>
      </c>
      <c r="CY26">
        <f t="shared" si="100"/>
        <v>177.5</v>
      </c>
      <c r="CZ26">
        <f t="shared" si="29"/>
        <v>97.074104457205365</v>
      </c>
      <c r="DA26">
        <f t="shared" si="30"/>
        <v>67.741935483870961</v>
      </c>
      <c r="DB26">
        <f t="shared" si="31"/>
        <v>0.54248590859774737</v>
      </c>
      <c r="DG26">
        <v>1.5</v>
      </c>
      <c r="DH26">
        <v>21</v>
      </c>
      <c r="DI26">
        <f t="shared" si="101"/>
        <v>129.65</v>
      </c>
      <c r="DJ26">
        <f t="shared" si="32"/>
        <v>95.401030169242091</v>
      </c>
      <c r="DK26">
        <f t="shared" si="33"/>
        <v>72.41379310344827</v>
      </c>
      <c r="DL26">
        <f t="shared" si="80"/>
        <v>0.78023901956307073</v>
      </c>
      <c r="DQ26">
        <v>2</v>
      </c>
      <c r="DR26">
        <v>21</v>
      </c>
      <c r="DS26">
        <f t="shared" si="102"/>
        <v>91</v>
      </c>
      <c r="DT26">
        <f t="shared" si="35"/>
        <v>94.841063053673807</v>
      </c>
      <c r="DU26">
        <f t="shared" si="36"/>
        <v>72.41379310344827</v>
      </c>
      <c r="DV26">
        <f t="shared" si="82"/>
        <v>1.4734685809778845</v>
      </c>
      <c r="EA26">
        <v>1</v>
      </c>
      <c r="EB26">
        <v>21</v>
      </c>
      <c r="EC26">
        <f t="shared" si="103"/>
        <v>61.5</v>
      </c>
      <c r="ED26">
        <f t="shared" si="38"/>
        <v>92.20389805097453</v>
      </c>
      <c r="EE26">
        <f t="shared" si="39"/>
        <v>60</v>
      </c>
      <c r="EF26">
        <f t="shared" si="84"/>
        <v>0.87813236239023951</v>
      </c>
      <c r="EK26">
        <v>2.5</v>
      </c>
      <c r="EL26">
        <v>21</v>
      </c>
      <c r="EM26">
        <f t="shared" si="104"/>
        <v>126.5</v>
      </c>
      <c r="EN26">
        <f t="shared" si="41"/>
        <v>90.357142857142861</v>
      </c>
      <c r="EO26">
        <f t="shared" si="42"/>
        <v>58.333333333333336</v>
      </c>
      <c r="EP26">
        <f t="shared" si="86"/>
        <v>1.0168650793650829</v>
      </c>
      <c r="EU26">
        <v>1.5</v>
      </c>
      <c r="EV26">
        <v>21</v>
      </c>
      <c r="EW26">
        <f t="shared" si="105"/>
        <v>86.5</v>
      </c>
      <c r="EX26">
        <f t="shared" si="44"/>
        <v>95.054945054945051</v>
      </c>
      <c r="EY26">
        <f t="shared" si="45"/>
        <v>75</v>
      </c>
      <c r="EZ26">
        <f t="shared" si="88"/>
        <v>1.2068288854003151</v>
      </c>
      <c r="FE26">
        <v>2</v>
      </c>
      <c r="FF26">
        <v>21</v>
      </c>
      <c r="FG26">
        <f t="shared" si="106"/>
        <v>100.5</v>
      </c>
      <c r="FH26">
        <f t="shared" si="47"/>
        <v>88.741721854304629</v>
      </c>
      <c r="FI26">
        <f t="shared" si="48"/>
        <v>65.625</v>
      </c>
      <c r="FJ26">
        <f t="shared" si="90"/>
        <v>1.131346578366438</v>
      </c>
      <c r="FO26">
        <v>2</v>
      </c>
      <c r="FP26">
        <v>21</v>
      </c>
      <c r="FQ26">
        <f t="shared" si="107"/>
        <v>106</v>
      </c>
      <c r="FR26">
        <f t="shared" si="50"/>
        <v>90.520922288642183</v>
      </c>
      <c r="FS26">
        <f t="shared" si="51"/>
        <v>63.636363636363633</v>
      </c>
      <c r="FT26">
        <f t="shared" si="92"/>
        <v>1.06099422922651</v>
      </c>
      <c r="FY26">
        <v>0.5</v>
      </c>
      <c r="FZ26">
        <v>21</v>
      </c>
      <c r="GA26">
        <f t="shared" si="108"/>
        <v>49.8</v>
      </c>
      <c r="GB26">
        <f t="shared" si="53"/>
        <v>94.766888677450041</v>
      </c>
      <c r="GC26">
        <f t="shared" si="54"/>
        <v>75</v>
      </c>
      <c r="GD26">
        <f t="shared" si="94"/>
        <v>0.69661546826151399</v>
      </c>
      <c r="GI26">
        <v>1.5</v>
      </c>
      <c r="GJ26">
        <v>21</v>
      </c>
      <c r="GK26">
        <f t="shared" si="109"/>
        <v>104.5</v>
      </c>
      <c r="GL26">
        <f t="shared" si="56"/>
        <v>93.09576837416482</v>
      </c>
      <c r="GM26">
        <f t="shared" si="57"/>
        <v>63.636363636363633</v>
      </c>
      <c r="GN26">
        <f t="shared" si="96"/>
        <v>0.83012755618545686</v>
      </c>
    </row>
    <row r="27" spans="1:196" x14ac:dyDescent="0.2">
      <c r="A27">
        <v>5</v>
      </c>
      <c r="B27">
        <v>22</v>
      </c>
      <c r="C27">
        <f t="shared" si="59"/>
        <v>535.5</v>
      </c>
      <c r="D27">
        <f t="shared" si="0"/>
        <v>96.096904441453574</v>
      </c>
      <c r="E27">
        <f t="shared" si="1"/>
        <v>61.111111111111114</v>
      </c>
      <c r="F27">
        <f t="shared" si="2"/>
        <v>0.53586560988984611</v>
      </c>
      <c r="K27">
        <v>3.5</v>
      </c>
      <c r="L27">
        <v>22</v>
      </c>
      <c r="M27">
        <f t="shared" si="60"/>
        <v>438</v>
      </c>
      <c r="N27">
        <f t="shared" si="3"/>
        <v>97.71332961517011</v>
      </c>
      <c r="O27">
        <f t="shared" si="4"/>
        <v>73.333333333333329</v>
      </c>
      <c r="P27">
        <f t="shared" si="5"/>
        <v>0.5595835657185394</v>
      </c>
      <c r="U27">
        <v>4.5</v>
      </c>
      <c r="V27">
        <v>22</v>
      </c>
      <c r="W27">
        <f t="shared" si="61"/>
        <v>377</v>
      </c>
      <c r="X27">
        <f t="shared" si="6"/>
        <v>95.262160454832596</v>
      </c>
      <c r="Y27">
        <f t="shared" si="7"/>
        <v>64.705882352941174</v>
      </c>
      <c r="Z27">
        <f t="shared" si="62"/>
        <v>0.71903682509011901</v>
      </c>
      <c r="AE27">
        <v>9</v>
      </c>
      <c r="AF27">
        <v>22</v>
      </c>
      <c r="AG27">
        <f t="shared" si="63"/>
        <v>462</v>
      </c>
      <c r="AH27">
        <f t="shared" si="8"/>
        <v>91.412742382271475</v>
      </c>
      <c r="AI27">
        <f t="shared" si="9"/>
        <v>52.380952380952387</v>
      </c>
      <c r="AJ27">
        <f t="shared" si="10"/>
        <v>0.91158346995307571</v>
      </c>
      <c r="AO27">
        <v>6</v>
      </c>
      <c r="AP27">
        <v>22</v>
      </c>
      <c r="AQ27">
        <f t="shared" si="64"/>
        <v>261.5</v>
      </c>
      <c r="AR27">
        <f t="shared" si="11"/>
        <v>85.977313825415081</v>
      </c>
      <c r="AS27">
        <f t="shared" si="12"/>
        <v>59.45945945945946</v>
      </c>
      <c r="AT27">
        <f t="shared" si="13"/>
        <v>1.1463049437733002</v>
      </c>
      <c r="AY27">
        <v>5</v>
      </c>
      <c r="AZ27">
        <v>22</v>
      </c>
      <c r="BA27">
        <f t="shared" si="65"/>
        <v>308.5</v>
      </c>
      <c r="BB27">
        <f t="shared" si="14"/>
        <v>96.150849306529523</v>
      </c>
      <c r="BC27">
        <f t="shared" si="15"/>
        <v>70.967741935483872</v>
      </c>
      <c r="BD27">
        <f t="shared" si="16"/>
        <v>1.0807984838659366</v>
      </c>
      <c r="BI27">
        <v>1.5</v>
      </c>
      <c r="BJ27">
        <v>22</v>
      </c>
      <c r="BK27">
        <f t="shared" si="66"/>
        <v>203.5</v>
      </c>
      <c r="BL27">
        <f t="shared" si="17"/>
        <v>96.789536266349586</v>
      </c>
      <c r="BM27">
        <f t="shared" si="18"/>
        <v>70.967741935483872</v>
      </c>
      <c r="BN27">
        <f t="shared" si="19"/>
        <v>0.49480265429020709</v>
      </c>
      <c r="BS27">
        <v>1</v>
      </c>
      <c r="BT27">
        <v>22</v>
      </c>
      <c r="BU27">
        <f t="shared" si="97"/>
        <v>125.5</v>
      </c>
      <c r="BV27">
        <f t="shared" si="20"/>
        <v>95.984703632887189</v>
      </c>
      <c r="BW27">
        <f t="shared" si="21"/>
        <v>70.967741935483872</v>
      </c>
      <c r="BX27">
        <f t="shared" si="22"/>
        <v>0.53043853697650545</v>
      </c>
      <c r="CC27">
        <v>2</v>
      </c>
      <c r="CD27">
        <v>22</v>
      </c>
      <c r="CE27">
        <f t="shared" si="98"/>
        <v>105</v>
      </c>
      <c r="CF27">
        <f t="shared" si="23"/>
        <v>95.02262443438913</v>
      </c>
      <c r="CG27">
        <f t="shared" si="24"/>
        <v>78.571428571428569</v>
      </c>
      <c r="CH27">
        <f t="shared" si="25"/>
        <v>1.3897866839043258</v>
      </c>
      <c r="CM27">
        <v>1.5</v>
      </c>
      <c r="CN27">
        <v>22</v>
      </c>
      <c r="CO27">
        <f t="shared" si="99"/>
        <v>85.5</v>
      </c>
      <c r="CP27">
        <f t="shared" si="26"/>
        <v>87.917737789203088</v>
      </c>
      <c r="CQ27">
        <f t="shared" si="27"/>
        <v>59.45945945945946</v>
      </c>
      <c r="CR27">
        <f t="shared" si="28"/>
        <v>0.89626901966234118</v>
      </c>
      <c r="CW27">
        <v>1.5</v>
      </c>
      <c r="CX27">
        <v>22</v>
      </c>
      <c r="CY27">
        <f t="shared" si="100"/>
        <v>179</v>
      </c>
      <c r="CZ27">
        <f t="shared" si="29"/>
        <v>97.89444900191414</v>
      </c>
      <c r="DA27">
        <f t="shared" si="30"/>
        <v>70.967741935483872</v>
      </c>
      <c r="DB27">
        <f t="shared" si="31"/>
        <v>0.56894863584640798</v>
      </c>
      <c r="DG27">
        <v>1.5</v>
      </c>
      <c r="DH27">
        <v>22</v>
      </c>
      <c r="DI27">
        <f t="shared" si="101"/>
        <v>131.15</v>
      </c>
      <c r="DJ27">
        <f t="shared" si="32"/>
        <v>96.504782928623996</v>
      </c>
      <c r="DK27">
        <f t="shared" si="33"/>
        <v>75.862068965517238</v>
      </c>
      <c r="DL27">
        <f t="shared" si="80"/>
        <v>0.81829945954175709</v>
      </c>
      <c r="DQ27">
        <v>2</v>
      </c>
      <c r="DR27">
        <v>22</v>
      </c>
      <c r="DS27">
        <f t="shared" si="102"/>
        <v>93</v>
      </c>
      <c r="DT27">
        <f t="shared" si="35"/>
        <v>96.92548202188641</v>
      </c>
      <c r="DU27">
        <f t="shared" si="36"/>
        <v>75.862068965517238</v>
      </c>
      <c r="DV27">
        <f t="shared" si="82"/>
        <v>1.5453450971231368</v>
      </c>
      <c r="EA27">
        <v>0.75</v>
      </c>
      <c r="EB27">
        <v>22</v>
      </c>
      <c r="EC27">
        <f t="shared" si="103"/>
        <v>62.25</v>
      </c>
      <c r="ED27">
        <f t="shared" si="38"/>
        <v>93.32833583208398</v>
      </c>
      <c r="EE27">
        <f t="shared" si="39"/>
        <v>62.857142857142854</v>
      </c>
      <c r="EF27">
        <f t="shared" si="84"/>
        <v>0.69072606553866178</v>
      </c>
      <c r="EK27">
        <v>2</v>
      </c>
      <c r="EL27">
        <v>22</v>
      </c>
      <c r="EM27">
        <f t="shared" si="104"/>
        <v>128.5</v>
      </c>
      <c r="EN27">
        <f t="shared" si="41"/>
        <v>91.785714285714278</v>
      </c>
      <c r="EO27">
        <f t="shared" si="42"/>
        <v>61.111111111111114</v>
      </c>
      <c r="EP27">
        <f t="shared" si="86"/>
        <v>0.85317460317459604</v>
      </c>
      <c r="EU27">
        <v>1</v>
      </c>
      <c r="EV27">
        <v>22</v>
      </c>
      <c r="EW27">
        <f t="shared" si="105"/>
        <v>87.5</v>
      </c>
      <c r="EX27">
        <f t="shared" si="44"/>
        <v>96.15384615384616</v>
      </c>
      <c r="EY27">
        <f t="shared" si="45"/>
        <v>78.571428571428569</v>
      </c>
      <c r="EZ27">
        <f t="shared" si="88"/>
        <v>0.84379905808478017</v>
      </c>
      <c r="FE27">
        <v>2</v>
      </c>
      <c r="FF27">
        <v>22</v>
      </c>
      <c r="FG27">
        <f t="shared" si="106"/>
        <v>102.5</v>
      </c>
      <c r="FH27">
        <f t="shared" si="47"/>
        <v>90.507726269315668</v>
      </c>
      <c r="FI27">
        <f t="shared" si="48"/>
        <v>68.75</v>
      </c>
      <c r="FJ27">
        <f t="shared" si="90"/>
        <v>1.1865342163355421</v>
      </c>
      <c r="FO27">
        <v>2</v>
      </c>
      <c r="FP27">
        <v>22</v>
      </c>
      <c r="FQ27">
        <f t="shared" si="107"/>
        <v>108</v>
      </c>
      <c r="FR27">
        <f t="shared" si="50"/>
        <v>92.228864218616565</v>
      </c>
      <c r="FS27">
        <f t="shared" si="51"/>
        <v>66.666666666666657</v>
      </c>
      <c r="FT27">
        <f t="shared" si="92"/>
        <v>1.1127500452863395</v>
      </c>
      <c r="FY27">
        <v>0.5</v>
      </c>
      <c r="FZ27">
        <v>22</v>
      </c>
      <c r="GA27">
        <f t="shared" si="108"/>
        <v>50.3</v>
      </c>
      <c r="GB27">
        <f t="shared" si="53"/>
        <v>95.71836346336822</v>
      </c>
      <c r="GC27">
        <f t="shared" si="54"/>
        <v>78.571428571428569</v>
      </c>
      <c r="GD27">
        <f t="shared" si="94"/>
        <v>0.73059671061574494</v>
      </c>
      <c r="GI27">
        <v>1.5</v>
      </c>
      <c r="GJ27">
        <v>22</v>
      </c>
      <c r="GK27">
        <f t="shared" si="109"/>
        <v>106</v>
      </c>
      <c r="GL27">
        <f t="shared" si="56"/>
        <v>94.432071269487764</v>
      </c>
      <c r="GM27">
        <f t="shared" si="57"/>
        <v>66.666666666666657</v>
      </c>
      <c r="GN27">
        <f t="shared" si="96"/>
        <v>0.87062158331646378</v>
      </c>
    </row>
    <row r="28" spans="1:196" x14ac:dyDescent="0.2">
      <c r="A28">
        <v>5</v>
      </c>
      <c r="B28">
        <v>23</v>
      </c>
      <c r="C28">
        <f t="shared" si="59"/>
        <v>540.5</v>
      </c>
      <c r="D28">
        <f t="shared" si="0"/>
        <v>96.994167788245861</v>
      </c>
      <c r="E28">
        <f t="shared" si="1"/>
        <v>63.888888888888886</v>
      </c>
      <c r="F28">
        <f t="shared" si="2"/>
        <v>0.56078959174517884</v>
      </c>
      <c r="K28">
        <v>3</v>
      </c>
      <c r="L28">
        <v>23</v>
      </c>
      <c r="M28">
        <f t="shared" si="60"/>
        <v>441</v>
      </c>
      <c r="N28">
        <f t="shared" si="3"/>
        <v>98.382598996095922</v>
      </c>
      <c r="O28">
        <f t="shared" si="4"/>
        <v>76.666666666666671</v>
      </c>
      <c r="P28">
        <f t="shared" si="5"/>
        <v>0.50195203569435876</v>
      </c>
      <c r="U28">
        <v>4</v>
      </c>
      <c r="V28">
        <v>23</v>
      </c>
      <c r="W28">
        <f t="shared" si="61"/>
        <v>381</v>
      </c>
      <c r="X28">
        <f t="shared" si="6"/>
        <v>96.272899557801637</v>
      </c>
      <c r="Y28">
        <f t="shared" si="7"/>
        <v>67.64705882352942</v>
      </c>
      <c r="Z28">
        <f t="shared" si="62"/>
        <v>0.66887146520010032</v>
      </c>
      <c r="AE28">
        <v>8</v>
      </c>
      <c r="AF28">
        <v>23</v>
      </c>
      <c r="AG28">
        <f t="shared" si="63"/>
        <v>470</v>
      </c>
      <c r="AH28">
        <f t="shared" si="8"/>
        <v>92.995647012267511</v>
      </c>
      <c r="AI28">
        <f t="shared" si="9"/>
        <v>54.761904761904766</v>
      </c>
      <c r="AJ28">
        <f t="shared" si="10"/>
        <v>0.84798462321216261</v>
      </c>
      <c r="AO28">
        <v>6</v>
      </c>
      <c r="AP28">
        <v>23</v>
      </c>
      <c r="AQ28">
        <f t="shared" si="64"/>
        <v>267.5</v>
      </c>
      <c r="AR28">
        <f t="shared" si="11"/>
        <v>87.950024658885411</v>
      </c>
      <c r="AS28">
        <f t="shared" si="12"/>
        <v>62.162162162162161</v>
      </c>
      <c r="AT28">
        <f t="shared" si="13"/>
        <v>1.1996214527860116</v>
      </c>
      <c r="AY28">
        <v>4</v>
      </c>
      <c r="AZ28">
        <v>23</v>
      </c>
      <c r="BA28">
        <f t="shared" si="65"/>
        <v>312.5</v>
      </c>
      <c r="BB28">
        <f t="shared" si="14"/>
        <v>97.397537790244655</v>
      </c>
      <c r="BC28">
        <f t="shared" si="15"/>
        <v>74.193548387096769</v>
      </c>
      <c r="BD28">
        <f t="shared" si="16"/>
        <v>0.90485454463195114</v>
      </c>
      <c r="BI28">
        <v>1.5</v>
      </c>
      <c r="BJ28">
        <v>23</v>
      </c>
      <c r="BK28">
        <f t="shared" si="66"/>
        <v>205</v>
      </c>
      <c r="BL28">
        <f t="shared" si="17"/>
        <v>97.502972651605234</v>
      </c>
      <c r="BM28">
        <f t="shared" si="18"/>
        <v>74.193548387096769</v>
      </c>
      <c r="BN28">
        <f t="shared" si="19"/>
        <v>0.51781673123393768</v>
      </c>
      <c r="BS28">
        <v>1</v>
      </c>
      <c r="BT28">
        <v>23</v>
      </c>
      <c r="BU28">
        <f t="shared" si="97"/>
        <v>126.5</v>
      </c>
      <c r="BV28">
        <f t="shared" si="20"/>
        <v>96.749521988527718</v>
      </c>
      <c r="BW28">
        <f t="shared" si="21"/>
        <v>74.193548387096769</v>
      </c>
      <c r="BX28">
        <f t="shared" si="22"/>
        <v>0.55511009683586754</v>
      </c>
      <c r="CC28">
        <v>1.5</v>
      </c>
      <c r="CD28">
        <v>23</v>
      </c>
      <c r="CE28">
        <f t="shared" si="98"/>
        <v>106.5</v>
      </c>
      <c r="CF28">
        <f t="shared" si="23"/>
        <v>96.380090497737555</v>
      </c>
      <c r="CG28">
        <f t="shared" si="24"/>
        <v>82.142857142857139</v>
      </c>
      <c r="CH28">
        <f t="shared" si="25"/>
        <v>1.0908209437621279</v>
      </c>
      <c r="CM28">
        <v>1</v>
      </c>
      <c r="CN28">
        <v>23</v>
      </c>
      <c r="CO28">
        <f t="shared" si="99"/>
        <v>86.5</v>
      </c>
      <c r="CP28">
        <f t="shared" si="26"/>
        <v>88.946015424164528</v>
      </c>
      <c r="CQ28">
        <f t="shared" si="27"/>
        <v>62.162162162162161</v>
      </c>
      <c r="CR28">
        <f t="shared" si="28"/>
        <v>0.62530396720628156</v>
      </c>
      <c r="CW28">
        <v>1</v>
      </c>
      <c r="CX28">
        <v>23</v>
      </c>
      <c r="CY28">
        <f t="shared" si="100"/>
        <v>180</v>
      </c>
      <c r="CZ28">
        <f t="shared" si="29"/>
        <v>98.441345365053323</v>
      </c>
      <c r="DA28">
        <f t="shared" si="30"/>
        <v>74.193548387096769</v>
      </c>
      <c r="DB28">
        <f t="shared" si="31"/>
        <v>0.39694090873005217</v>
      </c>
      <c r="DG28">
        <v>1.5</v>
      </c>
      <c r="DH28">
        <v>23</v>
      </c>
      <c r="DI28">
        <f t="shared" si="101"/>
        <v>132.65</v>
      </c>
      <c r="DJ28">
        <f t="shared" si="32"/>
        <v>97.608535688005887</v>
      </c>
      <c r="DK28">
        <f t="shared" si="33"/>
        <v>79.310344827586206</v>
      </c>
      <c r="DL28">
        <f t="shared" si="80"/>
        <v>0.85635989952043245</v>
      </c>
      <c r="DQ28">
        <v>1</v>
      </c>
      <c r="DR28">
        <v>23</v>
      </c>
      <c r="DS28">
        <f t="shared" si="102"/>
        <v>94</v>
      </c>
      <c r="DT28">
        <f t="shared" si="35"/>
        <v>97.967691505992718</v>
      </c>
      <c r="DU28">
        <f t="shared" si="36"/>
        <v>79.310344827586206</v>
      </c>
      <c r="DV28">
        <f t="shared" si="82"/>
        <v>0.80861080663420482</v>
      </c>
      <c r="EA28">
        <v>0.5</v>
      </c>
      <c r="EB28">
        <v>23</v>
      </c>
      <c r="EC28">
        <f t="shared" si="103"/>
        <v>62.75</v>
      </c>
      <c r="ED28">
        <f t="shared" si="38"/>
        <v>94.077961019490274</v>
      </c>
      <c r="EE28">
        <f t="shared" si="39"/>
        <v>65.714285714285708</v>
      </c>
      <c r="EF28">
        <f t="shared" si="84"/>
        <v>0.48190190618976098</v>
      </c>
      <c r="EK28">
        <v>2</v>
      </c>
      <c r="EL28">
        <v>23</v>
      </c>
      <c r="EM28">
        <f t="shared" si="104"/>
        <v>130.5</v>
      </c>
      <c r="EN28">
        <f t="shared" si="41"/>
        <v>93.214285714285722</v>
      </c>
      <c r="EO28">
        <f t="shared" si="42"/>
        <v>63.888888888888886</v>
      </c>
      <c r="EP28">
        <f t="shared" si="86"/>
        <v>0.89285714285715301</v>
      </c>
      <c r="EU28">
        <v>1</v>
      </c>
      <c r="EV28">
        <v>23</v>
      </c>
      <c r="EW28">
        <f t="shared" si="105"/>
        <v>88.5</v>
      </c>
      <c r="EX28">
        <f t="shared" si="44"/>
        <v>97.252747252747255</v>
      </c>
      <c r="EY28">
        <f t="shared" si="45"/>
        <v>82.142857142857139</v>
      </c>
      <c r="EZ28">
        <f t="shared" si="88"/>
        <v>0.88304552590266572</v>
      </c>
      <c r="FE28">
        <v>2</v>
      </c>
      <c r="FF28">
        <v>23</v>
      </c>
      <c r="FG28">
        <f t="shared" si="106"/>
        <v>104.5</v>
      </c>
      <c r="FH28">
        <f t="shared" si="47"/>
        <v>92.273730684326722</v>
      </c>
      <c r="FI28">
        <f t="shared" si="48"/>
        <v>71.875</v>
      </c>
      <c r="FJ28">
        <f t="shared" si="90"/>
        <v>1.2417218543046471</v>
      </c>
      <c r="FO28">
        <v>1.5</v>
      </c>
      <c r="FP28">
        <v>23</v>
      </c>
      <c r="FQ28">
        <f t="shared" si="107"/>
        <v>109.5</v>
      </c>
      <c r="FR28">
        <f t="shared" si="50"/>
        <v>93.50982066609734</v>
      </c>
      <c r="FS28">
        <f t="shared" si="51"/>
        <v>69.696969696969703</v>
      </c>
      <c r="FT28">
        <f t="shared" si="92"/>
        <v>0.87337939600961989</v>
      </c>
      <c r="FY28">
        <v>0.5</v>
      </c>
      <c r="FZ28">
        <v>23</v>
      </c>
      <c r="GA28">
        <f t="shared" si="108"/>
        <v>50.8</v>
      </c>
      <c r="GB28">
        <f t="shared" si="53"/>
        <v>96.669838249286386</v>
      </c>
      <c r="GC28">
        <f t="shared" si="54"/>
        <v>82.142857142857139</v>
      </c>
      <c r="GD28">
        <f t="shared" si="94"/>
        <v>0.76457795296995423</v>
      </c>
      <c r="GI28">
        <v>1</v>
      </c>
      <c r="GJ28">
        <v>23</v>
      </c>
      <c r="GK28">
        <f t="shared" si="109"/>
        <v>107</v>
      </c>
      <c r="GL28">
        <f t="shared" si="56"/>
        <v>95.322939866369722</v>
      </c>
      <c r="GM28">
        <f t="shared" si="57"/>
        <v>69.696969696969703</v>
      </c>
      <c r="GN28">
        <f t="shared" si="96"/>
        <v>0.60741040696497162</v>
      </c>
    </row>
    <row r="29" spans="1:196" x14ac:dyDescent="0.2">
      <c r="A29">
        <v>4</v>
      </c>
      <c r="B29">
        <v>24</v>
      </c>
      <c r="C29">
        <f t="shared" si="59"/>
        <v>544.5</v>
      </c>
      <c r="D29">
        <f t="shared" si="0"/>
        <v>97.711978465679678</v>
      </c>
      <c r="E29">
        <f t="shared" si="1"/>
        <v>66.666666666666657</v>
      </c>
      <c r="F29">
        <f t="shared" si="2"/>
        <v>0.46857085888040861</v>
      </c>
      <c r="K29">
        <v>2</v>
      </c>
      <c r="L29">
        <v>24</v>
      </c>
      <c r="M29">
        <f t="shared" si="60"/>
        <v>443</v>
      </c>
      <c r="N29">
        <f t="shared" si="3"/>
        <v>98.828778583379801</v>
      </c>
      <c r="O29">
        <f t="shared" si="4"/>
        <v>80</v>
      </c>
      <c r="P29">
        <f t="shared" si="5"/>
        <v>0.3495073433723721</v>
      </c>
      <c r="U29">
        <v>4</v>
      </c>
      <c r="V29">
        <v>24</v>
      </c>
      <c r="W29">
        <f t="shared" si="61"/>
        <v>385</v>
      </c>
      <c r="X29">
        <f t="shared" si="6"/>
        <v>97.283638660770691</v>
      </c>
      <c r="Y29">
        <f t="shared" si="7"/>
        <v>70.588235294117652</v>
      </c>
      <c r="Z29">
        <f t="shared" si="62"/>
        <v>0.69859908587567021</v>
      </c>
      <c r="AE29">
        <v>6</v>
      </c>
      <c r="AF29">
        <v>24</v>
      </c>
      <c r="AG29">
        <f t="shared" si="63"/>
        <v>476</v>
      </c>
      <c r="AH29">
        <f t="shared" si="8"/>
        <v>94.18282548476455</v>
      </c>
      <c r="AI29">
        <f t="shared" si="9"/>
        <v>57.142857142857139</v>
      </c>
      <c r="AJ29">
        <f t="shared" si="10"/>
        <v>0.66425462151619996</v>
      </c>
      <c r="AO29">
        <v>5.5</v>
      </c>
      <c r="AP29">
        <v>24</v>
      </c>
      <c r="AQ29">
        <f t="shared" si="64"/>
        <v>273</v>
      </c>
      <c r="AR29">
        <f t="shared" si="11"/>
        <v>89.758342922899871</v>
      </c>
      <c r="AS29">
        <f t="shared" si="12"/>
        <v>64.86486486486487</v>
      </c>
      <c r="AT29">
        <f t="shared" si="13"/>
        <v>1.1485264649821572</v>
      </c>
      <c r="AY29">
        <v>2.5</v>
      </c>
      <c r="AZ29">
        <v>24</v>
      </c>
      <c r="BA29">
        <f t="shared" si="65"/>
        <v>315</v>
      </c>
      <c r="BB29">
        <f t="shared" si="14"/>
        <v>98.176718092566617</v>
      </c>
      <c r="BC29">
        <f t="shared" si="15"/>
        <v>77.41935483870968</v>
      </c>
      <c r="BD29">
        <f t="shared" si="16"/>
        <v>0.5906689388569708</v>
      </c>
      <c r="BI29">
        <v>1.5</v>
      </c>
      <c r="BJ29">
        <v>24</v>
      </c>
      <c r="BK29">
        <f t="shared" si="66"/>
        <v>206.5</v>
      </c>
      <c r="BL29">
        <f t="shared" si="17"/>
        <v>98.216409036860881</v>
      </c>
      <c r="BM29">
        <f t="shared" si="18"/>
        <v>77.41935483870968</v>
      </c>
      <c r="BN29">
        <f t="shared" si="19"/>
        <v>0.54083080817766838</v>
      </c>
      <c r="BS29">
        <v>1</v>
      </c>
      <c r="BT29">
        <v>24</v>
      </c>
      <c r="BU29">
        <f t="shared" si="97"/>
        <v>127.5</v>
      </c>
      <c r="BV29">
        <f t="shared" si="20"/>
        <v>97.514340344168261</v>
      </c>
      <c r="BW29">
        <f t="shared" si="21"/>
        <v>77.41935483870968</v>
      </c>
      <c r="BX29">
        <f t="shared" si="22"/>
        <v>0.57978165669525017</v>
      </c>
      <c r="CC29">
        <v>1.5</v>
      </c>
      <c r="CD29">
        <v>24</v>
      </c>
      <c r="CE29">
        <f t="shared" si="98"/>
        <v>108</v>
      </c>
      <c r="CF29">
        <f t="shared" si="23"/>
        <v>97.737556561085967</v>
      </c>
      <c r="CG29">
        <f t="shared" si="24"/>
        <v>85.714285714285708</v>
      </c>
      <c r="CH29">
        <f t="shared" si="25"/>
        <v>1.139301874595988</v>
      </c>
      <c r="CM29">
        <v>1</v>
      </c>
      <c r="CN29">
        <v>24</v>
      </c>
      <c r="CO29">
        <f t="shared" si="99"/>
        <v>87.5</v>
      </c>
      <c r="CP29">
        <f t="shared" si="26"/>
        <v>89.974293059125969</v>
      </c>
      <c r="CQ29">
        <f t="shared" si="27"/>
        <v>64.86486486486487</v>
      </c>
      <c r="CR29">
        <f t="shared" si="28"/>
        <v>0.65309525463767182</v>
      </c>
      <c r="CW29">
        <v>0.75</v>
      </c>
      <c r="CX29">
        <v>24</v>
      </c>
      <c r="CY29">
        <f t="shared" si="100"/>
        <v>180.75</v>
      </c>
      <c r="CZ29">
        <f t="shared" si="29"/>
        <v>98.85151763740771</v>
      </c>
      <c r="DA29">
        <f t="shared" si="30"/>
        <v>77.41935483870968</v>
      </c>
      <c r="DB29">
        <f t="shared" si="31"/>
        <v>0.3109370451718742</v>
      </c>
      <c r="DG29">
        <v>1</v>
      </c>
      <c r="DH29">
        <v>24</v>
      </c>
      <c r="DI29">
        <f t="shared" si="101"/>
        <v>133.65</v>
      </c>
      <c r="DJ29">
        <f t="shared" si="32"/>
        <v>98.344370860927157</v>
      </c>
      <c r="DK29">
        <f t="shared" si="33"/>
        <v>82.758620689655174</v>
      </c>
      <c r="DL29">
        <f t="shared" si="80"/>
        <v>0.59628022633275335</v>
      </c>
      <c r="DQ29">
        <v>0.5</v>
      </c>
      <c r="DR29">
        <v>24</v>
      </c>
      <c r="DS29">
        <f t="shared" si="102"/>
        <v>94.5</v>
      </c>
      <c r="DT29">
        <f t="shared" si="35"/>
        <v>98.488796248045873</v>
      </c>
      <c r="DU29">
        <f t="shared" si="36"/>
        <v>82.758620689655174</v>
      </c>
      <c r="DV29">
        <f t="shared" si="82"/>
        <v>0.42227453235341811</v>
      </c>
      <c r="EA29">
        <v>0.5</v>
      </c>
      <c r="EB29">
        <v>24</v>
      </c>
      <c r="EC29">
        <f t="shared" si="103"/>
        <v>63.25</v>
      </c>
      <c r="ED29">
        <f t="shared" si="38"/>
        <v>94.827586206896569</v>
      </c>
      <c r="EE29">
        <f t="shared" si="39"/>
        <v>68.571428571428569</v>
      </c>
      <c r="EF29">
        <f t="shared" si="84"/>
        <v>0.50331976868708361</v>
      </c>
      <c r="EK29">
        <v>1.5</v>
      </c>
      <c r="EL29">
        <v>24</v>
      </c>
      <c r="EM29">
        <f t="shared" si="104"/>
        <v>132</v>
      </c>
      <c r="EN29">
        <f t="shared" si="41"/>
        <v>94.285714285714278</v>
      </c>
      <c r="EO29">
        <f t="shared" si="42"/>
        <v>66.666666666666657</v>
      </c>
      <c r="EP29">
        <f t="shared" si="86"/>
        <v>0.6994047619047512</v>
      </c>
      <c r="EU29">
        <v>1</v>
      </c>
      <c r="EV29">
        <v>24</v>
      </c>
      <c r="EW29">
        <f t="shared" si="105"/>
        <v>89.5</v>
      </c>
      <c r="EX29">
        <f t="shared" si="44"/>
        <v>98.35164835164835</v>
      </c>
      <c r="EY29">
        <f t="shared" si="45"/>
        <v>85.714285714285708</v>
      </c>
      <c r="EZ29">
        <f t="shared" si="88"/>
        <v>0.9222919937205617</v>
      </c>
      <c r="FE29">
        <v>2</v>
      </c>
      <c r="FF29">
        <v>24</v>
      </c>
      <c r="FG29">
        <f t="shared" si="106"/>
        <v>106.5</v>
      </c>
      <c r="FH29">
        <f t="shared" si="47"/>
        <v>94.039735099337747</v>
      </c>
      <c r="FI29">
        <f t="shared" si="48"/>
        <v>75</v>
      </c>
      <c r="FJ29">
        <f t="shared" si="90"/>
        <v>1.2969094922737217</v>
      </c>
      <c r="FO29">
        <v>1.5</v>
      </c>
      <c r="FP29">
        <v>24</v>
      </c>
      <c r="FQ29">
        <f t="shared" si="107"/>
        <v>111</v>
      </c>
      <c r="FR29">
        <f t="shared" si="50"/>
        <v>94.79077711357813</v>
      </c>
      <c r="FS29">
        <f t="shared" si="51"/>
        <v>72.727272727272734</v>
      </c>
      <c r="FT29">
        <f t="shared" si="92"/>
        <v>0.91219625805450211</v>
      </c>
      <c r="FY29">
        <v>0.5</v>
      </c>
      <c r="FZ29">
        <v>24</v>
      </c>
      <c r="GA29">
        <f t="shared" si="108"/>
        <v>51.3</v>
      </c>
      <c r="GB29">
        <f t="shared" si="53"/>
        <v>97.621313035204565</v>
      </c>
      <c r="GC29">
        <f t="shared" si="54"/>
        <v>85.714285714285708</v>
      </c>
      <c r="GD29">
        <f t="shared" si="94"/>
        <v>0.79855919532418629</v>
      </c>
      <c r="GI29">
        <v>1</v>
      </c>
      <c r="GJ29">
        <v>24</v>
      </c>
      <c r="GK29">
        <f t="shared" si="109"/>
        <v>108</v>
      </c>
      <c r="GL29">
        <f t="shared" si="56"/>
        <v>96.213808463251681</v>
      </c>
      <c r="GM29">
        <f t="shared" si="57"/>
        <v>72.727272727272734</v>
      </c>
      <c r="GN29">
        <f t="shared" si="96"/>
        <v>0.63440642505230371</v>
      </c>
    </row>
    <row r="30" spans="1:196" x14ac:dyDescent="0.2">
      <c r="A30">
        <v>3.5</v>
      </c>
      <c r="B30">
        <v>25</v>
      </c>
      <c r="C30">
        <f t="shared" si="59"/>
        <v>548</v>
      </c>
      <c r="D30">
        <f t="shared" si="0"/>
        <v>98.340062808434283</v>
      </c>
      <c r="E30">
        <f t="shared" si="1"/>
        <v>69.444444444444443</v>
      </c>
      <c r="F30">
        <f t="shared" si="2"/>
        <v>0.42744628881910579</v>
      </c>
      <c r="K30">
        <v>2</v>
      </c>
      <c r="L30">
        <v>25</v>
      </c>
      <c r="M30">
        <f t="shared" si="60"/>
        <v>445</v>
      </c>
      <c r="N30">
        <f t="shared" si="3"/>
        <v>99.274958170663695</v>
      </c>
      <c r="O30">
        <f t="shared" si="4"/>
        <v>83.333333333333343</v>
      </c>
      <c r="P30">
        <f t="shared" si="5"/>
        <v>0.36437999628184625</v>
      </c>
      <c r="U30">
        <v>2</v>
      </c>
      <c r="V30">
        <v>25</v>
      </c>
      <c r="W30">
        <f t="shared" si="61"/>
        <v>387</v>
      </c>
      <c r="X30">
        <f t="shared" si="6"/>
        <v>97.789008212255212</v>
      </c>
      <c r="Y30">
        <f t="shared" si="7"/>
        <v>73.529411764705884</v>
      </c>
      <c r="Z30">
        <f t="shared" si="62"/>
        <v>0.36416335327561017</v>
      </c>
      <c r="AE30">
        <v>5</v>
      </c>
      <c r="AF30">
        <v>25</v>
      </c>
      <c r="AG30">
        <f t="shared" si="63"/>
        <v>481</v>
      </c>
      <c r="AH30">
        <f t="shared" si="8"/>
        <v>95.172140878512081</v>
      </c>
      <c r="AI30">
        <f t="shared" si="9"/>
        <v>59.523809523809526</v>
      </c>
      <c r="AJ30">
        <f t="shared" si="10"/>
        <v>0.57710064635272684</v>
      </c>
      <c r="AO30">
        <v>5</v>
      </c>
      <c r="AP30">
        <v>25</v>
      </c>
      <c r="AQ30">
        <f t="shared" si="64"/>
        <v>278</v>
      </c>
      <c r="AR30">
        <f t="shared" si="11"/>
        <v>91.402268617458475</v>
      </c>
      <c r="AS30">
        <f t="shared" si="12"/>
        <v>67.567567567567565</v>
      </c>
      <c r="AT30">
        <f t="shared" si="13"/>
        <v>1.0885453923428594</v>
      </c>
      <c r="AY30">
        <v>2</v>
      </c>
      <c r="AZ30">
        <v>25</v>
      </c>
      <c r="BA30">
        <f t="shared" si="65"/>
        <v>317</v>
      </c>
      <c r="BB30">
        <f t="shared" si="14"/>
        <v>98.800062334424183</v>
      </c>
      <c r="BC30">
        <f t="shared" si="15"/>
        <v>80.645161290322577</v>
      </c>
      <c r="BD30">
        <f t="shared" si="16"/>
        <v>0.49264302985517339</v>
      </c>
      <c r="BI30">
        <v>1</v>
      </c>
      <c r="BJ30">
        <v>25</v>
      </c>
      <c r="BK30">
        <f t="shared" si="66"/>
        <v>207.5</v>
      </c>
      <c r="BL30">
        <f t="shared" si="17"/>
        <v>98.692033293697975</v>
      </c>
      <c r="BM30">
        <f t="shared" si="18"/>
        <v>80.645161290322577</v>
      </c>
      <c r="BN30">
        <f t="shared" si="19"/>
        <v>0.37589659008092885</v>
      </c>
      <c r="BS30">
        <v>1</v>
      </c>
      <c r="BT30">
        <v>25</v>
      </c>
      <c r="BU30">
        <f t="shared" si="97"/>
        <v>128.5</v>
      </c>
      <c r="BV30">
        <f t="shared" si="20"/>
        <v>98.279158699808804</v>
      </c>
      <c r="BW30">
        <f t="shared" si="21"/>
        <v>80.645161290322577</v>
      </c>
      <c r="BX30">
        <f t="shared" si="22"/>
        <v>0.60445321655462247</v>
      </c>
      <c r="CC30">
        <v>1</v>
      </c>
      <c r="CD30">
        <v>25</v>
      </c>
      <c r="CE30">
        <f t="shared" si="98"/>
        <v>109</v>
      </c>
      <c r="CF30">
        <f t="shared" si="23"/>
        <v>98.642533936651589</v>
      </c>
      <c r="CG30">
        <f t="shared" si="24"/>
        <v>89.285714285714292</v>
      </c>
      <c r="CH30">
        <f t="shared" si="25"/>
        <v>0.79185520361991901</v>
      </c>
      <c r="CM30">
        <v>1</v>
      </c>
      <c r="CN30">
        <v>25</v>
      </c>
      <c r="CO30">
        <f t="shared" si="99"/>
        <v>88.5</v>
      </c>
      <c r="CP30">
        <f t="shared" si="26"/>
        <v>91.00257069408741</v>
      </c>
      <c r="CQ30">
        <f t="shared" si="27"/>
        <v>67.567567567567565</v>
      </c>
      <c r="CR30">
        <f t="shared" si="28"/>
        <v>0.68088654206906229</v>
      </c>
      <c r="CW30">
        <v>0.5</v>
      </c>
      <c r="CX30">
        <v>25</v>
      </c>
      <c r="CY30">
        <f t="shared" si="100"/>
        <v>181.25</v>
      </c>
      <c r="CZ30">
        <f t="shared" si="29"/>
        <v>99.124965818977302</v>
      </c>
      <c r="DA30">
        <f t="shared" si="30"/>
        <v>80.645161290322577</v>
      </c>
      <c r="DB30">
        <f t="shared" si="31"/>
        <v>0.21611227253080617</v>
      </c>
      <c r="DG30">
        <v>0.5</v>
      </c>
      <c r="DH30">
        <v>25</v>
      </c>
      <c r="DI30">
        <f t="shared" si="101"/>
        <v>134.15</v>
      </c>
      <c r="DJ30">
        <f t="shared" si="32"/>
        <v>98.712288447387792</v>
      </c>
      <c r="DK30">
        <f t="shared" si="33"/>
        <v>86.206896551724128</v>
      </c>
      <c r="DL30">
        <f t="shared" si="80"/>
        <v>0.3108269264926054</v>
      </c>
      <c r="DQ30">
        <v>0.5</v>
      </c>
      <c r="DR30">
        <v>25</v>
      </c>
      <c r="DS30">
        <f t="shared" si="102"/>
        <v>95</v>
      </c>
      <c r="DT30">
        <f t="shared" si="35"/>
        <v>99.009900990099027</v>
      </c>
      <c r="DU30">
        <f t="shared" si="36"/>
        <v>86.206896551724128</v>
      </c>
      <c r="DV30">
        <f t="shared" si="82"/>
        <v>0.44024366138973375</v>
      </c>
      <c r="EA30">
        <v>0.5</v>
      </c>
      <c r="EB30">
        <v>25</v>
      </c>
      <c r="EC30">
        <f t="shared" si="103"/>
        <v>63.75</v>
      </c>
      <c r="ED30">
        <f t="shared" si="38"/>
        <v>95.577211394302864</v>
      </c>
      <c r="EE30">
        <f t="shared" si="39"/>
        <v>71.428571428571431</v>
      </c>
      <c r="EF30">
        <f t="shared" si="84"/>
        <v>0.52473763118440642</v>
      </c>
      <c r="EK30">
        <v>1</v>
      </c>
      <c r="EL30">
        <v>25</v>
      </c>
      <c r="EM30">
        <f t="shared" si="104"/>
        <v>133</v>
      </c>
      <c r="EN30">
        <f t="shared" si="41"/>
        <v>95</v>
      </c>
      <c r="EO30">
        <f t="shared" si="42"/>
        <v>69.444444444444443</v>
      </c>
      <c r="EP30">
        <f t="shared" si="86"/>
        <v>0.48611111111111655</v>
      </c>
      <c r="EU30">
        <v>0.5</v>
      </c>
      <c r="EV30">
        <v>25</v>
      </c>
      <c r="EW30">
        <f t="shared" si="105"/>
        <v>90</v>
      </c>
      <c r="EX30">
        <f t="shared" si="44"/>
        <v>98.901098901098905</v>
      </c>
      <c r="EY30">
        <f t="shared" si="45"/>
        <v>89.285714285714292</v>
      </c>
      <c r="EZ30">
        <f t="shared" si="88"/>
        <v>0.48076923076923528</v>
      </c>
      <c r="FE30">
        <v>1.5</v>
      </c>
      <c r="FF30">
        <v>25</v>
      </c>
      <c r="FG30">
        <f t="shared" si="106"/>
        <v>108</v>
      </c>
      <c r="FH30">
        <f t="shared" si="47"/>
        <v>95.36423841059603</v>
      </c>
      <c r="FI30">
        <f t="shared" si="48"/>
        <v>78.125</v>
      </c>
      <c r="FJ30">
        <f t="shared" si="90"/>
        <v>1.014072847682123</v>
      </c>
      <c r="FO30">
        <v>1.5</v>
      </c>
      <c r="FP30">
        <v>25</v>
      </c>
      <c r="FQ30">
        <f t="shared" si="107"/>
        <v>112.5</v>
      </c>
      <c r="FR30">
        <f t="shared" si="50"/>
        <v>96.07173356105892</v>
      </c>
      <c r="FS30">
        <f t="shared" si="51"/>
        <v>75.757575757575751</v>
      </c>
      <c r="FT30">
        <f t="shared" si="92"/>
        <v>0.95101312009937444</v>
      </c>
      <c r="FY30">
        <v>0.5</v>
      </c>
      <c r="FZ30">
        <v>25</v>
      </c>
      <c r="GA30">
        <f t="shared" si="108"/>
        <v>51.8</v>
      </c>
      <c r="GB30">
        <f t="shared" si="53"/>
        <v>98.572787821122745</v>
      </c>
      <c r="GC30">
        <f t="shared" si="54"/>
        <v>89.285714285714292</v>
      </c>
      <c r="GD30">
        <f t="shared" si="94"/>
        <v>0.83254043767840713</v>
      </c>
      <c r="GI30">
        <v>1</v>
      </c>
      <c r="GJ30">
        <v>25</v>
      </c>
      <c r="GK30">
        <f t="shared" si="109"/>
        <v>109</v>
      </c>
      <c r="GL30">
        <f t="shared" si="56"/>
        <v>97.104677060133639</v>
      </c>
      <c r="GM30">
        <f t="shared" si="57"/>
        <v>75.757575757575751</v>
      </c>
      <c r="GN30">
        <f t="shared" si="96"/>
        <v>0.66140244313963581</v>
      </c>
    </row>
    <row r="31" spans="1:196" x14ac:dyDescent="0.2">
      <c r="A31">
        <v>2.5</v>
      </c>
      <c r="B31">
        <v>26</v>
      </c>
      <c r="C31">
        <f t="shared" si="59"/>
        <v>550.5</v>
      </c>
      <c r="D31">
        <f t="shared" si="0"/>
        <v>98.788694481830419</v>
      </c>
      <c r="E31">
        <f t="shared" si="1"/>
        <v>72.222222222222214</v>
      </c>
      <c r="F31">
        <f t="shared" si="2"/>
        <v>0.31778076865559629</v>
      </c>
      <c r="K31">
        <v>1</v>
      </c>
      <c r="L31">
        <v>26</v>
      </c>
      <c r="M31">
        <f t="shared" si="60"/>
        <v>446</v>
      </c>
      <c r="N31">
        <f t="shared" si="3"/>
        <v>99.498047964305641</v>
      </c>
      <c r="O31">
        <f t="shared" si="4"/>
        <v>86.666666666666671</v>
      </c>
      <c r="P31">
        <f t="shared" si="5"/>
        <v>0.1896263245956547</v>
      </c>
      <c r="U31">
        <v>1.5</v>
      </c>
      <c r="V31">
        <v>26</v>
      </c>
      <c r="W31">
        <f t="shared" si="61"/>
        <v>388.5</v>
      </c>
      <c r="X31">
        <f t="shared" si="6"/>
        <v>98.168035375868598</v>
      </c>
      <c r="Y31">
        <f t="shared" si="7"/>
        <v>76.470588235294116</v>
      </c>
      <c r="Z31">
        <f t="shared" si="62"/>
        <v>0.28427037271003996</v>
      </c>
      <c r="AE31">
        <v>5</v>
      </c>
      <c r="AF31">
        <v>26</v>
      </c>
      <c r="AG31">
        <f t="shared" si="63"/>
        <v>486</v>
      </c>
      <c r="AH31">
        <f t="shared" si="8"/>
        <v>96.161456272259599</v>
      </c>
      <c r="AI31">
        <f t="shared" si="9"/>
        <v>61.904761904761905</v>
      </c>
      <c r="AJ31">
        <f t="shared" si="10"/>
        <v>0.60065577477527865</v>
      </c>
      <c r="AO31">
        <v>5</v>
      </c>
      <c r="AP31">
        <v>26</v>
      </c>
      <c r="AQ31">
        <f t="shared" si="64"/>
        <v>283</v>
      </c>
      <c r="AR31">
        <f t="shared" si="11"/>
        <v>93.046194312017079</v>
      </c>
      <c r="AS31">
        <f t="shared" si="12"/>
        <v>70.270270270270274</v>
      </c>
      <c r="AT31">
        <f t="shared" si="13"/>
        <v>1.1329758165201189</v>
      </c>
      <c r="AY31">
        <v>1.5</v>
      </c>
      <c r="AZ31">
        <v>26</v>
      </c>
      <c r="BA31">
        <f t="shared" si="65"/>
        <v>318.5</v>
      </c>
      <c r="BB31">
        <f t="shared" si="14"/>
        <v>99.267570515817354</v>
      </c>
      <c r="BC31">
        <f t="shared" si="15"/>
        <v>83.870967741935488</v>
      </c>
      <c r="BD31">
        <f t="shared" si="16"/>
        <v>0.38456318146857627</v>
      </c>
      <c r="BI31">
        <v>0.75</v>
      </c>
      <c r="BJ31">
        <v>26</v>
      </c>
      <c r="BK31">
        <f t="shared" si="66"/>
        <v>208.25</v>
      </c>
      <c r="BL31">
        <f t="shared" si="17"/>
        <v>99.048751486325799</v>
      </c>
      <c r="BM31">
        <f t="shared" si="18"/>
        <v>83.870967741935488</v>
      </c>
      <c r="BN31">
        <f t="shared" si="19"/>
        <v>0.29342948103256467</v>
      </c>
      <c r="BS31">
        <v>0.5</v>
      </c>
      <c r="BT31">
        <v>26</v>
      </c>
      <c r="BU31">
        <f t="shared" si="97"/>
        <v>129</v>
      </c>
      <c r="BV31">
        <f t="shared" si="20"/>
        <v>98.661567877629068</v>
      </c>
      <c r="BW31">
        <f t="shared" si="21"/>
        <v>83.870967741935488</v>
      </c>
      <c r="BX31">
        <f t="shared" si="22"/>
        <v>0.31456238820699156</v>
      </c>
      <c r="CC31">
        <v>0.5</v>
      </c>
      <c r="CD31">
        <v>26</v>
      </c>
      <c r="CE31">
        <f t="shared" si="98"/>
        <v>109.5</v>
      </c>
      <c r="CF31">
        <f t="shared" si="23"/>
        <v>99.095022624434392</v>
      </c>
      <c r="CG31">
        <f t="shared" si="24"/>
        <v>92.857142857142861</v>
      </c>
      <c r="CH31">
        <f t="shared" si="25"/>
        <v>0.41208791208791068</v>
      </c>
      <c r="CM31">
        <v>1</v>
      </c>
      <c r="CN31">
        <v>26</v>
      </c>
      <c r="CO31">
        <f t="shared" si="99"/>
        <v>89.5</v>
      </c>
      <c r="CP31">
        <f t="shared" si="26"/>
        <v>92.030848329048837</v>
      </c>
      <c r="CQ31">
        <f t="shared" si="27"/>
        <v>70.270270270270274</v>
      </c>
      <c r="CR31">
        <f t="shared" si="28"/>
        <v>0.70867782950044278</v>
      </c>
      <c r="CW31">
        <v>0.5</v>
      </c>
      <c r="CX31">
        <v>26</v>
      </c>
      <c r="CY31">
        <f t="shared" si="100"/>
        <v>181.75</v>
      </c>
      <c r="CZ31">
        <f t="shared" si="29"/>
        <v>99.398414000546893</v>
      </c>
      <c r="DA31">
        <f t="shared" si="30"/>
        <v>83.870967741935488</v>
      </c>
      <c r="DB31">
        <f t="shared" si="31"/>
        <v>0.22493318161369621</v>
      </c>
      <c r="DG31">
        <v>0.5</v>
      </c>
      <c r="DH31">
        <v>26</v>
      </c>
      <c r="DI31">
        <f t="shared" si="101"/>
        <v>134.65</v>
      </c>
      <c r="DJ31">
        <f t="shared" si="32"/>
        <v>99.080206033848413</v>
      </c>
      <c r="DK31">
        <f t="shared" si="33"/>
        <v>89.65517241379311</v>
      </c>
      <c r="DL31">
        <f t="shared" si="80"/>
        <v>0.3235137398188217</v>
      </c>
      <c r="DQ31">
        <v>0.5</v>
      </c>
      <c r="DR31">
        <v>26</v>
      </c>
      <c r="DS31">
        <f t="shared" si="102"/>
        <v>95.5</v>
      </c>
      <c r="DT31">
        <f t="shared" si="35"/>
        <v>99.531005732152181</v>
      </c>
      <c r="DU31">
        <f t="shared" si="36"/>
        <v>89.65517241379311</v>
      </c>
      <c r="DV31">
        <f t="shared" si="82"/>
        <v>0.4582127904260494</v>
      </c>
      <c r="EA31">
        <v>0.5</v>
      </c>
      <c r="EB31">
        <v>26</v>
      </c>
      <c r="EC31">
        <f t="shared" si="103"/>
        <v>64.25</v>
      </c>
      <c r="ED31">
        <f t="shared" si="38"/>
        <v>96.326836581709159</v>
      </c>
      <c r="EE31">
        <f t="shared" si="39"/>
        <v>74.285714285714292</v>
      </c>
      <c r="EF31">
        <f t="shared" si="84"/>
        <v>0.54615549368172922</v>
      </c>
      <c r="EK31">
        <v>1</v>
      </c>
      <c r="EL31">
        <v>26</v>
      </c>
      <c r="EM31">
        <f t="shared" si="104"/>
        <v>134</v>
      </c>
      <c r="EN31">
        <f t="shared" si="41"/>
        <v>95.714285714285722</v>
      </c>
      <c r="EO31">
        <f t="shared" si="42"/>
        <v>72.222222222222214</v>
      </c>
      <c r="EP31">
        <f t="shared" si="86"/>
        <v>0.5059523809523867</v>
      </c>
      <c r="EU31">
        <v>0.5</v>
      </c>
      <c r="EV31">
        <v>26</v>
      </c>
      <c r="EW31">
        <f t="shared" si="105"/>
        <v>90.5</v>
      </c>
      <c r="EX31">
        <f t="shared" si="44"/>
        <v>99.45054945054946</v>
      </c>
      <c r="EY31">
        <f t="shared" si="45"/>
        <v>92.857142857142861</v>
      </c>
      <c r="EZ31">
        <f t="shared" si="88"/>
        <v>0.50039246467818377</v>
      </c>
      <c r="FE31">
        <v>1</v>
      </c>
      <c r="FF31">
        <v>26</v>
      </c>
      <c r="FG31">
        <f t="shared" si="106"/>
        <v>109</v>
      </c>
      <c r="FH31">
        <f t="shared" si="47"/>
        <v>96.247240618101543</v>
      </c>
      <c r="FI31">
        <f t="shared" si="48"/>
        <v>81.25</v>
      </c>
      <c r="FJ31">
        <f t="shared" si="90"/>
        <v>0.70364238410595537</v>
      </c>
      <c r="FO31">
        <v>1</v>
      </c>
      <c r="FP31">
        <v>26</v>
      </c>
      <c r="FQ31">
        <f t="shared" si="107"/>
        <v>113.5</v>
      </c>
      <c r="FR31">
        <f t="shared" si="50"/>
        <v>96.925704526046104</v>
      </c>
      <c r="FS31">
        <f t="shared" si="51"/>
        <v>78.787878787878782</v>
      </c>
      <c r="FT31">
        <f t="shared" si="92"/>
        <v>0.65988665476282382</v>
      </c>
      <c r="FY31">
        <v>0.25</v>
      </c>
      <c r="FZ31">
        <v>26</v>
      </c>
      <c r="GA31">
        <f t="shared" si="108"/>
        <v>52.05</v>
      </c>
      <c r="GB31">
        <f t="shared" si="53"/>
        <v>99.048525214081835</v>
      </c>
      <c r="GC31">
        <f t="shared" si="54"/>
        <v>92.857142857142861</v>
      </c>
      <c r="GD31">
        <f t="shared" si="94"/>
        <v>0.43326084001631399</v>
      </c>
      <c r="GI31">
        <v>1</v>
      </c>
      <c r="GJ31">
        <v>26</v>
      </c>
      <c r="GK31">
        <f t="shared" si="109"/>
        <v>110</v>
      </c>
      <c r="GL31">
        <f t="shared" si="56"/>
        <v>97.995545657015597</v>
      </c>
      <c r="GM31">
        <f t="shared" si="57"/>
        <v>78.787878787878782</v>
      </c>
      <c r="GN31">
        <f t="shared" si="96"/>
        <v>0.68839846122696768</v>
      </c>
    </row>
    <row r="32" spans="1:196" x14ac:dyDescent="0.2">
      <c r="A32">
        <v>1.5</v>
      </c>
      <c r="B32">
        <v>27</v>
      </c>
      <c r="C32">
        <f t="shared" si="59"/>
        <v>552</v>
      </c>
      <c r="D32">
        <f t="shared" si="0"/>
        <v>99.0578734858681</v>
      </c>
      <c r="E32">
        <f t="shared" si="1"/>
        <v>75</v>
      </c>
      <c r="F32">
        <f t="shared" si="2"/>
        <v>0.19814565574996007</v>
      </c>
      <c r="K32">
        <v>1</v>
      </c>
      <c r="L32">
        <v>27</v>
      </c>
      <c r="M32">
        <f t="shared" si="60"/>
        <v>447</v>
      </c>
      <c r="N32">
        <f t="shared" si="3"/>
        <v>99.721137757947574</v>
      </c>
      <c r="O32">
        <f t="shared" si="4"/>
        <v>90</v>
      </c>
      <c r="P32">
        <f t="shared" si="5"/>
        <v>0.19706265105037371</v>
      </c>
      <c r="U32">
        <v>1.5</v>
      </c>
      <c r="V32">
        <v>27</v>
      </c>
      <c r="W32">
        <f t="shared" si="61"/>
        <v>390</v>
      </c>
      <c r="X32">
        <f t="shared" si="6"/>
        <v>98.547062539481999</v>
      </c>
      <c r="Y32">
        <f t="shared" si="7"/>
        <v>79.411764705882348</v>
      </c>
      <c r="Z32">
        <f t="shared" si="62"/>
        <v>0.29541823046338594</v>
      </c>
      <c r="AE32">
        <v>3.5</v>
      </c>
      <c r="AF32">
        <v>27</v>
      </c>
      <c r="AG32">
        <f t="shared" si="63"/>
        <v>489.5</v>
      </c>
      <c r="AH32">
        <f t="shared" si="8"/>
        <v>96.853977047882864</v>
      </c>
      <c r="AI32">
        <f t="shared" si="9"/>
        <v>64.285714285714292</v>
      </c>
      <c r="AJ32">
        <f t="shared" si="10"/>
        <v>0.43694763223848881</v>
      </c>
      <c r="AO32">
        <v>5</v>
      </c>
      <c r="AP32">
        <v>27</v>
      </c>
      <c r="AQ32">
        <f t="shared" si="64"/>
        <v>288</v>
      </c>
      <c r="AR32">
        <f t="shared" si="11"/>
        <v>94.690120006575697</v>
      </c>
      <c r="AS32">
        <f t="shared" si="12"/>
        <v>72.972972972972968</v>
      </c>
      <c r="AT32">
        <f t="shared" si="13"/>
        <v>1.1774062406973884</v>
      </c>
      <c r="AY32">
        <v>1</v>
      </c>
      <c r="AZ32">
        <v>27</v>
      </c>
      <c r="BA32">
        <f t="shared" si="65"/>
        <v>319.5</v>
      </c>
      <c r="BB32">
        <f t="shared" si="14"/>
        <v>99.57924263674613</v>
      </c>
      <c r="BC32">
        <f t="shared" si="15"/>
        <v>87.096774193548384</v>
      </c>
      <c r="BD32">
        <f t="shared" si="16"/>
        <v>0.26642939369717955</v>
      </c>
      <c r="BI32">
        <v>0.75</v>
      </c>
      <c r="BJ32">
        <v>27</v>
      </c>
      <c r="BK32">
        <f t="shared" si="66"/>
        <v>209</v>
      </c>
      <c r="BL32">
        <f t="shared" si="17"/>
        <v>99.405469678953622</v>
      </c>
      <c r="BM32">
        <f t="shared" si="18"/>
        <v>87.096774193548384</v>
      </c>
      <c r="BN32">
        <f t="shared" si="19"/>
        <v>0.30493651950443001</v>
      </c>
      <c r="BS32">
        <v>0.5</v>
      </c>
      <c r="BT32">
        <v>27</v>
      </c>
      <c r="BU32">
        <f t="shared" si="97"/>
        <v>129.5</v>
      </c>
      <c r="BV32">
        <f t="shared" si="20"/>
        <v>99.043977055449332</v>
      </c>
      <c r="BW32">
        <f t="shared" si="21"/>
        <v>87.096774193548384</v>
      </c>
      <c r="BX32">
        <f t="shared" si="22"/>
        <v>0.32689816813667755</v>
      </c>
      <c r="CC32">
        <v>0.5</v>
      </c>
      <c r="CD32">
        <v>27</v>
      </c>
      <c r="CE32">
        <f t="shared" si="98"/>
        <v>110</v>
      </c>
      <c r="CF32">
        <f t="shared" si="23"/>
        <v>99.547511312217196</v>
      </c>
      <c r="CG32">
        <f t="shared" si="24"/>
        <v>96.428571428571431</v>
      </c>
      <c r="CH32">
        <f t="shared" si="25"/>
        <v>0.4282482223658679</v>
      </c>
      <c r="CM32">
        <v>1</v>
      </c>
      <c r="CN32">
        <v>27</v>
      </c>
      <c r="CO32">
        <f t="shared" si="99"/>
        <v>90.5</v>
      </c>
      <c r="CP32">
        <f t="shared" si="26"/>
        <v>93.059125964010278</v>
      </c>
      <c r="CQ32">
        <f t="shared" si="27"/>
        <v>72.972972972972968</v>
      </c>
      <c r="CR32">
        <f t="shared" si="28"/>
        <v>0.73646911693184269</v>
      </c>
      <c r="CW32">
        <v>0.25</v>
      </c>
      <c r="CX32">
        <v>27</v>
      </c>
      <c r="CY32">
        <f t="shared" si="100"/>
        <v>182</v>
      </c>
      <c r="CZ32">
        <f t="shared" si="29"/>
        <v>99.535138091331703</v>
      </c>
      <c r="DA32">
        <f t="shared" si="30"/>
        <v>87.096774193548384</v>
      </c>
      <c r="DB32">
        <f t="shared" si="31"/>
        <v>0.11687704534830529</v>
      </c>
      <c r="DG32">
        <v>0.5</v>
      </c>
      <c r="DH32">
        <v>27</v>
      </c>
      <c r="DI32">
        <f t="shared" si="101"/>
        <v>135.15</v>
      </c>
      <c r="DJ32">
        <f t="shared" si="32"/>
        <v>99.448123620309048</v>
      </c>
      <c r="DK32">
        <f t="shared" si="33"/>
        <v>93.103448275862064</v>
      </c>
      <c r="DL32">
        <f t="shared" si="80"/>
        <v>0.33620055314506303</v>
      </c>
      <c r="DQ32">
        <v>0.25</v>
      </c>
      <c r="DR32">
        <v>27</v>
      </c>
      <c r="DS32">
        <f t="shared" si="102"/>
        <v>95.75</v>
      </c>
      <c r="DT32">
        <f t="shared" si="35"/>
        <v>99.791558103178744</v>
      </c>
      <c r="DU32">
        <f t="shared" si="36"/>
        <v>93.103448275862064</v>
      </c>
      <c r="DV32">
        <f t="shared" si="82"/>
        <v>0.23809095973116956</v>
      </c>
      <c r="EA32">
        <v>0.5</v>
      </c>
      <c r="EB32">
        <v>27</v>
      </c>
      <c r="EC32">
        <f t="shared" si="103"/>
        <v>64.75</v>
      </c>
      <c r="ED32">
        <f t="shared" si="38"/>
        <v>97.076461769115468</v>
      </c>
      <c r="EE32">
        <f t="shared" si="39"/>
        <v>77.142857142857153</v>
      </c>
      <c r="EF32">
        <f t="shared" si="84"/>
        <v>0.56757335617906268</v>
      </c>
      <c r="EK32">
        <v>1</v>
      </c>
      <c r="EL32">
        <v>27</v>
      </c>
      <c r="EM32">
        <f t="shared" si="104"/>
        <v>135</v>
      </c>
      <c r="EN32">
        <f t="shared" si="41"/>
        <v>96.428571428571431</v>
      </c>
      <c r="EO32">
        <f t="shared" si="42"/>
        <v>75</v>
      </c>
      <c r="EP32">
        <f t="shared" si="86"/>
        <v>0.52579365079364637</v>
      </c>
      <c r="EU32">
        <v>0.25</v>
      </c>
      <c r="EV32">
        <v>27</v>
      </c>
      <c r="EW32">
        <f t="shared" si="105"/>
        <v>90.75</v>
      </c>
      <c r="EX32">
        <f t="shared" si="44"/>
        <v>99.72527472527473</v>
      </c>
      <c r="EY32">
        <f t="shared" si="45"/>
        <v>96.428571428571431</v>
      </c>
      <c r="EZ32">
        <f t="shared" si="88"/>
        <v>0.26000784929355925</v>
      </c>
      <c r="FE32">
        <v>1</v>
      </c>
      <c r="FF32">
        <v>27</v>
      </c>
      <c r="FG32">
        <f t="shared" si="106"/>
        <v>110</v>
      </c>
      <c r="FH32">
        <f t="shared" si="47"/>
        <v>97.130242825607056</v>
      </c>
      <c r="FI32">
        <f t="shared" si="48"/>
        <v>84.375</v>
      </c>
      <c r="FJ32">
        <f t="shared" si="90"/>
        <v>0.73123620309050263</v>
      </c>
      <c r="FO32">
        <v>1</v>
      </c>
      <c r="FP32">
        <v>27</v>
      </c>
      <c r="FQ32">
        <f t="shared" si="107"/>
        <v>114.5</v>
      </c>
      <c r="FR32">
        <f t="shared" si="50"/>
        <v>97.779675491033302</v>
      </c>
      <c r="FS32">
        <f t="shared" si="51"/>
        <v>81.818181818181827</v>
      </c>
      <c r="FT32">
        <f t="shared" si="92"/>
        <v>0.68576456279275011</v>
      </c>
      <c r="FY32">
        <v>0.25</v>
      </c>
      <c r="FZ32">
        <v>27</v>
      </c>
      <c r="GA32">
        <f t="shared" si="108"/>
        <v>52.3</v>
      </c>
      <c r="GB32">
        <f t="shared" si="53"/>
        <v>99.52426260704091</v>
      </c>
      <c r="GC32">
        <f t="shared" si="54"/>
        <v>96.428571428571431</v>
      </c>
      <c r="GD32">
        <f t="shared" si="94"/>
        <v>0.45025146119341081</v>
      </c>
      <c r="GI32">
        <v>0.5</v>
      </c>
      <c r="GJ32">
        <v>27</v>
      </c>
      <c r="GK32">
        <f t="shared" si="109"/>
        <v>110.5</v>
      </c>
      <c r="GL32">
        <f t="shared" si="56"/>
        <v>98.440979955456584</v>
      </c>
      <c r="GM32">
        <f t="shared" si="57"/>
        <v>81.818181818181827</v>
      </c>
      <c r="GN32">
        <f t="shared" si="96"/>
        <v>0.35769723965715561</v>
      </c>
    </row>
    <row r="33" spans="1:196" x14ac:dyDescent="0.2">
      <c r="A33">
        <v>1</v>
      </c>
      <c r="B33">
        <v>28</v>
      </c>
      <c r="C33">
        <f t="shared" si="59"/>
        <v>553</v>
      </c>
      <c r="D33">
        <f t="shared" si="0"/>
        <v>99.237326155226555</v>
      </c>
      <c r="E33">
        <f t="shared" si="1"/>
        <v>77.777777777777786</v>
      </c>
      <c r="F33">
        <f t="shared" si="2"/>
        <v>0.13708190020437486</v>
      </c>
      <c r="K33">
        <v>0.5</v>
      </c>
      <c r="L33">
        <v>28</v>
      </c>
      <c r="M33">
        <f t="shared" si="60"/>
        <v>447.5</v>
      </c>
      <c r="N33">
        <f t="shared" si="3"/>
        <v>99.832682654768547</v>
      </c>
      <c r="O33">
        <f t="shared" si="4"/>
        <v>93.333333333333329</v>
      </c>
      <c r="P33">
        <f t="shared" si="5"/>
        <v>0.10224948875255889</v>
      </c>
      <c r="U33">
        <v>1.5</v>
      </c>
      <c r="V33">
        <v>28</v>
      </c>
      <c r="W33">
        <f t="shared" si="61"/>
        <v>391.5</v>
      </c>
      <c r="X33">
        <f t="shared" si="6"/>
        <v>98.926089703095386</v>
      </c>
      <c r="Y33">
        <f t="shared" si="7"/>
        <v>82.35294117647058</v>
      </c>
      <c r="Z33">
        <f t="shared" si="62"/>
        <v>0.30656608821670978</v>
      </c>
      <c r="AE33">
        <v>2.5</v>
      </c>
      <c r="AF33">
        <v>28</v>
      </c>
      <c r="AG33">
        <f t="shared" si="63"/>
        <v>492</v>
      </c>
      <c r="AH33">
        <f t="shared" si="8"/>
        <v>97.348634744756637</v>
      </c>
      <c r="AI33">
        <f t="shared" si="9"/>
        <v>66.666666666666657</v>
      </c>
      <c r="AJ33">
        <f t="shared" si="10"/>
        <v>0.32388301581020856</v>
      </c>
      <c r="AO33">
        <v>4.5</v>
      </c>
      <c r="AP33">
        <v>28</v>
      </c>
      <c r="AQ33">
        <f t="shared" si="64"/>
        <v>292.5</v>
      </c>
      <c r="AR33">
        <f t="shared" si="11"/>
        <v>96.16965313167843</v>
      </c>
      <c r="AS33">
        <f t="shared" si="12"/>
        <v>75.675675675675677</v>
      </c>
      <c r="AT33">
        <f t="shared" si="13"/>
        <v>1.0996529983871668</v>
      </c>
      <c r="AY33">
        <v>0.5</v>
      </c>
      <c r="AZ33">
        <v>28</v>
      </c>
      <c r="BA33">
        <f t="shared" si="65"/>
        <v>320</v>
      </c>
      <c r="BB33">
        <f t="shared" si="14"/>
        <v>99.73507869721054</v>
      </c>
      <c r="BC33">
        <f t="shared" si="15"/>
        <v>90.322580645161281</v>
      </c>
      <c r="BD33">
        <f t="shared" si="16"/>
        <v>0.13824166654100828</v>
      </c>
      <c r="BI33">
        <v>0.5</v>
      </c>
      <c r="BJ33">
        <v>28</v>
      </c>
      <c r="BK33">
        <f t="shared" si="66"/>
        <v>209.5</v>
      </c>
      <c r="BL33">
        <f t="shared" si="17"/>
        <v>99.643281807372176</v>
      </c>
      <c r="BM33">
        <f t="shared" si="18"/>
        <v>90.322580645161281</v>
      </c>
      <c r="BN33">
        <f t="shared" si="19"/>
        <v>0.21096237198420106</v>
      </c>
      <c r="BS33">
        <v>0.5</v>
      </c>
      <c r="BT33">
        <v>28</v>
      </c>
      <c r="BU33">
        <f t="shared" si="97"/>
        <v>130</v>
      </c>
      <c r="BV33">
        <f t="shared" si="20"/>
        <v>99.426386233269596</v>
      </c>
      <c r="BW33">
        <f t="shared" si="21"/>
        <v>90.322580645161281</v>
      </c>
      <c r="BX33">
        <f t="shared" si="22"/>
        <v>0.33923394806636348</v>
      </c>
      <c r="CC33">
        <v>0.5</v>
      </c>
      <c r="CD33">
        <v>28</v>
      </c>
      <c r="CE33">
        <f t="shared" si="98"/>
        <v>110.5</v>
      </c>
      <c r="CF33">
        <f>CE33/CE$33*100</f>
        <v>100</v>
      </c>
      <c r="CG33">
        <f t="shared" si="24"/>
        <v>100</v>
      </c>
      <c r="CH33">
        <f t="shared" si="25"/>
        <v>0.44440853264382524</v>
      </c>
      <c r="CM33">
        <v>1</v>
      </c>
      <c r="CN33">
        <v>28</v>
      </c>
      <c r="CO33">
        <f t="shared" si="99"/>
        <v>91.5</v>
      </c>
      <c r="CP33">
        <f t="shared" si="26"/>
        <v>94.087403598971719</v>
      </c>
      <c r="CQ33">
        <f t="shared" si="27"/>
        <v>75.675675675675677</v>
      </c>
      <c r="CR33">
        <f t="shared" si="28"/>
        <v>0.76426040436323306</v>
      </c>
      <c r="CW33">
        <v>0.25</v>
      </c>
      <c r="CX33">
        <v>28</v>
      </c>
      <c r="CY33">
        <f t="shared" si="100"/>
        <v>182.25</v>
      </c>
      <c r="CZ33">
        <f t="shared" si="29"/>
        <v>99.671862182116485</v>
      </c>
      <c r="DA33">
        <f t="shared" si="30"/>
        <v>90.322580645161281</v>
      </c>
      <c r="DB33">
        <f t="shared" si="31"/>
        <v>0.12128749988972555</v>
      </c>
      <c r="DG33">
        <v>0.5</v>
      </c>
      <c r="DH33">
        <v>28</v>
      </c>
      <c r="DI33">
        <f t="shared" si="101"/>
        <v>135.65</v>
      </c>
      <c r="DJ33">
        <f t="shared" si="32"/>
        <v>99.816041206769683</v>
      </c>
      <c r="DK33">
        <f t="shared" si="33"/>
        <v>96.551724137931032</v>
      </c>
      <c r="DL33">
        <f t="shared" si="80"/>
        <v>0.34888736647129176</v>
      </c>
      <c r="DQ33">
        <v>0.1</v>
      </c>
      <c r="DR33">
        <v>28</v>
      </c>
      <c r="DS33">
        <f t="shared" si="102"/>
        <v>95.85</v>
      </c>
      <c r="DT33">
        <f t="shared" si="35"/>
        <v>99.895779051589372</v>
      </c>
      <c r="DU33">
        <f t="shared" si="36"/>
        <v>96.551724137931032</v>
      </c>
      <c r="DV33">
        <f t="shared" si="82"/>
        <v>9.883020969973344E-2</v>
      </c>
      <c r="EA33">
        <v>0.5</v>
      </c>
      <c r="EB33">
        <v>28</v>
      </c>
      <c r="EC33">
        <f t="shared" si="103"/>
        <v>65.25</v>
      </c>
      <c r="ED33">
        <f t="shared" si="38"/>
        <v>97.826086956521749</v>
      </c>
      <c r="EE33">
        <f t="shared" si="39"/>
        <v>80</v>
      </c>
      <c r="EF33">
        <f t="shared" si="84"/>
        <v>0.5889912186763635</v>
      </c>
      <c r="EK33">
        <v>1</v>
      </c>
      <c r="EL33">
        <v>28</v>
      </c>
      <c r="EM33">
        <f t="shared" si="104"/>
        <v>136</v>
      </c>
      <c r="EN33">
        <f t="shared" si="41"/>
        <v>97.142857142857139</v>
      </c>
      <c r="EO33">
        <f t="shared" si="42"/>
        <v>77.777777777777786</v>
      </c>
      <c r="EP33">
        <f t="shared" si="86"/>
        <v>0.54563492063491592</v>
      </c>
      <c r="EU33">
        <v>0.25</v>
      </c>
      <c r="EV33">
        <v>28</v>
      </c>
      <c r="EW33">
        <f t="shared" si="105"/>
        <v>91</v>
      </c>
      <c r="EX33">
        <f t="shared" si="44"/>
        <v>100</v>
      </c>
      <c r="EY33">
        <f t="shared" si="45"/>
        <v>100</v>
      </c>
      <c r="EZ33">
        <f t="shared" si="88"/>
        <v>0.26981946624803327</v>
      </c>
      <c r="FE33">
        <v>1</v>
      </c>
      <c r="FF33">
        <v>28</v>
      </c>
      <c r="FG33">
        <f t="shared" si="106"/>
        <v>111</v>
      </c>
      <c r="FH33">
        <f t="shared" si="47"/>
        <v>98.013245033112582</v>
      </c>
      <c r="FI33">
        <f t="shared" si="48"/>
        <v>87.5</v>
      </c>
      <c r="FJ33">
        <f t="shared" si="90"/>
        <v>0.75883002207506212</v>
      </c>
      <c r="FO33">
        <v>1</v>
      </c>
      <c r="FP33">
        <v>28</v>
      </c>
      <c r="FQ33">
        <f t="shared" si="107"/>
        <v>115.5</v>
      </c>
      <c r="FR33">
        <f t="shared" si="50"/>
        <v>98.633646456020486</v>
      </c>
      <c r="FS33">
        <f t="shared" si="51"/>
        <v>84.848484848484844</v>
      </c>
      <c r="FT33">
        <f t="shared" si="92"/>
        <v>0.71164247082265331</v>
      </c>
      <c r="FY33">
        <v>0.25</v>
      </c>
      <c r="FZ33">
        <v>28</v>
      </c>
      <c r="GA33">
        <f t="shared" si="108"/>
        <v>52.55</v>
      </c>
      <c r="GB33">
        <f t="shared" si="53"/>
        <v>100</v>
      </c>
      <c r="GC33">
        <f t="shared" si="54"/>
        <v>100</v>
      </c>
      <c r="GD33">
        <f t="shared" si="94"/>
        <v>0.46724208237053466</v>
      </c>
      <c r="GI33">
        <v>0.5</v>
      </c>
      <c r="GJ33">
        <v>28</v>
      </c>
      <c r="GK33">
        <f t="shared" si="109"/>
        <v>111</v>
      </c>
      <c r="GL33">
        <f t="shared" si="56"/>
        <v>98.886414253897556</v>
      </c>
      <c r="GM33">
        <f t="shared" si="57"/>
        <v>84.848484848484844</v>
      </c>
      <c r="GN33">
        <f t="shared" si="96"/>
        <v>0.37119524870081011</v>
      </c>
    </row>
    <row r="34" spans="1:196" x14ac:dyDescent="0.2">
      <c r="A34">
        <v>1</v>
      </c>
      <c r="B34">
        <v>29</v>
      </c>
      <c r="C34">
        <f t="shared" si="59"/>
        <v>554</v>
      </c>
      <c r="D34">
        <f t="shared" si="0"/>
        <v>99.416778824585023</v>
      </c>
      <c r="E34">
        <f t="shared" si="1"/>
        <v>80.555555555555557</v>
      </c>
      <c r="F34">
        <f t="shared" si="2"/>
        <v>0.14206669657545432</v>
      </c>
      <c r="K34">
        <v>0.5</v>
      </c>
      <c r="L34">
        <v>29</v>
      </c>
      <c r="M34">
        <f t="shared" si="60"/>
        <v>448</v>
      </c>
      <c r="N34">
        <f t="shared" si="3"/>
        <v>99.94422755158952</v>
      </c>
      <c r="O34">
        <f t="shared" si="4"/>
        <v>96.666666666666671</v>
      </c>
      <c r="P34">
        <f t="shared" si="5"/>
        <v>0.10596765197992468</v>
      </c>
      <c r="U34">
        <v>1</v>
      </c>
      <c r="V34">
        <v>29</v>
      </c>
      <c r="W34">
        <f t="shared" si="61"/>
        <v>392.5</v>
      </c>
      <c r="X34">
        <f t="shared" si="6"/>
        <v>99.178774478837653</v>
      </c>
      <c r="Y34">
        <f t="shared" si="7"/>
        <v>85.294117647058826</v>
      </c>
      <c r="Z34">
        <f t="shared" si="62"/>
        <v>0.21180929731337103</v>
      </c>
      <c r="AE34">
        <v>2</v>
      </c>
      <c r="AF34">
        <v>29</v>
      </c>
      <c r="AG34">
        <f t="shared" si="63"/>
        <v>494</v>
      </c>
      <c r="AH34">
        <f t="shared" si="8"/>
        <v>97.74436090225565</v>
      </c>
      <c r="AI34">
        <f t="shared" si="9"/>
        <v>69.047619047619051</v>
      </c>
      <c r="AJ34">
        <f t="shared" si="10"/>
        <v>0.26852846401718722</v>
      </c>
      <c r="AO34">
        <v>4</v>
      </c>
      <c r="AP34">
        <v>29</v>
      </c>
      <c r="AQ34">
        <f t="shared" si="64"/>
        <v>296.5</v>
      </c>
      <c r="AR34">
        <f t="shared" si="11"/>
        <v>97.484793687325322</v>
      </c>
      <c r="AS34">
        <f t="shared" si="12"/>
        <v>78.378378378378372</v>
      </c>
      <c r="AT34">
        <f t="shared" si="13"/>
        <v>1.0130136712415245</v>
      </c>
      <c r="AY34">
        <v>0.5</v>
      </c>
      <c r="AZ34">
        <v>29</v>
      </c>
      <c r="BA34">
        <f t="shared" si="65"/>
        <v>320.5</v>
      </c>
      <c r="BB34">
        <f t="shared" si="14"/>
        <v>99.890914757674921</v>
      </c>
      <c r="BC34">
        <f t="shared" si="15"/>
        <v>93.548387096774192</v>
      </c>
      <c r="BD34">
        <f t="shared" si="16"/>
        <v>0.14326863623338246</v>
      </c>
      <c r="BI34">
        <v>0.25</v>
      </c>
      <c r="BJ34">
        <v>29</v>
      </c>
      <c r="BK34">
        <f t="shared" si="66"/>
        <v>209.75</v>
      </c>
      <c r="BL34">
        <f t="shared" si="17"/>
        <v>99.76218787158146</v>
      </c>
      <c r="BM34">
        <f t="shared" si="18"/>
        <v>93.548387096774192</v>
      </c>
      <c r="BN34">
        <f t="shared" si="19"/>
        <v>0.10931686548272891</v>
      </c>
      <c r="BS34">
        <v>0.5</v>
      </c>
      <c r="BT34">
        <v>29</v>
      </c>
      <c r="BU34">
        <f t="shared" si="97"/>
        <v>130.5</v>
      </c>
      <c r="BV34">
        <f t="shared" si="20"/>
        <v>99.808795411089875</v>
      </c>
      <c r="BW34">
        <f t="shared" si="21"/>
        <v>93.548387096774192</v>
      </c>
      <c r="BX34">
        <f t="shared" si="22"/>
        <v>0.35156972799606251</v>
      </c>
      <c r="CM34">
        <v>1</v>
      </c>
      <c r="CN34">
        <v>29</v>
      </c>
      <c r="CO34">
        <f t="shared" si="99"/>
        <v>92.5</v>
      </c>
      <c r="CP34">
        <f t="shared" si="26"/>
        <v>95.115681233933159</v>
      </c>
      <c r="CQ34">
        <f t="shared" si="27"/>
        <v>78.378378378378372</v>
      </c>
      <c r="CR34">
        <f t="shared" si="28"/>
        <v>0.79205169179462342</v>
      </c>
      <c r="CW34">
        <v>0.25</v>
      </c>
      <c r="CX34">
        <v>29</v>
      </c>
      <c r="CY34">
        <f t="shared" si="100"/>
        <v>182.5</v>
      </c>
      <c r="CZ34">
        <f t="shared" si="29"/>
        <v>99.808586272901294</v>
      </c>
      <c r="DA34">
        <f t="shared" si="30"/>
        <v>93.548387096774192</v>
      </c>
      <c r="DB34">
        <f t="shared" si="31"/>
        <v>0.12569795443119625</v>
      </c>
      <c r="DG34">
        <v>0.25</v>
      </c>
      <c r="DH34">
        <v>29</v>
      </c>
      <c r="DI34">
        <f t="shared" si="101"/>
        <v>135.9</v>
      </c>
      <c r="DJ34">
        <f t="shared" si="32"/>
        <v>100</v>
      </c>
      <c r="DK34">
        <f t="shared" si="33"/>
        <v>100</v>
      </c>
      <c r="DL34">
        <f t="shared" si="80"/>
        <v>0.1807870898987603</v>
      </c>
      <c r="DQ34">
        <v>0.1</v>
      </c>
      <c r="DR34">
        <v>29</v>
      </c>
      <c r="DS34">
        <f t="shared" si="102"/>
        <v>95.949999999999989</v>
      </c>
      <c r="DT34">
        <f t="shared" si="35"/>
        <v>100</v>
      </c>
      <c r="DU34">
        <f t="shared" si="36"/>
        <v>100</v>
      </c>
      <c r="DV34">
        <f t="shared" si="82"/>
        <v>0.10242403550699651</v>
      </c>
      <c r="EA34">
        <v>0.4</v>
      </c>
      <c r="EB34">
        <v>29</v>
      </c>
      <c r="EC34">
        <f t="shared" si="103"/>
        <v>65.650000000000006</v>
      </c>
      <c r="ED34">
        <f t="shared" si="38"/>
        <v>98.425787106446805</v>
      </c>
      <c r="EE34">
        <f t="shared" si="39"/>
        <v>82.857142857142861</v>
      </c>
      <c r="EF34">
        <f t="shared" si="84"/>
        <v>0.48832726493897405</v>
      </c>
      <c r="EK34">
        <v>1</v>
      </c>
      <c r="EL34">
        <v>29</v>
      </c>
      <c r="EM34">
        <f t="shared" si="104"/>
        <v>137</v>
      </c>
      <c r="EN34">
        <f t="shared" si="41"/>
        <v>97.857142857142847</v>
      </c>
      <c r="EO34">
        <f t="shared" si="42"/>
        <v>80.555555555555557</v>
      </c>
      <c r="EP34">
        <f t="shared" si="86"/>
        <v>0.56547619047618569</v>
      </c>
      <c r="FE34">
        <v>0.75</v>
      </c>
      <c r="FF34">
        <v>29</v>
      </c>
      <c r="FG34">
        <f t="shared" si="106"/>
        <v>111.75</v>
      </c>
      <c r="FH34">
        <f t="shared" si="47"/>
        <v>98.675496688741731</v>
      </c>
      <c r="FI34">
        <f>FF34/FF$37*100</f>
        <v>90.625</v>
      </c>
      <c r="FJ34">
        <f t="shared" si="90"/>
        <v>0.58981788079471054</v>
      </c>
      <c r="FO34">
        <v>0.5</v>
      </c>
      <c r="FP34">
        <v>29</v>
      </c>
      <c r="FQ34">
        <f t="shared" si="107"/>
        <v>116</v>
      </c>
      <c r="FR34">
        <f t="shared" si="50"/>
        <v>99.060631938514092</v>
      </c>
      <c r="FS34">
        <f t="shared" si="51"/>
        <v>87.878787878787875</v>
      </c>
      <c r="FT34">
        <f t="shared" si="92"/>
        <v>0.36876018942629618</v>
      </c>
      <c r="GI34">
        <v>0.5</v>
      </c>
      <c r="GJ34">
        <v>29</v>
      </c>
      <c r="GK34">
        <f t="shared" si="109"/>
        <v>111.5</v>
      </c>
      <c r="GL34">
        <f t="shared" si="56"/>
        <v>99.331848552338542</v>
      </c>
      <c r="GM34">
        <f t="shared" si="57"/>
        <v>87.878787878787875</v>
      </c>
      <c r="GN34">
        <f t="shared" si="96"/>
        <v>0.38469325774448815</v>
      </c>
    </row>
    <row r="35" spans="1:196" x14ac:dyDescent="0.2">
      <c r="A35">
        <v>0.75</v>
      </c>
      <c r="B35">
        <v>30</v>
      </c>
      <c r="C35">
        <f t="shared" si="59"/>
        <v>554.75</v>
      </c>
      <c r="D35">
        <f t="shared" si="0"/>
        <v>99.551368326603864</v>
      </c>
      <c r="E35">
        <f t="shared" si="1"/>
        <v>83.333333333333343</v>
      </c>
      <c r="F35">
        <f t="shared" si="2"/>
        <v>0.11028861970988345</v>
      </c>
      <c r="K35">
        <v>0.25</v>
      </c>
      <c r="L35">
        <v>30</v>
      </c>
      <c r="M35">
        <f t="shared" si="60"/>
        <v>448.25</v>
      </c>
      <c r="N35">
        <f t="shared" si="3"/>
        <v>100</v>
      </c>
      <c r="O35">
        <f t="shared" si="4"/>
        <v>100</v>
      </c>
      <c r="P35">
        <f>(O35+O34)/2*(N35-N34)/100</f>
        <v>5.4842907603638247E-2</v>
      </c>
      <c r="U35">
        <v>1</v>
      </c>
      <c r="V35">
        <v>30</v>
      </c>
      <c r="W35">
        <f t="shared" si="61"/>
        <v>393.5</v>
      </c>
      <c r="X35">
        <f t="shared" si="6"/>
        <v>99.431459254579906</v>
      </c>
      <c r="Y35">
        <f t="shared" si="7"/>
        <v>88.235294117647058</v>
      </c>
      <c r="Z35">
        <f t="shared" si="62"/>
        <v>0.21924120248224896</v>
      </c>
      <c r="AE35">
        <v>2</v>
      </c>
      <c r="AF35">
        <v>30</v>
      </c>
      <c r="AG35">
        <f t="shared" si="63"/>
        <v>496</v>
      </c>
      <c r="AH35">
        <f t="shared" si="8"/>
        <v>98.140087059754649</v>
      </c>
      <c r="AI35">
        <f t="shared" si="9"/>
        <v>71.428571428571431</v>
      </c>
      <c r="AJ35">
        <f t="shared" si="10"/>
        <v>0.27795051538620136</v>
      </c>
      <c r="AO35">
        <v>3</v>
      </c>
      <c r="AP35">
        <v>30</v>
      </c>
      <c r="AQ35">
        <f t="shared" si="64"/>
        <v>299.5</v>
      </c>
      <c r="AR35">
        <f t="shared" si="11"/>
        <v>98.471149104060487</v>
      </c>
      <c r="AS35">
        <f t="shared" si="12"/>
        <v>81.081081081081081</v>
      </c>
      <c r="AT35">
        <f t="shared" si="13"/>
        <v>0.78641850793749657</v>
      </c>
      <c r="AY35">
        <v>0.25</v>
      </c>
      <c r="AZ35">
        <v>30</v>
      </c>
      <c r="BA35">
        <f t="shared" si="65"/>
        <v>320.75</v>
      </c>
      <c r="BB35">
        <f t="shared" si="14"/>
        <v>99.968832787907118</v>
      </c>
      <c r="BC35">
        <f t="shared" si="15"/>
        <v>96.774193548387103</v>
      </c>
      <c r="BD35">
        <f t="shared" si="16"/>
        <v>7.4147802962897677E-2</v>
      </c>
      <c r="BI35">
        <v>0.25</v>
      </c>
      <c r="BJ35">
        <v>30</v>
      </c>
      <c r="BK35">
        <f t="shared" si="66"/>
        <v>210</v>
      </c>
      <c r="BL35">
        <f t="shared" si="17"/>
        <v>99.881093935790716</v>
      </c>
      <c r="BM35">
        <f t="shared" si="18"/>
        <v>96.774193548387103</v>
      </c>
      <c r="BN35">
        <f t="shared" si="19"/>
        <v>0.11315254497332392</v>
      </c>
      <c r="BS35">
        <v>0.2</v>
      </c>
      <c r="BT35">
        <v>30</v>
      </c>
      <c r="BU35">
        <f t="shared" si="97"/>
        <v>130.69999999999999</v>
      </c>
      <c r="BV35">
        <f t="shared" si="20"/>
        <v>99.961759082217966</v>
      </c>
      <c r="BW35">
        <f t="shared" si="21"/>
        <v>96.774193548387103</v>
      </c>
      <c r="BX35">
        <f t="shared" si="22"/>
        <v>0.14556220317028062</v>
      </c>
      <c r="CM35">
        <v>1</v>
      </c>
      <c r="CN35">
        <v>30</v>
      </c>
      <c r="CO35">
        <f t="shared" si="99"/>
        <v>93.5</v>
      </c>
      <c r="CP35">
        <f t="shared" si="26"/>
        <v>96.1439588688946</v>
      </c>
      <c r="CQ35">
        <f t="shared" si="27"/>
        <v>81.081081081081081</v>
      </c>
      <c r="CR35">
        <f t="shared" si="28"/>
        <v>0.81984297922601357</v>
      </c>
      <c r="CW35">
        <v>0.2</v>
      </c>
      <c r="CX35">
        <v>30</v>
      </c>
      <c r="CY35">
        <f t="shared" si="100"/>
        <v>182.7</v>
      </c>
      <c r="CZ35">
        <f t="shared" si="29"/>
        <v>99.917965545529114</v>
      </c>
      <c r="DA35">
        <f t="shared" si="30"/>
        <v>96.774193548387103</v>
      </c>
      <c r="DB35">
        <f t="shared" si="31"/>
        <v>0.10408672717808633</v>
      </c>
      <c r="EA35">
        <v>0.25</v>
      </c>
      <c r="EB35">
        <v>30</v>
      </c>
      <c r="EC35">
        <f t="shared" si="103"/>
        <v>65.900000000000006</v>
      </c>
      <c r="ED35">
        <f>EC35/EC$40*100</f>
        <v>98.800599700149945</v>
      </c>
      <c r="EE35">
        <f>EB35/EB$40*100</f>
        <v>85.714285714285708</v>
      </c>
      <c r="EF35">
        <f t="shared" si="84"/>
        <v>0.31591347183550395</v>
      </c>
      <c r="EK35">
        <v>1</v>
      </c>
      <c r="EL35">
        <v>30</v>
      </c>
      <c r="EM35">
        <f t="shared" si="104"/>
        <v>138</v>
      </c>
      <c r="EN35">
        <f t="shared" si="41"/>
        <v>98.571428571428584</v>
      </c>
      <c r="EO35">
        <f t="shared" si="42"/>
        <v>83.333333333333343</v>
      </c>
      <c r="EP35">
        <f t="shared" si="86"/>
        <v>0.58531746031747867</v>
      </c>
      <c r="FE35">
        <v>0.75</v>
      </c>
      <c r="FF35">
        <v>30</v>
      </c>
      <c r="FG35">
        <f t="shared" si="106"/>
        <v>112.5</v>
      </c>
      <c r="FH35">
        <f t="shared" si="47"/>
        <v>99.337748344370851</v>
      </c>
      <c r="FI35">
        <f t="shared" si="48"/>
        <v>93.75</v>
      </c>
      <c r="FJ35">
        <f t="shared" si="90"/>
        <v>0.61051324503309523</v>
      </c>
      <c r="FO35">
        <v>0.5</v>
      </c>
      <c r="FP35">
        <v>30</v>
      </c>
      <c r="FQ35">
        <f t="shared" si="107"/>
        <v>116.5</v>
      </c>
      <c r="FR35">
        <f t="shared" si="50"/>
        <v>99.487617421007684</v>
      </c>
      <c r="FS35">
        <f t="shared" si="51"/>
        <v>90.909090909090907</v>
      </c>
      <c r="FT35">
        <f t="shared" si="92"/>
        <v>0.38169914344124123</v>
      </c>
      <c r="GI35">
        <v>0.5</v>
      </c>
      <c r="GJ35">
        <v>30</v>
      </c>
      <c r="GK35">
        <f t="shared" si="109"/>
        <v>112</v>
      </c>
      <c r="GL35">
        <f t="shared" si="56"/>
        <v>99.777282850779528</v>
      </c>
      <c r="GM35">
        <f t="shared" si="57"/>
        <v>90.909090909090907</v>
      </c>
      <c r="GN35">
        <f t="shared" si="96"/>
        <v>0.39819126678815436</v>
      </c>
    </row>
    <row r="36" spans="1:196" x14ac:dyDescent="0.2">
      <c r="A36">
        <v>0.5</v>
      </c>
      <c r="B36">
        <v>31</v>
      </c>
      <c r="C36">
        <f t="shared" si="59"/>
        <v>555.25</v>
      </c>
      <c r="D36">
        <f t="shared" si="0"/>
        <v>99.641094661283091</v>
      </c>
      <c r="E36">
        <f t="shared" si="1"/>
        <v>86.111111111111114</v>
      </c>
      <c r="F36">
        <f t="shared" si="2"/>
        <v>7.6018144658789713E-2</v>
      </c>
      <c r="U36">
        <v>1</v>
      </c>
      <c r="V36">
        <v>31</v>
      </c>
      <c r="W36">
        <f t="shared" si="61"/>
        <v>394.5</v>
      </c>
      <c r="X36">
        <f t="shared" si="6"/>
        <v>99.684144030322173</v>
      </c>
      <c r="Y36">
        <f t="shared" si="7"/>
        <v>91.17647058823529</v>
      </c>
      <c r="Z36">
        <f t="shared" si="62"/>
        <v>0.22667310765115148</v>
      </c>
      <c r="AE36">
        <v>1.5</v>
      </c>
      <c r="AF36">
        <v>31</v>
      </c>
      <c r="AG36">
        <f t="shared" si="63"/>
        <v>497.5</v>
      </c>
      <c r="AH36">
        <f t="shared" si="8"/>
        <v>98.436881677878901</v>
      </c>
      <c r="AI36">
        <f t="shared" si="9"/>
        <v>73.80952380952381</v>
      </c>
      <c r="AJ36">
        <f t="shared" si="10"/>
        <v>0.21552942506642142</v>
      </c>
      <c r="AO36">
        <v>1.5</v>
      </c>
      <c r="AP36">
        <v>31</v>
      </c>
      <c r="AQ36">
        <f t="shared" si="64"/>
        <v>301</v>
      </c>
      <c r="AR36">
        <f t="shared" si="11"/>
        <v>98.96432681242807</v>
      </c>
      <c r="AS36">
        <f t="shared" si="12"/>
        <v>83.78378378378379</v>
      </c>
      <c r="AT36">
        <f t="shared" si="13"/>
        <v>0.40653838122192615</v>
      </c>
      <c r="AY36">
        <v>0.1</v>
      </c>
      <c r="AZ36">
        <v>31</v>
      </c>
      <c r="BA36">
        <f t="shared" si="65"/>
        <v>320.85000000000002</v>
      </c>
      <c r="BB36">
        <f t="shared" si="14"/>
        <v>100</v>
      </c>
      <c r="BC36">
        <f t="shared" si="15"/>
        <v>100</v>
      </c>
      <c r="BD36">
        <f t="shared" si="16"/>
        <v>3.0664515123641836E-2</v>
      </c>
      <c r="BI36">
        <v>0.25</v>
      </c>
      <c r="BJ36">
        <v>31</v>
      </c>
      <c r="BK36">
        <f t="shared" si="66"/>
        <v>210.25</v>
      </c>
      <c r="BL36">
        <f t="shared" si="17"/>
        <v>100</v>
      </c>
      <c r="BM36">
        <f t="shared" si="18"/>
        <v>100</v>
      </c>
      <c r="BN36">
        <f t="shared" si="19"/>
        <v>0.11698822446397304</v>
      </c>
      <c r="BS36">
        <v>0.05</v>
      </c>
      <c r="BT36">
        <v>31</v>
      </c>
      <c r="BU36">
        <f>BU35+BS36</f>
        <v>130.75</v>
      </c>
      <c r="BV36">
        <f t="shared" si="20"/>
        <v>100</v>
      </c>
      <c r="BW36">
        <f t="shared" si="21"/>
        <v>100</v>
      </c>
      <c r="BX36">
        <f t="shared" si="22"/>
        <v>3.7624128785549125E-2</v>
      </c>
      <c r="CM36">
        <v>1</v>
      </c>
      <c r="CN36">
        <v>31</v>
      </c>
      <c r="CO36">
        <f t="shared" si="99"/>
        <v>94.5</v>
      </c>
      <c r="CP36">
        <f t="shared" si="26"/>
        <v>97.172236503856041</v>
      </c>
      <c r="CQ36">
        <f t="shared" si="27"/>
        <v>83.78378378378379</v>
      </c>
      <c r="CR36">
        <f t="shared" si="28"/>
        <v>0.84763426665740393</v>
      </c>
      <c r="CW36">
        <v>0.15</v>
      </c>
      <c r="CX36">
        <v>31</v>
      </c>
      <c r="CY36">
        <f>CY35+CW36</f>
        <v>182.85</v>
      </c>
      <c r="CZ36">
        <f t="shared" si="29"/>
        <v>100</v>
      </c>
      <c r="DA36">
        <f t="shared" si="30"/>
        <v>100</v>
      </c>
      <c r="DB36">
        <f t="shared" si="31"/>
        <v>8.0711318108452335E-2</v>
      </c>
      <c r="EA36">
        <v>0.25</v>
      </c>
      <c r="EB36">
        <v>31</v>
      </c>
      <c r="EC36">
        <f t="shared" si="103"/>
        <v>66.150000000000006</v>
      </c>
      <c r="ED36">
        <f t="shared" si="38"/>
        <v>99.1754122938531</v>
      </c>
      <c r="EE36">
        <f t="shared" si="39"/>
        <v>88.571428571428569</v>
      </c>
      <c r="EF36">
        <f t="shared" si="84"/>
        <v>0.3266224030841775</v>
      </c>
      <c r="EK36">
        <v>0.5</v>
      </c>
      <c r="EL36">
        <v>31</v>
      </c>
      <c r="EM36">
        <f t="shared" si="104"/>
        <v>138.5</v>
      </c>
      <c r="EN36">
        <f t="shared" si="41"/>
        <v>98.928571428571431</v>
      </c>
      <c r="EO36">
        <f t="shared" si="42"/>
        <v>86.111111111111114</v>
      </c>
      <c r="EP36">
        <f t="shared" si="86"/>
        <v>0.30257936507935651</v>
      </c>
      <c r="FE36">
        <v>0.5</v>
      </c>
      <c r="FF36">
        <v>31</v>
      </c>
      <c r="FG36">
        <f t="shared" si="106"/>
        <v>113</v>
      </c>
      <c r="FH36">
        <f t="shared" si="47"/>
        <v>99.779249448123622</v>
      </c>
      <c r="FI36">
        <f t="shared" si="48"/>
        <v>96.875</v>
      </c>
      <c r="FJ36">
        <f t="shared" si="90"/>
        <v>0.4208057395143594</v>
      </c>
      <c r="FO36">
        <v>0.25</v>
      </c>
      <c r="FP36">
        <v>31</v>
      </c>
      <c r="FQ36">
        <f t="shared" si="107"/>
        <v>116.75</v>
      </c>
      <c r="FR36">
        <f t="shared" si="50"/>
        <v>99.70111016225448</v>
      </c>
      <c r="FS36">
        <f t="shared" si="51"/>
        <v>93.939393939393938</v>
      </c>
      <c r="FT36">
        <f t="shared" si="92"/>
        <v>0.19731904872809927</v>
      </c>
      <c r="GI36">
        <v>0.1</v>
      </c>
      <c r="GJ36">
        <v>31</v>
      </c>
      <c r="GK36">
        <f t="shared" si="109"/>
        <v>112.1</v>
      </c>
      <c r="GL36">
        <f t="shared" si="56"/>
        <v>99.866369710467723</v>
      </c>
      <c r="GM36">
        <f t="shared" si="57"/>
        <v>93.939393939393938</v>
      </c>
      <c r="GN36">
        <f t="shared" si="96"/>
        <v>8.2337855166361495E-2</v>
      </c>
    </row>
    <row r="37" spans="1:196" x14ac:dyDescent="0.2">
      <c r="A37">
        <v>0.5</v>
      </c>
      <c r="B37">
        <v>32</v>
      </c>
      <c r="C37">
        <f t="shared" si="59"/>
        <v>555.75</v>
      </c>
      <c r="D37">
        <f t="shared" si="0"/>
        <v>99.730820995962304</v>
      </c>
      <c r="E37">
        <f t="shared" si="1"/>
        <v>88.888888888888886</v>
      </c>
      <c r="F37">
        <f t="shared" si="2"/>
        <v>7.851054284431136E-2</v>
      </c>
      <c r="U37">
        <v>0.75</v>
      </c>
      <c r="V37">
        <v>32</v>
      </c>
      <c r="W37">
        <f t="shared" si="61"/>
        <v>395.25</v>
      </c>
      <c r="X37">
        <f t="shared" si="6"/>
        <v>99.873657612128881</v>
      </c>
      <c r="Y37">
        <f t="shared" si="7"/>
        <v>94.117647058823522</v>
      </c>
      <c r="Z37">
        <f t="shared" si="62"/>
        <v>0.17557875961503783</v>
      </c>
      <c r="AE37">
        <v>1.5</v>
      </c>
      <c r="AF37">
        <v>32</v>
      </c>
      <c r="AG37">
        <f t="shared" si="63"/>
        <v>499</v>
      </c>
      <c r="AH37">
        <f t="shared" si="8"/>
        <v>98.733676296003168</v>
      </c>
      <c r="AI37">
        <f t="shared" si="9"/>
        <v>76.19047619047619</v>
      </c>
      <c r="AJ37">
        <f t="shared" si="10"/>
        <v>0.2225959635932</v>
      </c>
      <c r="AO37">
        <v>1</v>
      </c>
      <c r="AP37">
        <v>32</v>
      </c>
      <c r="AQ37">
        <f t="shared" si="64"/>
        <v>302</v>
      </c>
      <c r="AR37">
        <f t="shared" si="11"/>
        <v>99.293111951339782</v>
      </c>
      <c r="AS37">
        <f t="shared" si="12"/>
        <v>86.486486486486484</v>
      </c>
      <c r="AT37">
        <f t="shared" si="13"/>
        <v>0.27991167231672798</v>
      </c>
      <c r="CM37">
        <v>0.75</v>
      </c>
      <c r="CN37">
        <v>32</v>
      </c>
      <c r="CO37">
        <f t="shared" si="99"/>
        <v>95.25</v>
      </c>
      <c r="CP37">
        <f t="shared" si="26"/>
        <v>97.943444730077118</v>
      </c>
      <c r="CQ37">
        <f t="shared" si="27"/>
        <v>86.486486486486484</v>
      </c>
      <c r="CR37">
        <f t="shared" si="28"/>
        <v>0.65656916556659273</v>
      </c>
      <c r="EA37">
        <v>0.25</v>
      </c>
      <c r="EB37">
        <v>32</v>
      </c>
      <c r="EC37">
        <f t="shared" si="103"/>
        <v>66.400000000000006</v>
      </c>
      <c r="ED37">
        <f t="shared" si="38"/>
        <v>99.550224887556254</v>
      </c>
      <c r="EE37">
        <f t="shared" si="39"/>
        <v>91.428571428571431</v>
      </c>
      <c r="EF37">
        <f t="shared" si="84"/>
        <v>0.33733133433283913</v>
      </c>
      <c r="EK37">
        <v>0.5</v>
      </c>
      <c r="EL37">
        <v>32</v>
      </c>
      <c r="EM37">
        <f t="shared" si="104"/>
        <v>139</v>
      </c>
      <c r="EN37">
        <f t="shared" si="41"/>
        <v>99.285714285714292</v>
      </c>
      <c r="EO37">
        <f t="shared" si="42"/>
        <v>88.888888888888886</v>
      </c>
      <c r="EP37">
        <f t="shared" si="86"/>
        <v>0.31250000000000355</v>
      </c>
      <c r="FE37">
        <v>0.25</v>
      </c>
      <c r="FF37">
        <v>32</v>
      </c>
      <c r="FG37">
        <f t="shared" si="106"/>
        <v>113.25</v>
      </c>
      <c r="FH37">
        <f t="shared" si="47"/>
        <v>100</v>
      </c>
      <c r="FI37">
        <f t="shared" si="48"/>
        <v>100</v>
      </c>
      <c r="FJ37">
        <f t="shared" si="90"/>
        <v>0.21730132450330975</v>
      </c>
      <c r="FO37">
        <v>0.2</v>
      </c>
      <c r="FP37">
        <v>32</v>
      </c>
      <c r="FQ37">
        <f t="shared" si="107"/>
        <v>116.95</v>
      </c>
      <c r="FR37">
        <f t="shared" si="50"/>
        <v>99.871904355251914</v>
      </c>
      <c r="FS37">
        <f t="shared" si="51"/>
        <v>96.969696969696969</v>
      </c>
      <c r="FT37">
        <f t="shared" si="92"/>
        <v>0.16303082058845966</v>
      </c>
      <c r="GI37">
        <v>0.1</v>
      </c>
      <c r="GJ37">
        <v>32</v>
      </c>
      <c r="GK37">
        <f t="shared" si="109"/>
        <v>112.19999999999999</v>
      </c>
      <c r="GL37">
        <f t="shared" si="56"/>
        <v>99.955456570155903</v>
      </c>
      <c r="GM37">
        <f t="shared" si="57"/>
        <v>96.969696969696969</v>
      </c>
      <c r="GN37">
        <f t="shared" si="96"/>
        <v>8.5037456975081097E-2</v>
      </c>
    </row>
    <row r="38" spans="1:196" x14ac:dyDescent="0.2">
      <c r="A38">
        <v>0.5</v>
      </c>
      <c r="B38">
        <v>33</v>
      </c>
      <c r="C38">
        <f t="shared" si="59"/>
        <v>556.25</v>
      </c>
      <c r="D38">
        <f t="shared" si="0"/>
        <v>99.820547330641546</v>
      </c>
      <c r="E38">
        <f t="shared" si="1"/>
        <v>91.666666666666657</v>
      </c>
      <c r="F38">
        <f t="shared" si="2"/>
        <v>8.1002941029870712E-2</v>
      </c>
      <c r="U38">
        <v>0.25</v>
      </c>
      <c r="V38">
        <v>33</v>
      </c>
      <c r="W38">
        <f t="shared" si="61"/>
        <v>395.5</v>
      </c>
      <c r="X38">
        <f t="shared" si="6"/>
        <v>99.93682880606444</v>
      </c>
      <c r="Y38">
        <f t="shared" si="7"/>
        <v>97.058823529411768</v>
      </c>
      <c r="Z38">
        <f t="shared" si="62"/>
        <v>6.0384229497226188E-2</v>
      </c>
      <c r="AE38">
        <v>1.5</v>
      </c>
      <c r="AF38">
        <v>33</v>
      </c>
      <c r="AG38">
        <f t="shared" si="63"/>
        <v>500.5</v>
      </c>
      <c r="AH38">
        <f t="shared" si="8"/>
        <v>99.030470914127434</v>
      </c>
      <c r="AI38">
        <f t="shared" si="9"/>
        <v>78.571428571428569</v>
      </c>
      <c r="AJ38">
        <f t="shared" si="10"/>
        <v>0.22966250211996825</v>
      </c>
      <c r="AO38">
        <v>0.75</v>
      </c>
      <c r="AP38">
        <v>33</v>
      </c>
      <c r="AQ38">
        <f t="shared" si="64"/>
        <v>302.75</v>
      </c>
      <c r="AR38">
        <f t="shared" si="11"/>
        <v>99.53970080552358</v>
      </c>
      <c r="AS38">
        <f t="shared" si="12"/>
        <v>89.189189189189193</v>
      </c>
      <c r="AT38">
        <f t="shared" si="13"/>
        <v>0.21659831786414724</v>
      </c>
      <c r="CM38">
        <v>0.5</v>
      </c>
      <c r="CN38">
        <v>33</v>
      </c>
      <c r="CO38">
        <f t="shared" si="99"/>
        <v>95.75</v>
      </c>
      <c r="CP38">
        <f t="shared" si="26"/>
        <v>98.457583547557832</v>
      </c>
      <c r="CQ38">
        <f t="shared" si="27"/>
        <v>89.189189189189193</v>
      </c>
      <c r="CR38">
        <f t="shared" si="28"/>
        <v>0.45160842076008606</v>
      </c>
      <c r="EA38">
        <v>0.1</v>
      </c>
      <c r="EB38">
        <v>33</v>
      </c>
      <c r="EC38">
        <f t="shared" si="103"/>
        <v>66.5</v>
      </c>
      <c r="ED38">
        <f t="shared" si="38"/>
        <v>99.700149925037493</v>
      </c>
      <c r="EE38">
        <f t="shared" si="39"/>
        <v>94.285714285714278</v>
      </c>
      <c r="EF38">
        <f t="shared" si="84"/>
        <v>0.13921610623257916</v>
      </c>
      <c r="EK38">
        <v>0.25</v>
      </c>
      <c r="EL38">
        <v>33</v>
      </c>
      <c r="EM38">
        <f t="shared" si="104"/>
        <v>139.25</v>
      </c>
      <c r="EN38">
        <f t="shared" si="41"/>
        <v>99.464285714285722</v>
      </c>
      <c r="EO38">
        <f t="shared" si="42"/>
        <v>91.666666666666657</v>
      </c>
      <c r="EP38">
        <f t="shared" si="86"/>
        <v>0.16121031746031927</v>
      </c>
      <c r="FO38">
        <v>0.15</v>
      </c>
      <c r="FP38">
        <v>33</v>
      </c>
      <c r="FQ38">
        <f t="shared" si="107"/>
        <v>117.10000000000001</v>
      </c>
      <c r="FR38">
        <f t="shared" si="50"/>
        <v>100</v>
      </c>
      <c r="FS38">
        <f t="shared" si="51"/>
        <v>100</v>
      </c>
      <c r="FT38">
        <f t="shared" si="92"/>
        <v>0.12615480164584236</v>
      </c>
      <c r="GI38">
        <v>0.05</v>
      </c>
      <c r="GJ38">
        <v>33</v>
      </c>
      <c r="GK38">
        <f t="shared" si="109"/>
        <v>112.24999999999999</v>
      </c>
      <c r="GL38">
        <f t="shared" si="56"/>
        <v>100</v>
      </c>
      <c r="GM38">
        <f t="shared" si="57"/>
        <v>100</v>
      </c>
      <c r="GN38">
        <f t="shared" si="96"/>
        <v>4.3868529391913914E-2</v>
      </c>
    </row>
    <row r="39" spans="1:196" x14ac:dyDescent="0.2">
      <c r="A39">
        <v>0.5</v>
      </c>
      <c r="B39">
        <v>34</v>
      </c>
      <c r="C39">
        <f t="shared" si="59"/>
        <v>556.75</v>
      </c>
      <c r="D39">
        <f t="shared" si="0"/>
        <v>99.910273665320773</v>
      </c>
      <c r="E39">
        <f t="shared" si="1"/>
        <v>94.444444444444443</v>
      </c>
      <c r="F39">
        <f t="shared" si="2"/>
        <v>8.3495339215391956E-2</v>
      </c>
      <c r="U39">
        <v>0.25</v>
      </c>
      <c r="V39">
        <v>34</v>
      </c>
      <c r="W39">
        <f t="shared" si="61"/>
        <v>395.75</v>
      </c>
      <c r="X39">
        <f t="shared" si="6"/>
        <v>100</v>
      </c>
      <c r="Y39">
        <f t="shared" si="7"/>
        <v>100</v>
      </c>
      <c r="Z39">
        <f t="shared" si="62"/>
        <v>6.2242205789448529E-2</v>
      </c>
      <c r="AE39">
        <v>1</v>
      </c>
      <c r="AF39">
        <v>34</v>
      </c>
      <c r="AG39">
        <f t="shared" si="63"/>
        <v>501.5</v>
      </c>
      <c r="AH39">
        <f t="shared" si="8"/>
        <v>99.228333992876941</v>
      </c>
      <c r="AI39">
        <f t="shared" si="9"/>
        <v>80.952380952380949</v>
      </c>
      <c r="AJ39">
        <f t="shared" si="10"/>
        <v>0.15781936043115388</v>
      </c>
      <c r="AO39">
        <v>0.75</v>
      </c>
      <c r="AP39">
        <v>34</v>
      </c>
      <c r="AQ39">
        <f t="shared" si="64"/>
        <v>303.5</v>
      </c>
      <c r="AR39">
        <f t="shared" si="11"/>
        <v>99.786289659707379</v>
      </c>
      <c r="AS39">
        <f t="shared" si="12"/>
        <v>91.891891891891902</v>
      </c>
      <c r="AT39">
        <f t="shared" si="13"/>
        <v>0.22326288149073639</v>
      </c>
      <c r="CM39">
        <v>0.5</v>
      </c>
      <c r="CN39">
        <v>34</v>
      </c>
      <c r="CO39">
        <f t="shared" si="99"/>
        <v>96.25</v>
      </c>
      <c r="CP39">
        <f t="shared" si="26"/>
        <v>98.971722365038559</v>
      </c>
      <c r="CQ39">
        <f t="shared" si="27"/>
        <v>91.891891891891902</v>
      </c>
      <c r="CR39">
        <f t="shared" si="28"/>
        <v>0.4655040644757939</v>
      </c>
      <c r="EA39">
        <v>0.1</v>
      </c>
      <c r="EB39">
        <v>34</v>
      </c>
      <c r="EC39">
        <f t="shared" si="103"/>
        <v>66.599999999999994</v>
      </c>
      <c r="ED39">
        <f t="shared" si="38"/>
        <v>99.850074962518747</v>
      </c>
      <c r="EE39">
        <f t="shared" si="39"/>
        <v>97.142857142857139</v>
      </c>
      <c r="EF39">
        <f t="shared" si="84"/>
        <v>0.14349967873205671</v>
      </c>
      <c r="EK39">
        <v>0.25</v>
      </c>
      <c r="EL39">
        <v>34</v>
      </c>
      <c r="EM39">
        <f t="shared" si="104"/>
        <v>139.5</v>
      </c>
      <c r="EN39">
        <f t="shared" si="41"/>
        <v>99.642857142857139</v>
      </c>
      <c r="EO39">
        <f t="shared" si="42"/>
        <v>94.444444444444443</v>
      </c>
      <c r="EP39">
        <f t="shared" si="86"/>
        <v>0.16617063492062356</v>
      </c>
    </row>
    <row r="40" spans="1:196" x14ac:dyDescent="0.2">
      <c r="A40">
        <v>0.25</v>
      </c>
      <c r="B40">
        <v>35</v>
      </c>
      <c r="C40">
        <f t="shared" si="59"/>
        <v>557</v>
      </c>
      <c r="D40">
        <f t="shared" si="0"/>
        <v>99.955136832660386</v>
      </c>
      <c r="E40">
        <f t="shared" si="1"/>
        <v>97.222222222222214</v>
      </c>
      <c r="F40">
        <f t="shared" si="2"/>
        <v>4.2993868700463025E-2</v>
      </c>
      <c r="AE40">
        <v>1</v>
      </c>
      <c r="AF40">
        <v>35</v>
      </c>
      <c r="AG40">
        <f t="shared" si="63"/>
        <v>502.5</v>
      </c>
      <c r="AH40">
        <f t="shared" si="8"/>
        <v>99.426197071626447</v>
      </c>
      <c r="AI40">
        <f t="shared" si="9"/>
        <v>83.333333333333343</v>
      </c>
      <c r="AJ40">
        <f t="shared" si="10"/>
        <v>0.16253038611566595</v>
      </c>
      <c r="AO40">
        <v>0.3</v>
      </c>
      <c r="AP40">
        <v>35</v>
      </c>
      <c r="AQ40">
        <f t="shared" si="64"/>
        <v>303.8</v>
      </c>
      <c r="AR40">
        <f t="shared" si="11"/>
        <v>99.884925201380895</v>
      </c>
      <c r="AS40">
        <f t="shared" si="12"/>
        <v>94.594594594594597</v>
      </c>
      <c r="AT40">
        <f t="shared" si="13"/>
        <v>9.1970978046927582E-2</v>
      </c>
      <c r="CM40">
        <v>0.5</v>
      </c>
      <c r="CN40">
        <v>35</v>
      </c>
      <c r="CO40">
        <f t="shared" si="99"/>
        <v>96.75</v>
      </c>
      <c r="CP40">
        <f t="shared" si="26"/>
        <v>99.485861182519272</v>
      </c>
      <c r="CQ40">
        <f t="shared" si="27"/>
        <v>94.594594594594597</v>
      </c>
      <c r="CR40">
        <f t="shared" si="28"/>
        <v>0.47939970819147604</v>
      </c>
      <c r="EA40">
        <v>0.1</v>
      </c>
      <c r="EB40">
        <v>35</v>
      </c>
      <c r="EC40">
        <f t="shared" si="103"/>
        <v>66.699999999999989</v>
      </c>
      <c r="ED40">
        <f t="shared" si="38"/>
        <v>100</v>
      </c>
      <c r="EE40">
        <f t="shared" si="39"/>
        <v>100</v>
      </c>
      <c r="EF40">
        <f t="shared" si="84"/>
        <v>0.14778325123152111</v>
      </c>
      <c r="EK40">
        <v>0.25</v>
      </c>
      <c r="EL40">
        <v>35</v>
      </c>
      <c r="EM40">
        <f t="shared" si="104"/>
        <v>139.75</v>
      </c>
      <c r="EN40">
        <f t="shared" si="41"/>
        <v>99.821428571428569</v>
      </c>
      <c r="EO40">
        <f t="shared" si="42"/>
        <v>97.222222222222214</v>
      </c>
      <c r="EP40">
        <f t="shared" si="86"/>
        <v>0.17113095238095433</v>
      </c>
    </row>
    <row r="41" spans="1:196" x14ac:dyDescent="0.2">
      <c r="A41">
        <v>0.25</v>
      </c>
      <c r="B41">
        <v>36</v>
      </c>
      <c r="C41">
        <f t="shared" si="59"/>
        <v>557.25</v>
      </c>
      <c r="D41">
        <f t="shared" si="0"/>
        <v>100</v>
      </c>
      <c r="E41">
        <f t="shared" si="1"/>
        <v>100</v>
      </c>
      <c r="F41">
        <f t="shared" si="2"/>
        <v>4.4240067793230073E-2</v>
      </c>
      <c r="AE41">
        <v>0.75</v>
      </c>
      <c r="AF41">
        <v>36</v>
      </c>
      <c r="AG41">
        <f t="shared" si="63"/>
        <v>503.25</v>
      </c>
      <c r="AH41">
        <f t="shared" si="8"/>
        <v>99.574594380688566</v>
      </c>
      <c r="AI41">
        <f t="shared" si="9"/>
        <v>85.714285714285708</v>
      </c>
      <c r="AJ41">
        <f t="shared" si="10"/>
        <v>0.12543105885012448</v>
      </c>
      <c r="AO41">
        <v>0.25</v>
      </c>
      <c r="AP41">
        <v>36</v>
      </c>
      <c r="AQ41">
        <f t="shared" si="64"/>
        <v>304.05</v>
      </c>
      <c r="AR41">
        <f t="shared" si="11"/>
        <v>99.967121486108823</v>
      </c>
      <c r="AS41">
        <f t="shared" si="12"/>
        <v>97.297297297297305</v>
      </c>
      <c r="AT41">
        <f t="shared" si="13"/>
        <v>7.8864002914633677E-2</v>
      </c>
      <c r="CM41">
        <v>0.25</v>
      </c>
      <c r="CN41">
        <v>36</v>
      </c>
      <c r="CO41">
        <f t="shared" si="99"/>
        <v>97</v>
      </c>
      <c r="CP41">
        <f t="shared" si="26"/>
        <v>99.742930591259636</v>
      </c>
      <c r="CQ41">
        <f t="shared" si="27"/>
        <v>97.297297297297305</v>
      </c>
      <c r="CR41">
        <f t="shared" si="28"/>
        <v>0.24664767595359227</v>
      </c>
      <c r="EK41">
        <v>0.25</v>
      </c>
      <c r="EL41">
        <v>36</v>
      </c>
      <c r="EM41">
        <f t="shared" si="104"/>
        <v>140</v>
      </c>
      <c r="EN41">
        <f t="shared" si="41"/>
        <v>100</v>
      </c>
      <c r="EO41">
        <f>EL41/EL$41*100</f>
        <v>100</v>
      </c>
      <c r="EP41">
        <f t="shared" si="86"/>
        <v>0.17609126984127182</v>
      </c>
    </row>
    <row r="42" spans="1:196" x14ac:dyDescent="0.2">
      <c r="AE42">
        <v>0.65</v>
      </c>
      <c r="AF42">
        <v>37</v>
      </c>
      <c r="AG42">
        <f t="shared" si="63"/>
        <v>503.9</v>
      </c>
      <c r="AH42">
        <f t="shared" si="8"/>
        <v>99.703205381875733</v>
      </c>
      <c r="AI42">
        <f t="shared" si="9"/>
        <v>88.095238095238088</v>
      </c>
      <c r="AJ42">
        <f t="shared" si="10"/>
        <v>0.11176908436503803</v>
      </c>
      <c r="AO42">
        <v>0.1</v>
      </c>
      <c r="AP42">
        <v>37</v>
      </c>
      <c r="AQ42">
        <f t="shared" si="64"/>
        <v>304.15000000000003</v>
      </c>
      <c r="AR42">
        <f t="shared" si="11"/>
        <v>100</v>
      </c>
      <c r="AS42">
        <f t="shared" si="12"/>
        <v>100</v>
      </c>
      <c r="AT42">
        <f t="shared" si="13"/>
        <v>3.2434209649404244E-2</v>
      </c>
      <c r="CM42">
        <v>0.25</v>
      </c>
      <c r="CN42">
        <v>37</v>
      </c>
      <c r="CO42">
        <f t="shared" si="99"/>
        <v>97.25</v>
      </c>
      <c r="CP42">
        <f t="shared" si="26"/>
        <v>100</v>
      </c>
      <c r="CQ42">
        <f>CN42/CN$42*100</f>
        <v>100</v>
      </c>
      <c r="CR42">
        <f t="shared" si="28"/>
        <v>0.25359549781143992</v>
      </c>
    </row>
    <row r="43" spans="1:196" x14ac:dyDescent="0.2">
      <c r="AE43">
        <v>0.5</v>
      </c>
      <c r="AF43">
        <v>38</v>
      </c>
      <c r="AG43">
        <f t="shared" si="63"/>
        <v>504.4</v>
      </c>
      <c r="AH43">
        <f t="shared" si="8"/>
        <v>99.802136921250494</v>
      </c>
      <c r="AI43">
        <f t="shared" si="9"/>
        <v>90.476190476190482</v>
      </c>
      <c r="AJ43">
        <f t="shared" si="10"/>
        <v>8.8331731584607401E-2</v>
      </c>
    </row>
    <row r="44" spans="1:196" x14ac:dyDescent="0.2">
      <c r="AE44">
        <v>0.3</v>
      </c>
      <c r="AF44">
        <v>39</v>
      </c>
      <c r="AG44">
        <f t="shared" si="63"/>
        <v>504.7</v>
      </c>
      <c r="AH44">
        <f t="shared" si="8"/>
        <v>99.86149584487535</v>
      </c>
      <c r="AI44">
        <f t="shared" si="9"/>
        <v>92.857142857142861</v>
      </c>
      <c r="AJ44">
        <f t="shared" si="10"/>
        <v>5.441234665611816E-2</v>
      </c>
    </row>
    <row r="45" spans="1:196" x14ac:dyDescent="0.2">
      <c r="AE45">
        <v>0.25</v>
      </c>
      <c r="AF45">
        <v>40</v>
      </c>
      <c r="AG45">
        <f t="shared" si="63"/>
        <v>504.95</v>
      </c>
      <c r="AH45">
        <f t="shared" si="8"/>
        <v>99.910961614562723</v>
      </c>
      <c r="AI45">
        <f t="shared" si="9"/>
        <v>95.238095238095227</v>
      </c>
      <c r="AJ45">
        <f t="shared" si="10"/>
        <v>4.6521378634553211E-2</v>
      </c>
    </row>
    <row r="46" spans="1:196" x14ac:dyDescent="0.2">
      <c r="AE46">
        <v>0.25</v>
      </c>
      <c r="AF46">
        <v>41</v>
      </c>
      <c r="AG46">
        <f t="shared" si="63"/>
        <v>505.2</v>
      </c>
      <c r="AH46">
        <f t="shared" si="8"/>
        <v>99.96042738425011</v>
      </c>
      <c r="AI46">
        <f t="shared" si="9"/>
        <v>97.61904761904762</v>
      </c>
      <c r="AJ46">
        <f t="shared" si="10"/>
        <v>4.7699135055694841E-2</v>
      </c>
    </row>
    <row r="47" spans="1:196" x14ac:dyDescent="0.2">
      <c r="AE47">
        <v>0.2</v>
      </c>
      <c r="AF47">
        <v>42</v>
      </c>
      <c r="AG47">
        <f t="shared" si="63"/>
        <v>505.4</v>
      </c>
      <c r="AH47">
        <f t="shared" si="8"/>
        <v>100</v>
      </c>
      <c r="AI47">
        <f t="shared" si="9"/>
        <v>100</v>
      </c>
      <c r="AJ47">
        <f t="shared" si="10"/>
        <v>3.9101513181438834E-2</v>
      </c>
    </row>
  </sheetData>
  <mergeCells count="1">
    <mergeCell ref="B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2275-1521-614F-9ED7-D7C3A151C98B}">
  <dimension ref="A1:GQ46"/>
  <sheetViews>
    <sheetView workbookViewId="0">
      <selection activeCell="B1" sqref="B1"/>
    </sheetView>
  </sheetViews>
  <sheetFormatPr baseColWidth="10" defaultRowHeight="16" x14ac:dyDescent="0.2"/>
  <cols>
    <col min="1" max="1" width="11.5" bestFit="1" customWidth="1"/>
    <col min="6" max="6" width="15.1640625" bestFit="1" customWidth="1"/>
    <col min="7" max="7" width="12.1640625" bestFit="1" customWidth="1"/>
    <col min="8" max="8" width="28.1640625" bestFit="1" customWidth="1"/>
    <col min="11" max="11" width="14.1640625" bestFit="1" customWidth="1"/>
    <col min="12" max="12" width="3.83203125" bestFit="1" customWidth="1"/>
    <col min="13" max="13" width="7.1640625" bestFit="1" customWidth="1"/>
    <col min="14" max="14" width="6.83203125" bestFit="1" customWidth="1"/>
    <col min="15" max="15" width="5.33203125" bestFit="1" customWidth="1"/>
    <col min="16" max="16" width="15.1640625" bestFit="1" customWidth="1"/>
    <col min="17" max="17" width="12.1640625" bestFit="1" customWidth="1"/>
    <col min="18" max="18" width="28.1640625" bestFit="1" customWidth="1"/>
    <col min="26" max="26" width="15.1640625" bestFit="1" customWidth="1"/>
    <col min="28" max="28" width="28.1640625" bestFit="1" customWidth="1"/>
    <col min="36" max="36" width="15.1640625" bestFit="1" customWidth="1"/>
    <col min="38" max="38" width="28.1640625" bestFit="1" customWidth="1"/>
    <col min="46" max="46" width="15.1640625" bestFit="1" customWidth="1"/>
    <col min="48" max="48" width="28.1640625" bestFit="1" customWidth="1"/>
    <col min="51" max="51" width="12" bestFit="1" customWidth="1"/>
    <col min="56" max="56" width="15.1640625" bestFit="1" customWidth="1"/>
    <col min="58" max="58" width="28.1640625" bestFit="1" customWidth="1"/>
    <col min="66" max="66" width="15.1640625" bestFit="1" customWidth="1"/>
    <col min="68" max="68" width="28.1640625" bestFit="1" customWidth="1"/>
    <col min="76" max="76" width="15.1640625" bestFit="1" customWidth="1"/>
    <col min="78" max="78" width="28.1640625" bestFit="1" customWidth="1"/>
    <col min="86" max="86" width="15.1640625" bestFit="1" customWidth="1"/>
    <col min="88" max="88" width="28.1640625" bestFit="1" customWidth="1"/>
    <col min="96" max="96" width="15.1640625" bestFit="1" customWidth="1"/>
    <col min="98" max="98" width="28.1640625" bestFit="1" customWidth="1"/>
    <col min="104" max="104" width="12.1640625" bestFit="1" customWidth="1"/>
    <col min="106" max="106" width="15.1640625" bestFit="1" customWidth="1"/>
    <col min="108" max="108" width="28.1640625" bestFit="1" customWidth="1"/>
    <col min="116" max="116" width="15.1640625" bestFit="1" customWidth="1"/>
    <col min="118" max="118" width="28.1640625" bestFit="1" customWidth="1"/>
    <col min="126" max="126" width="15.1640625" bestFit="1" customWidth="1"/>
    <col min="128" max="128" width="28.1640625" bestFit="1" customWidth="1"/>
    <col min="136" max="136" width="15.1640625" bestFit="1" customWidth="1"/>
    <col min="138" max="138" width="28.1640625" bestFit="1" customWidth="1"/>
    <col min="146" max="146" width="15.1640625" bestFit="1" customWidth="1"/>
    <col min="148" max="148" width="28.1640625" bestFit="1" customWidth="1"/>
    <col min="151" max="151" width="12.1640625" bestFit="1" customWidth="1"/>
    <col min="156" max="156" width="15.1640625" bestFit="1" customWidth="1"/>
    <col min="158" max="158" width="28.1640625" bestFit="1" customWidth="1"/>
    <col min="166" max="166" width="15.1640625" bestFit="1" customWidth="1"/>
    <col min="168" max="168" width="28.1640625" bestFit="1" customWidth="1"/>
    <col min="176" max="176" width="15.1640625" bestFit="1" customWidth="1"/>
    <col min="178" max="178" width="28.1640625" bestFit="1" customWidth="1"/>
    <col min="186" max="186" width="15.1640625" bestFit="1" customWidth="1"/>
    <col min="188" max="188" width="28.1640625" bestFit="1" customWidth="1"/>
    <col min="189" max="189" width="12.1640625" bestFit="1" customWidth="1"/>
    <col min="196" max="196" width="15.1640625" bestFit="1" customWidth="1"/>
    <col min="197" max="197" width="5" bestFit="1" customWidth="1"/>
    <col min="198" max="198" width="28.1640625" bestFit="1" customWidth="1"/>
  </cols>
  <sheetData>
    <row r="1" spans="1:199" x14ac:dyDescent="0.2">
      <c r="A1" t="s">
        <v>101</v>
      </c>
    </row>
    <row r="3" spans="1:199" x14ac:dyDescent="0.2">
      <c r="A3" t="s">
        <v>66</v>
      </c>
      <c r="K3" t="s">
        <v>104</v>
      </c>
      <c r="U3" t="s">
        <v>68</v>
      </c>
      <c r="AE3" t="s">
        <v>57</v>
      </c>
      <c r="AO3" t="s">
        <v>91</v>
      </c>
      <c r="AY3" t="s">
        <v>72</v>
      </c>
      <c r="BI3" t="s">
        <v>95</v>
      </c>
      <c r="BS3" t="s">
        <v>65</v>
      </c>
      <c r="CC3" t="s">
        <v>93</v>
      </c>
      <c r="CM3" t="s">
        <v>21</v>
      </c>
      <c r="CW3" t="s">
        <v>70</v>
      </c>
      <c r="DG3" t="s">
        <v>92</v>
      </c>
      <c r="DQ3" t="s">
        <v>103</v>
      </c>
      <c r="EA3" t="s">
        <v>99</v>
      </c>
      <c r="EK3" t="s">
        <v>94</v>
      </c>
      <c r="EU3" t="s">
        <v>102</v>
      </c>
      <c r="FE3" t="s">
        <v>82</v>
      </c>
      <c r="FO3" t="s">
        <v>71</v>
      </c>
      <c r="FY3" t="s">
        <v>75</v>
      </c>
      <c r="GI3" t="s">
        <v>98</v>
      </c>
    </row>
    <row r="4" spans="1:199" x14ac:dyDescent="0.2">
      <c r="A4" t="s">
        <v>48</v>
      </c>
      <c r="B4" t="s">
        <v>52</v>
      </c>
      <c r="C4" t="s">
        <v>53</v>
      </c>
      <c r="D4" t="s">
        <v>51</v>
      </c>
      <c r="E4" t="s">
        <v>50</v>
      </c>
      <c r="F4" t="s">
        <v>54</v>
      </c>
      <c r="G4" t="s">
        <v>63</v>
      </c>
      <c r="H4" t="s">
        <v>89</v>
      </c>
      <c r="I4" t="s">
        <v>49</v>
      </c>
      <c r="K4" t="s">
        <v>48</v>
      </c>
      <c r="L4" t="s">
        <v>52</v>
      </c>
      <c r="M4" t="s">
        <v>53</v>
      </c>
      <c r="N4" t="s">
        <v>51</v>
      </c>
      <c r="O4" t="s">
        <v>50</v>
      </c>
      <c r="P4" t="s">
        <v>54</v>
      </c>
      <c r="Q4" t="s">
        <v>63</v>
      </c>
      <c r="R4" t="s">
        <v>89</v>
      </c>
      <c r="S4" t="s">
        <v>49</v>
      </c>
      <c r="U4" t="s">
        <v>48</v>
      </c>
      <c r="V4" t="s">
        <v>52</v>
      </c>
      <c r="W4" t="s">
        <v>53</v>
      </c>
      <c r="X4" t="s">
        <v>51</v>
      </c>
      <c r="Y4" t="s">
        <v>50</v>
      </c>
      <c r="Z4" t="s">
        <v>54</v>
      </c>
      <c r="AA4" t="s">
        <v>63</v>
      </c>
      <c r="AB4" t="s">
        <v>89</v>
      </c>
      <c r="AC4" t="s">
        <v>49</v>
      </c>
      <c r="AE4" t="s">
        <v>48</v>
      </c>
      <c r="AF4" t="s">
        <v>52</v>
      </c>
      <c r="AG4" t="s">
        <v>53</v>
      </c>
      <c r="AH4" t="s">
        <v>51</v>
      </c>
      <c r="AI4" t="s">
        <v>50</v>
      </c>
      <c r="AJ4" t="s">
        <v>54</v>
      </c>
      <c r="AK4" t="s">
        <v>63</v>
      </c>
      <c r="AL4" t="s">
        <v>89</v>
      </c>
      <c r="AM4" t="s">
        <v>49</v>
      </c>
      <c r="AO4" t="s">
        <v>48</v>
      </c>
      <c r="AP4" t="s">
        <v>52</v>
      </c>
      <c r="AQ4" t="s">
        <v>53</v>
      </c>
      <c r="AR4" t="s">
        <v>51</v>
      </c>
      <c r="AS4" t="s">
        <v>50</v>
      </c>
      <c r="AT4" t="s">
        <v>54</v>
      </c>
      <c r="AU4" t="s">
        <v>63</v>
      </c>
      <c r="AV4" t="s">
        <v>89</v>
      </c>
      <c r="AW4" t="s">
        <v>49</v>
      </c>
      <c r="AY4" t="s">
        <v>48</v>
      </c>
      <c r="AZ4" t="s">
        <v>52</v>
      </c>
      <c r="BA4" t="s">
        <v>53</v>
      </c>
      <c r="BB4" t="s">
        <v>51</v>
      </c>
      <c r="BC4" t="s">
        <v>50</v>
      </c>
      <c r="BD4" t="s">
        <v>54</v>
      </c>
      <c r="BE4" t="s">
        <v>63</v>
      </c>
      <c r="BF4" t="s">
        <v>89</v>
      </c>
      <c r="BG4" t="s">
        <v>49</v>
      </c>
      <c r="BI4" t="s">
        <v>48</v>
      </c>
      <c r="BJ4" t="s">
        <v>52</v>
      </c>
      <c r="BK4" t="s">
        <v>53</v>
      </c>
      <c r="BL4" t="s">
        <v>51</v>
      </c>
      <c r="BM4" t="s">
        <v>50</v>
      </c>
      <c r="BN4" t="s">
        <v>54</v>
      </c>
      <c r="BO4" t="s">
        <v>63</v>
      </c>
      <c r="BP4" t="s">
        <v>89</v>
      </c>
      <c r="BQ4" t="s">
        <v>49</v>
      </c>
      <c r="BS4" t="s">
        <v>48</v>
      </c>
      <c r="BT4" t="s">
        <v>52</v>
      </c>
      <c r="BU4" t="s">
        <v>53</v>
      </c>
      <c r="BV4" t="s">
        <v>51</v>
      </c>
      <c r="BW4" t="s">
        <v>50</v>
      </c>
      <c r="BX4" t="s">
        <v>54</v>
      </c>
      <c r="BY4" t="s">
        <v>63</v>
      </c>
      <c r="BZ4" t="s">
        <v>89</v>
      </c>
      <c r="CA4" t="s">
        <v>49</v>
      </c>
      <c r="CC4" t="s">
        <v>48</v>
      </c>
      <c r="CD4" t="s">
        <v>52</v>
      </c>
      <c r="CE4" t="s">
        <v>53</v>
      </c>
      <c r="CF4" t="s">
        <v>51</v>
      </c>
      <c r="CG4" t="s">
        <v>50</v>
      </c>
      <c r="CH4" t="s">
        <v>54</v>
      </c>
      <c r="CI4" t="s">
        <v>63</v>
      </c>
      <c r="CJ4" t="s">
        <v>89</v>
      </c>
      <c r="CK4" t="s">
        <v>49</v>
      </c>
      <c r="CM4" t="s">
        <v>48</v>
      </c>
      <c r="CN4" t="s">
        <v>52</v>
      </c>
      <c r="CO4" t="s">
        <v>53</v>
      </c>
      <c r="CP4" t="s">
        <v>51</v>
      </c>
      <c r="CQ4" t="s">
        <v>50</v>
      </c>
      <c r="CR4" t="s">
        <v>54</v>
      </c>
      <c r="CS4" t="s">
        <v>63</v>
      </c>
      <c r="CT4" t="s">
        <v>89</v>
      </c>
      <c r="CU4" t="s">
        <v>49</v>
      </c>
      <c r="CW4" t="s">
        <v>48</v>
      </c>
      <c r="CX4" t="s">
        <v>52</v>
      </c>
      <c r="CY4" t="s">
        <v>53</v>
      </c>
      <c r="CZ4" t="s">
        <v>51</v>
      </c>
      <c r="DA4" t="s">
        <v>50</v>
      </c>
      <c r="DB4" t="s">
        <v>54</v>
      </c>
      <c r="DC4" t="s">
        <v>63</v>
      </c>
      <c r="DD4" t="s">
        <v>89</v>
      </c>
      <c r="DE4" t="s">
        <v>49</v>
      </c>
      <c r="DG4" t="s">
        <v>48</v>
      </c>
      <c r="DH4" t="s">
        <v>52</v>
      </c>
      <c r="DI4" t="s">
        <v>53</v>
      </c>
      <c r="DJ4" t="s">
        <v>51</v>
      </c>
      <c r="DK4" t="s">
        <v>50</v>
      </c>
      <c r="DL4" t="s">
        <v>54</v>
      </c>
      <c r="DM4" t="s">
        <v>63</v>
      </c>
      <c r="DN4" t="s">
        <v>89</v>
      </c>
      <c r="DO4" t="s">
        <v>49</v>
      </c>
      <c r="DQ4" t="s">
        <v>48</v>
      </c>
      <c r="DR4" t="s">
        <v>52</v>
      </c>
      <c r="DS4" t="s">
        <v>53</v>
      </c>
      <c r="DT4" t="s">
        <v>51</v>
      </c>
      <c r="DU4" t="s">
        <v>50</v>
      </c>
      <c r="DV4" t="s">
        <v>54</v>
      </c>
      <c r="DW4" t="s">
        <v>63</v>
      </c>
      <c r="DX4" t="s">
        <v>89</v>
      </c>
      <c r="DY4" t="s">
        <v>49</v>
      </c>
      <c r="EA4" t="s">
        <v>48</v>
      </c>
      <c r="EB4" t="s">
        <v>52</v>
      </c>
      <c r="EC4" t="s">
        <v>53</v>
      </c>
      <c r="ED4" t="s">
        <v>51</v>
      </c>
      <c r="EE4" t="s">
        <v>50</v>
      </c>
      <c r="EF4" t="s">
        <v>54</v>
      </c>
      <c r="EG4" t="s">
        <v>63</v>
      </c>
      <c r="EH4" t="s">
        <v>89</v>
      </c>
      <c r="EI4" t="s">
        <v>49</v>
      </c>
      <c r="EK4" t="s">
        <v>48</v>
      </c>
      <c r="EL4" t="s">
        <v>52</v>
      </c>
      <c r="EM4" t="s">
        <v>53</v>
      </c>
      <c r="EN4" t="s">
        <v>51</v>
      </c>
      <c r="EO4" t="s">
        <v>50</v>
      </c>
      <c r="EP4" t="s">
        <v>54</v>
      </c>
      <c r="EQ4" t="s">
        <v>63</v>
      </c>
      <c r="ER4" t="s">
        <v>89</v>
      </c>
      <c r="ES4" t="s">
        <v>49</v>
      </c>
      <c r="EU4" t="s">
        <v>48</v>
      </c>
      <c r="EV4" t="s">
        <v>52</v>
      </c>
      <c r="EW4" t="s">
        <v>53</v>
      </c>
      <c r="EX4" t="s">
        <v>51</v>
      </c>
      <c r="EY4" t="s">
        <v>50</v>
      </c>
      <c r="EZ4" t="s">
        <v>54</v>
      </c>
      <c r="FA4" t="s">
        <v>63</v>
      </c>
      <c r="FB4" t="s">
        <v>89</v>
      </c>
      <c r="FC4" t="s">
        <v>49</v>
      </c>
      <c r="FE4" t="s">
        <v>48</v>
      </c>
      <c r="FF4" t="s">
        <v>52</v>
      </c>
      <c r="FG4" t="s">
        <v>53</v>
      </c>
      <c r="FH4" t="s">
        <v>51</v>
      </c>
      <c r="FI4" t="s">
        <v>50</v>
      </c>
      <c r="FJ4" t="s">
        <v>54</v>
      </c>
      <c r="FK4" t="s">
        <v>63</v>
      </c>
      <c r="FL4" t="s">
        <v>89</v>
      </c>
      <c r="FM4" t="s">
        <v>49</v>
      </c>
      <c r="FO4" t="s">
        <v>48</v>
      </c>
      <c r="FP4" t="s">
        <v>52</v>
      </c>
      <c r="FQ4" t="s">
        <v>53</v>
      </c>
      <c r="FR4" t="s">
        <v>51</v>
      </c>
      <c r="FS4" t="s">
        <v>50</v>
      </c>
      <c r="FT4" t="s">
        <v>54</v>
      </c>
      <c r="FU4" t="s">
        <v>63</v>
      </c>
      <c r="FV4" t="s">
        <v>89</v>
      </c>
      <c r="FW4" t="s">
        <v>49</v>
      </c>
      <c r="FY4" t="s">
        <v>48</v>
      </c>
      <c r="FZ4" t="s">
        <v>52</v>
      </c>
      <c r="GA4" t="s">
        <v>53</v>
      </c>
      <c r="GB4" t="s">
        <v>51</v>
      </c>
      <c r="GC4" t="s">
        <v>50</v>
      </c>
      <c r="GD4" t="s">
        <v>54</v>
      </c>
      <c r="GE4" t="s">
        <v>63</v>
      </c>
      <c r="GF4" t="s">
        <v>89</v>
      </c>
      <c r="GG4" t="s">
        <v>49</v>
      </c>
      <c r="GI4" t="s">
        <v>48</v>
      </c>
      <c r="GJ4" t="s">
        <v>52</v>
      </c>
      <c r="GK4" t="s">
        <v>53</v>
      </c>
      <c r="GL4" t="s">
        <v>51</v>
      </c>
      <c r="GM4" t="s">
        <v>50</v>
      </c>
      <c r="GN4" t="s">
        <v>54</v>
      </c>
      <c r="GO4" t="s">
        <v>63</v>
      </c>
      <c r="GP4" t="s">
        <v>89</v>
      </c>
      <c r="GQ4" t="s">
        <v>49</v>
      </c>
    </row>
    <row r="5" spans="1:199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f>SUM(F6:F36)</f>
        <v>24.830299753709376</v>
      </c>
      <c r="H5">
        <f>50-G5</f>
        <v>25.169700246290624</v>
      </c>
      <c r="I5">
        <f>H5/50</f>
        <v>0.50339400492581243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f>SUM(P6:P43)</f>
        <v>22.979975055034117</v>
      </c>
      <c r="R5">
        <f>50-Q5</f>
        <v>27.020024944965883</v>
      </c>
      <c r="S5">
        <f>R5/50</f>
        <v>0.54040049889931763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f>SUM(Z6:Z31)</f>
        <v>30.4953292584477</v>
      </c>
      <c r="AB5">
        <f>50-AA5</f>
        <v>19.5046707415523</v>
      </c>
      <c r="AC5">
        <f>AB5/50</f>
        <v>0.39009341483104598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>SUM(AJ6:AJ33)</f>
        <v>25.285549786150568</v>
      </c>
      <c r="AL5">
        <f>50-AK5</f>
        <v>24.714450213849432</v>
      </c>
      <c r="AM5">
        <f>AL5/50</f>
        <v>0.49428900427698863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f>SUM(AT6:AT38)</f>
        <v>25.450635162865371</v>
      </c>
      <c r="AV5">
        <f>50-AU5</f>
        <v>24.549364837134629</v>
      </c>
      <c r="AW5">
        <f>AV5/50</f>
        <v>0.49098729674269259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f>SUM(BD6:BD35)</f>
        <v>28.867854491462516</v>
      </c>
      <c r="BF5">
        <f>50-BE5</f>
        <v>21.132145508537484</v>
      </c>
      <c r="BG5">
        <f>BF5/50</f>
        <v>0.42264291017074967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f>SUM(BN6:BN42)</f>
        <v>26.570088031655143</v>
      </c>
      <c r="BP5">
        <f>50-BO5</f>
        <v>23.429911968344857</v>
      </c>
      <c r="BQ5">
        <f>BP5/50</f>
        <v>0.46859823936689715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f>SUM(BX6:BX43)</f>
        <v>21.843578505395769</v>
      </c>
      <c r="BZ5">
        <f>50-BY5</f>
        <v>28.156421494604231</v>
      </c>
      <c r="CA5">
        <f>BZ5/50</f>
        <v>0.56312842989208467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f>SUM(CH6:CH33)</f>
        <v>27.289844509232257</v>
      </c>
      <c r="CJ5">
        <f>50-CI5</f>
        <v>22.710155490767743</v>
      </c>
      <c r="CK5">
        <f>CJ5/50</f>
        <v>0.45420310981535489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f>SUM(CR6:CR39)</f>
        <v>25.21387958977629</v>
      </c>
      <c r="CT5">
        <f>50-CS5</f>
        <v>24.78612041022371</v>
      </c>
      <c r="CU5">
        <f>CT5/50</f>
        <v>0.49572240820447422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f>SUM(DB6:DB38)</f>
        <v>21.290046755325921</v>
      </c>
      <c r="DD5">
        <f>50-DC5</f>
        <v>28.709953244674079</v>
      </c>
      <c r="DE5">
        <f>DD5/50</f>
        <v>0.5741990648934816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f>SUM(DL6:DL35)</f>
        <v>28.2898948331047</v>
      </c>
      <c r="DN5">
        <f>50-DM5</f>
        <v>21.7101051668953</v>
      </c>
      <c r="DO5">
        <f>DN5/50</f>
        <v>0.43420210333790599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f>SUM(DV6:DV43)</f>
        <v>28.299077986938144</v>
      </c>
      <c r="DX5">
        <f>50-DW5</f>
        <v>21.700922013061856</v>
      </c>
      <c r="DY5">
        <f>DX5/50</f>
        <v>0.43401844026123709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f>SUM(EF6:EF33)</f>
        <v>30.338196286472151</v>
      </c>
      <c r="EH5">
        <f>50-EG5</f>
        <v>19.661803713527849</v>
      </c>
      <c r="EI5">
        <f>EH5/50</f>
        <v>0.39323607427055696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f>SUM(EP6:EP38)</f>
        <v>28.134699984368361</v>
      </c>
      <c r="ER5">
        <f>50-EQ5</f>
        <v>21.865300015631639</v>
      </c>
      <c r="ES5">
        <f>ER5/50</f>
        <v>0.43730600031263278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f>SUM(EZ6:EZ44)</f>
        <v>22.27355560688893</v>
      </c>
      <c r="FB5">
        <f>50-FA5</f>
        <v>27.72644439311107</v>
      </c>
      <c r="FC5">
        <f>FB5/50</f>
        <v>0.55452888786222143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f>SUM(FJ6:FJ38)</f>
        <v>30.987402110997611</v>
      </c>
      <c r="FL5">
        <f>50-FK5</f>
        <v>19.012597889002389</v>
      </c>
      <c r="FM5">
        <f>FL5/50</f>
        <v>0.38025195778004778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f>SUM(FT6:FT43)</f>
        <v>26.010101010101007</v>
      </c>
      <c r="FV5">
        <f>50-FU5</f>
        <v>23.989898989898993</v>
      </c>
      <c r="FW5">
        <f>FV5/50</f>
        <v>0.47979797979797989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f>SUM(GD6:GD46)</f>
        <v>30.712094973815429</v>
      </c>
      <c r="GF5">
        <f>50-GE5</f>
        <v>19.287905026184571</v>
      </c>
      <c r="GG5">
        <f>GF5/50</f>
        <v>0.38575810052369142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f>SUM(GN6:GN39)</f>
        <v>28.827643817170788</v>
      </c>
      <c r="GP5">
        <f>50-GO5</f>
        <v>21.172356182829212</v>
      </c>
      <c r="GQ5">
        <f>GP5/50</f>
        <v>0.42344712365658421</v>
      </c>
    </row>
    <row r="6" spans="1:199" x14ac:dyDescent="0.2">
      <c r="A6">
        <v>20</v>
      </c>
      <c r="B6">
        <v>1</v>
      </c>
      <c r="C6">
        <f>A6</f>
        <v>20</v>
      </c>
      <c r="D6">
        <f>C6/C$36*100</f>
        <v>12.414649286157667</v>
      </c>
      <c r="E6">
        <f>B6/B$36*100</f>
        <v>3.225806451612903</v>
      </c>
      <c r="F6">
        <f>(E6+E5)/2*(D6-D5)/100</f>
        <v>0.20023627880899461</v>
      </c>
      <c r="K6">
        <v>55</v>
      </c>
      <c r="L6">
        <v>1</v>
      </c>
      <c r="M6">
        <f>K6</f>
        <v>55</v>
      </c>
      <c r="N6">
        <f>M6/M$43*100</f>
        <v>12.01266790433548</v>
      </c>
      <c r="O6">
        <f>L6/L$43*100</f>
        <v>2.6315789473684208</v>
      </c>
      <c r="P6">
        <f>(O6+O5)/2*(N6-N5)/100</f>
        <v>0.15806141979388788</v>
      </c>
      <c r="U6">
        <v>40</v>
      </c>
      <c r="V6">
        <v>1</v>
      </c>
      <c r="W6">
        <f>U6</f>
        <v>40</v>
      </c>
      <c r="X6">
        <f>W6/W$31*100</f>
        <v>10.903639089546136</v>
      </c>
      <c r="Y6">
        <f>V6/V$31*100</f>
        <v>3.8461538461538463</v>
      </c>
      <c r="Z6">
        <f>(Y6+Y5)/2*(X6-X5)/100</f>
        <v>0.20968536710665645</v>
      </c>
      <c r="AE6">
        <v>60</v>
      </c>
      <c r="AF6">
        <v>1</v>
      </c>
      <c r="AG6">
        <f>AE6</f>
        <v>60</v>
      </c>
      <c r="AH6">
        <f>AG6/AG$33*100</f>
        <v>12.015620306398317</v>
      </c>
      <c r="AI6">
        <f>AF6/AF$33*100</f>
        <v>3.5714285714285712</v>
      </c>
      <c r="AJ6">
        <f>(AI6+AI5)/2*(AH6-AH5)/100</f>
        <v>0.21456464832854136</v>
      </c>
      <c r="AO6">
        <v>40</v>
      </c>
      <c r="AP6">
        <v>1</v>
      </c>
      <c r="AQ6">
        <f>AO6</f>
        <v>40</v>
      </c>
      <c r="AR6">
        <f>AQ6/AQ$38*100</f>
        <v>9.1355487038940275</v>
      </c>
      <c r="AS6">
        <f>AP6/AP$38*100</f>
        <v>3.0303030303030303</v>
      </c>
      <c r="AT6">
        <f>(AS6+AS5)/2*(AR6-AR5)/100</f>
        <v>0.13841740460445495</v>
      </c>
      <c r="AY6">
        <v>20</v>
      </c>
      <c r="AZ6">
        <v>1</v>
      </c>
      <c r="BA6">
        <f>AY6</f>
        <v>20</v>
      </c>
      <c r="BB6">
        <f>BA6/BA$35*100</f>
        <v>8.908685968819599</v>
      </c>
      <c r="BC6">
        <f>AZ6/AZ$35*100</f>
        <v>3.3333333333333335</v>
      </c>
      <c r="BD6">
        <f>(BC6+BC5)/2*(BB6-BB5)/100</f>
        <v>0.14847809948032664</v>
      </c>
      <c r="BI6">
        <v>23</v>
      </c>
      <c r="BJ6">
        <v>1</v>
      </c>
      <c r="BK6">
        <f>BI6</f>
        <v>23</v>
      </c>
      <c r="BL6">
        <f>BK6/BK$42*100</f>
        <v>11.424313920278157</v>
      </c>
      <c r="BM6">
        <f>BJ6/BJ$42*100</f>
        <v>2.7027027027027026</v>
      </c>
      <c r="BN6">
        <f>(BM6+BM5)/2*(BL6-BL5)/100</f>
        <v>0.15438262054429941</v>
      </c>
      <c r="BS6">
        <v>35</v>
      </c>
      <c r="BT6">
        <v>1</v>
      </c>
      <c r="BU6">
        <f>BS6</f>
        <v>35</v>
      </c>
      <c r="BV6">
        <f>BU6/BU$43*100</f>
        <v>9.7970608817354776</v>
      </c>
      <c r="BW6">
        <f>BT6/BT$43*100</f>
        <v>2.6315789473684208</v>
      </c>
      <c r="BX6">
        <f>(BW6+BW5)/2*(BV6-BV5)/100</f>
        <v>0.1289086958123089</v>
      </c>
      <c r="CC6">
        <v>18</v>
      </c>
      <c r="CD6">
        <v>1</v>
      </c>
      <c r="CE6">
        <f>CC6</f>
        <v>18</v>
      </c>
      <c r="CF6">
        <f>CE6/CE$33*100</f>
        <v>12.244897959183673</v>
      </c>
      <c r="CG6">
        <f>CD6/CD$33*100</f>
        <v>3.5714285714285712</v>
      </c>
      <c r="CH6">
        <f>(CG6+CG5)/2*(CF6-CF5)/100</f>
        <v>0.21865889212827988</v>
      </c>
      <c r="CM6">
        <v>65</v>
      </c>
      <c r="CN6">
        <v>1</v>
      </c>
      <c r="CO6">
        <f>CM6</f>
        <v>65</v>
      </c>
      <c r="CP6">
        <f>CO6/CO$39*100</f>
        <v>11.743450767841011</v>
      </c>
      <c r="CQ6">
        <f>CN6/CN$39*100</f>
        <v>2.9411764705882351</v>
      </c>
      <c r="CR6">
        <f>(CQ6+CQ5)/2*(CP6-CP5)/100</f>
        <v>0.17269780540942661</v>
      </c>
      <c r="CW6">
        <v>40</v>
      </c>
      <c r="CX6">
        <v>1</v>
      </c>
      <c r="CY6">
        <f>CW6</f>
        <v>40</v>
      </c>
      <c r="CZ6">
        <f>CY6/CY$38*100</f>
        <v>16.009605763458076</v>
      </c>
      <c r="DA6">
        <f>CX6/CX$38*100</f>
        <v>3.0303030303030303</v>
      </c>
      <c r="DB6">
        <f>(DA6+DA5)/2*(CZ6-CZ5)/100</f>
        <v>0.24256978429481932</v>
      </c>
      <c r="DG6">
        <v>15</v>
      </c>
      <c r="DH6">
        <v>1</v>
      </c>
      <c r="DI6">
        <f>DG6</f>
        <v>15</v>
      </c>
      <c r="DJ6">
        <f>DI6/DI$35*100</f>
        <v>10.288065843621402</v>
      </c>
      <c r="DK6">
        <f>DH6/DH$35*100</f>
        <v>3.3333333333333335</v>
      </c>
      <c r="DL6">
        <f>(DK6+DK5)/2*(DJ6-DJ5)/100</f>
        <v>0.17146776406035669</v>
      </c>
      <c r="DQ6">
        <v>12</v>
      </c>
      <c r="DR6">
        <v>1</v>
      </c>
      <c r="DS6">
        <f>DQ6</f>
        <v>12</v>
      </c>
      <c r="DT6">
        <f>DS6/DS$43*100</f>
        <v>8.7591240875912408</v>
      </c>
      <c r="DU6">
        <f>DR6/DR$43*100</f>
        <v>2.6315789473684208</v>
      </c>
      <c r="DV6">
        <f>(DU6+DU5)/2*(DT6-DT5)/100</f>
        <v>0.11525163273146369</v>
      </c>
      <c r="EA6">
        <v>15</v>
      </c>
      <c r="EB6">
        <v>1</v>
      </c>
      <c r="EC6">
        <f>EA6</f>
        <v>15</v>
      </c>
      <c r="ED6">
        <f>EC6/EC$33*100</f>
        <v>13.262599469496022</v>
      </c>
      <c r="EE6">
        <f>EB6/EB$33*100</f>
        <v>3.5714285714285712</v>
      </c>
      <c r="EF6">
        <f>(EE6+EE5)/2*(ED6-ED5)/100</f>
        <v>0.23683213338385753</v>
      </c>
      <c r="EK6">
        <v>18</v>
      </c>
      <c r="EL6">
        <v>1</v>
      </c>
      <c r="EM6">
        <f>EK6</f>
        <v>18</v>
      </c>
      <c r="EN6">
        <f>EM6/EM$38*100</f>
        <v>13.264554163596168</v>
      </c>
      <c r="EO6">
        <f>EL6/EL$38*100</f>
        <v>3.0303030303030303</v>
      </c>
      <c r="EP6">
        <f>(EO6+EO5)/2*(EN6-EN5)/100</f>
        <v>0.20097809338782074</v>
      </c>
      <c r="EU6">
        <v>15</v>
      </c>
      <c r="EV6">
        <v>1</v>
      </c>
      <c r="EW6">
        <f>EU6</f>
        <v>15</v>
      </c>
      <c r="EX6">
        <f>EW6/EW$44*100</f>
        <v>15.015015015015015</v>
      </c>
      <c r="EY6">
        <f>EV6/EV$44*100</f>
        <v>2.5641025641025639</v>
      </c>
      <c r="EZ6">
        <f>(EY6+EY5)/2*(EX6-EX5)/100</f>
        <v>0.19250019250019249</v>
      </c>
      <c r="FE6">
        <v>11</v>
      </c>
      <c r="FF6">
        <v>1</v>
      </c>
      <c r="FG6">
        <f>FE6</f>
        <v>11</v>
      </c>
      <c r="FH6">
        <f>FG6/FG$38*100</f>
        <v>9.8876404494382015</v>
      </c>
      <c r="FI6">
        <f>FF6/FF$38*100</f>
        <v>3.0303030303030303</v>
      </c>
      <c r="FJ6">
        <f>(FI6+FI5)/2*(FH6-FH5)/100</f>
        <v>0.14981273408239701</v>
      </c>
      <c r="FO6">
        <v>20</v>
      </c>
      <c r="FP6">
        <v>1</v>
      </c>
      <c r="FQ6">
        <f>FO6</f>
        <v>20</v>
      </c>
      <c r="FR6">
        <f>FQ6/FQ$43*100</f>
        <v>10.1010101010101</v>
      </c>
      <c r="FS6">
        <f>FP6/FP$43*100</f>
        <v>2.6315789473684208</v>
      </c>
      <c r="FT6">
        <f>(FS6+FS5)/2*(FR6-FR5)/100</f>
        <v>0.13290802764486973</v>
      </c>
      <c r="FY6">
        <v>7.5</v>
      </c>
      <c r="FZ6">
        <v>1</v>
      </c>
      <c r="GA6">
        <f>FY6</f>
        <v>7.5</v>
      </c>
      <c r="GB6">
        <f>GA6/GA$46*100</f>
        <v>6.41573994867408</v>
      </c>
      <c r="GC6">
        <f>FZ6/FZ$46*100</f>
        <v>2.4390243902439024</v>
      </c>
      <c r="GD6">
        <f>(GC6+GC5)/2*(GB6-GB5)/100</f>
        <v>7.8240731081391221E-2</v>
      </c>
      <c r="GI6">
        <v>10</v>
      </c>
      <c r="GJ6">
        <v>1</v>
      </c>
      <c r="GK6">
        <f>GI6</f>
        <v>10</v>
      </c>
      <c r="GL6">
        <f>GK6/GK$39*100</f>
        <v>8.4781687155574392</v>
      </c>
      <c r="GM6">
        <f>GJ6/GJ$39*100</f>
        <v>2.9411764705882351</v>
      </c>
      <c r="GN6">
        <f>(GM6+GM5)/2*(GL6-GL5)/100</f>
        <v>0.1246789516993741</v>
      </c>
    </row>
    <row r="7" spans="1:199" x14ac:dyDescent="0.2">
      <c r="A7">
        <v>20</v>
      </c>
      <c r="B7">
        <v>2</v>
      </c>
      <c r="C7">
        <f>C6+A7</f>
        <v>40</v>
      </c>
      <c r="D7">
        <f t="shared" ref="D7:D36" si="0">C7/C$36*100</f>
        <v>24.829298572315334</v>
      </c>
      <c r="E7">
        <f t="shared" ref="E7:E36" si="1">B7/B$36*100</f>
        <v>6.4516129032258061</v>
      </c>
      <c r="F7">
        <f t="shared" ref="F7:F36" si="2">(E7+E6)/2*(D7-D6)/100</f>
        <v>0.60070883642698381</v>
      </c>
      <c r="K7">
        <v>50</v>
      </c>
      <c r="L7">
        <v>2</v>
      </c>
      <c r="M7">
        <f>M6+K7</f>
        <v>105</v>
      </c>
      <c r="N7">
        <f t="shared" ref="N7:N43" si="3">M7/M$43*100</f>
        <v>22.933275090095009</v>
      </c>
      <c r="O7">
        <f t="shared" ref="O7:O43" si="4">L7/L$43*100</f>
        <v>5.2631578947368416</v>
      </c>
      <c r="P7">
        <f t="shared" ref="P7:P34" si="5">(O7+O6)/2*(N7-N6)/100</f>
        <v>0.43107659943787607</v>
      </c>
      <c r="U7">
        <v>29</v>
      </c>
      <c r="V7">
        <v>2</v>
      </c>
      <c r="W7">
        <f>W6+U7</f>
        <v>69</v>
      </c>
      <c r="X7">
        <f t="shared" ref="X7:X31" si="6">W7/W$31*100</f>
        <v>18.808777429467082</v>
      </c>
      <c r="Y7">
        <f t="shared" ref="Y7:Y31" si="7">V7/V$31*100</f>
        <v>7.6923076923076925</v>
      </c>
      <c r="Z7">
        <f t="shared" ref="Z7:Z31" si="8">(Y7+Y6)/2*(X7-X6)/100</f>
        <v>0.45606567345697763</v>
      </c>
      <c r="AE7">
        <v>60</v>
      </c>
      <c r="AF7">
        <v>2</v>
      </c>
      <c r="AG7">
        <f>AG6+AE7</f>
        <v>120</v>
      </c>
      <c r="AH7">
        <f t="shared" ref="AH7:AH33" si="9">AG7/AG$33*100</f>
        <v>24.031240612796633</v>
      </c>
      <c r="AI7">
        <f t="shared" ref="AI7:AI33" si="10">AF7/AF$33*100</f>
        <v>7.1428571428571423</v>
      </c>
      <c r="AJ7">
        <f t="shared" ref="AJ7:AJ33" si="11">(AI7+AI6)/2*(AH7-AH6)/100</f>
        <v>0.64369394498562404</v>
      </c>
      <c r="AO7">
        <v>35</v>
      </c>
      <c r="AP7">
        <v>2</v>
      </c>
      <c r="AQ7">
        <f>AQ6+AO7</f>
        <v>75</v>
      </c>
      <c r="AR7">
        <f t="shared" ref="AR7:AR38" si="12">AQ7/AQ$38*100</f>
        <v>17.129153819801303</v>
      </c>
      <c r="AS7">
        <f t="shared" ref="AS7:AS38" si="13">AP7/AP$38*100</f>
        <v>6.0606060606060606</v>
      </c>
      <c r="AT7">
        <f t="shared" ref="AT7:AT38" si="14">(AS7+AS6)/2*(AR7-AR6)/100</f>
        <v>0.36334568708669429</v>
      </c>
      <c r="AY7">
        <v>15</v>
      </c>
      <c r="AZ7">
        <v>2</v>
      </c>
      <c r="BA7">
        <f>BA6+AY7</f>
        <v>35</v>
      </c>
      <c r="BB7">
        <f t="shared" ref="BB7:BB35" si="15">BA7/BA$35*100</f>
        <v>15.590200445434299</v>
      </c>
      <c r="BC7">
        <f t="shared" ref="BC7:BC35" si="16">AZ7/AZ$35*100</f>
        <v>6.666666666666667</v>
      </c>
      <c r="BD7">
        <f t="shared" ref="BD7:BD35" si="17">(BC7+BC6)/2*(BB7-BB6)/100</f>
        <v>0.33407572383073503</v>
      </c>
      <c r="BI7">
        <v>11</v>
      </c>
      <c r="BJ7">
        <v>2</v>
      </c>
      <c r="BK7">
        <f>BK6+BI7</f>
        <v>34</v>
      </c>
      <c r="BL7">
        <f t="shared" ref="BL7:BL42" si="18">BK7/BK$42*100</f>
        <v>16.888116229976408</v>
      </c>
      <c r="BM7">
        <f t="shared" ref="BM7:BM42" si="19">BJ7/BJ$42*100</f>
        <v>5.4054054054054053</v>
      </c>
      <c r="BN7">
        <f t="shared" ref="BN7:BN42" si="20">(BM7+BM6)/2*(BL7-BL6)/100</f>
        <v>0.22150549904182099</v>
      </c>
      <c r="BS7">
        <v>32</v>
      </c>
      <c r="BT7">
        <v>2</v>
      </c>
      <c r="BU7">
        <f>BU6+BS7</f>
        <v>67</v>
      </c>
      <c r="BV7">
        <f t="shared" ref="BV7:BV43" si="21">BU7/BU$43*100</f>
        <v>18.754373687893626</v>
      </c>
      <c r="BW7">
        <f t="shared" ref="BW7:BW43" si="22">BT7/BT$43*100</f>
        <v>5.2631578947368416</v>
      </c>
      <c r="BX7">
        <f t="shared" ref="BX7:BX43" si="23">(BW7+BW6)/2*(BV7-BV6)/100</f>
        <v>0.35357813708519004</v>
      </c>
      <c r="CC7">
        <v>15</v>
      </c>
      <c r="CD7">
        <v>2</v>
      </c>
      <c r="CE7">
        <f>CE6+CC7</f>
        <v>33</v>
      </c>
      <c r="CF7">
        <f t="shared" ref="CF7:CF33" si="24">CE7/CE$33*100</f>
        <v>22.448979591836736</v>
      </c>
      <c r="CG7">
        <f t="shared" ref="CG7:CG33" si="25">CD7/CD$33*100</f>
        <v>7.1428571428571423</v>
      </c>
      <c r="CH7">
        <f t="shared" ref="CH7:CH33" si="26">(CG7+CG6)/2*(CF7-CF6)/100</f>
        <v>0.54664723032069973</v>
      </c>
      <c r="CM7">
        <v>45</v>
      </c>
      <c r="CN7">
        <v>2</v>
      </c>
      <c r="CO7">
        <f>CO6+CM7</f>
        <v>110</v>
      </c>
      <c r="CP7">
        <f t="shared" ref="CP7:CP39" si="27">CO7/CO$39*100</f>
        <v>19.873532068654022</v>
      </c>
      <c r="CQ7">
        <f t="shared" ref="CQ7:CQ39" si="28">CN7/CN$39*100</f>
        <v>5.8823529411764701</v>
      </c>
      <c r="CR7">
        <f t="shared" ref="CR7:CR39" si="29">(CQ7+CQ6)/2*(CP7-CP6)/100</f>
        <v>0.35868005738880926</v>
      </c>
      <c r="CW7">
        <v>28</v>
      </c>
      <c r="CX7">
        <v>2</v>
      </c>
      <c r="CY7">
        <f>CY6+CW7</f>
        <v>68</v>
      </c>
      <c r="CZ7">
        <f t="shared" ref="CZ7:CZ38" si="30">CY7/CY$38*100</f>
        <v>27.216329797878728</v>
      </c>
      <c r="DA7">
        <f t="shared" ref="DA7:DA38" si="31">CX7/CX$38*100</f>
        <v>6.0606060606060606</v>
      </c>
      <c r="DB7">
        <f t="shared" ref="DB7:DB38" si="32">(DA7+DA6)/2*(CZ7-CZ6)/100</f>
        <v>0.50939654701912052</v>
      </c>
      <c r="DG7">
        <v>13</v>
      </c>
      <c r="DH7">
        <v>2</v>
      </c>
      <c r="DI7">
        <f>DI6+DG7</f>
        <v>28</v>
      </c>
      <c r="DJ7">
        <f t="shared" ref="DJ7:DJ35" si="33">DI7/DI$35*100</f>
        <v>19.204389574759947</v>
      </c>
      <c r="DK7">
        <f t="shared" ref="DK7:DK35" si="34">DH7/DH$35*100</f>
        <v>6.666666666666667</v>
      </c>
      <c r="DL7">
        <f t="shared" ref="DL7:DL35" si="35">(DK7+DK6)/2*(DJ7-DJ6)/100</f>
        <v>0.44581618655692729</v>
      </c>
      <c r="DQ7">
        <v>9</v>
      </c>
      <c r="DR7">
        <v>2</v>
      </c>
      <c r="DS7">
        <f>DS6+DQ7</f>
        <v>21</v>
      </c>
      <c r="DT7">
        <f t="shared" ref="DT7:DT43" si="36">DS7/DS$43*100</f>
        <v>15.328467153284672</v>
      </c>
      <c r="DU7">
        <f t="shared" ref="DU7:DU43" si="37">DR7/DR$43*100</f>
        <v>5.2631578947368416</v>
      </c>
      <c r="DV7">
        <f t="shared" ref="DV7:DV43" si="38">(DU7+DU6)/2*(DT7-DT6)/100</f>
        <v>0.25931617364579329</v>
      </c>
      <c r="EA7">
        <v>15</v>
      </c>
      <c r="EB7">
        <v>2</v>
      </c>
      <c r="EC7">
        <f>EC6+EA7</f>
        <v>30</v>
      </c>
      <c r="ED7">
        <f t="shared" ref="ED7:ED33" si="39">EC7/EC$33*100</f>
        <v>26.525198938992045</v>
      </c>
      <c r="EE7">
        <f t="shared" ref="EE7:EE33" si="40">EB7/EB$33*100</f>
        <v>7.1428571428571423</v>
      </c>
      <c r="EF7">
        <f t="shared" ref="EF7:EF33" si="41">(EE7+EE6)/2*(ED7-ED6)/100</f>
        <v>0.71049640015157256</v>
      </c>
      <c r="EK7">
        <v>12</v>
      </c>
      <c r="EL7">
        <v>2</v>
      </c>
      <c r="EM7">
        <f>EM6+EK7</f>
        <v>30</v>
      </c>
      <c r="EN7">
        <f t="shared" ref="EN7:EN38" si="42">EM7/EM$38*100</f>
        <v>22.107590272660282</v>
      </c>
      <c r="EO7">
        <f t="shared" ref="EO7:EO38" si="43">EL7/EL$38*100</f>
        <v>6.0606060606060606</v>
      </c>
      <c r="EP7">
        <f t="shared" ref="EP7:EP38" si="44">(EO7+EO6)/2*(EN7-EN6)/100</f>
        <v>0.40195618677564149</v>
      </c>
      <c r="EU7">
        <v>9</v>
      </c>
      <c r="EV7">
        <v>2</v>
      </c>
      <c r="EW7">
        <f>EW6+EU7</f>
        <v>24</v>
      </c>
      <c r="EX7">
        <f t="shared" ref="EX7:EX44" si="45">EW7/EW$44*100</f>
        <v>24.024024024024026</v>
      </c>
      <c r="EY7">
        <f t="shared" ref="EY7:EY44" si="46">EV7/EV$44*100</f>
        <v>5.1282051282051277</v>
      </c>
      <c r="EZ7">
        <f t="shared" ref="EZ7:EZ44" si="47">(EY7+EY6)/2*(EX7-EX6)/100</f>
        <v>0.34650034650034656</v>
      </c>
      <c r="FE7">
        <v>8</v>
      </c>
      <c r="FF7">
        <v>2</v>
      </c>
      <c r="FG7">
        <f>FG6+FE7</f>
        <v>19</v>
      </c>
      <c r="FH7">
        <f t="shared" ref="FH7:FH38" si="48">FG7/FG$38*100</f>
        <v>17.078651685393258</v>
      </c>
      <c r="FI7">
        <f t="shared" ref="FI7:FI38" si="49">FF7/FF$38*100</f>
        <v>6.0606060606060606</v>
      </c>
      <c r="FJ7">
        <f t="shared" ref="FJ7:FJ38" si="50">(FI7+FI6)/2*(FH7-FH6)/100</f>
        <v>0.32686414708886619</v>
      </c>
      <c r="FO7">
        <v>14</v>
      </c>
      <c r="FP7">
        <v>2</v>
      </c>
      <c r="FQ7">
        <f>FQ6+FO7</f>
        <v>34</v>
      </c>
      <c r="FR7">
        <f t="shared" ref="FR7:FR43" si="51">FQ7/FQ$43*100</f>
        <v>17.171717171717169</v>
      </c>
      <c r="FS7">
        <f t="shared" ref="FS7:FS43" si="52">FP7/FP$43*100</f>
        <v>5.2631578947368416</v>
      </c>
      <c r="FT7">
        <f t="shared" ref="FT7:FT43" si="53">(FS7+FS6)/2*(FR7-FR6)/100</f>
        <v>0.27910685805422636</v>
      </c>
      <c r="FY7">
        <v>7</v>
      </c>
      <c r="FZ7">
        <v>2</v>
      </c>
      <c r="GA7">
        <f>GA6+FY7</f>
        <v>14.5</v>
      </c>
      <c r="GB7">
        <f t="shared" ref="GB7:GB46" si="54">GA7/GA$46*100</f>
        <v>12.40376390076989</v>
      </c>
      <c r="GC7">
        <f t="shared" ref="GC7:GC46" si="55">FZ7/FZ$46*100</f>
        <v>4.8780487804878048</v>
      </c>
      <c r="GD7">
        <f t="shared" ref="GD7:GD46" si="56">(GC7+GC6)/2*(GB7-GB6)/100</f>
        <v>0.21907404702789549</v>
      </c>
      <c r="GI7">
        <v>9</v>
      </c>
      <c r="GJ7">
        <v>2</v>
      </c>
      <c r="GK7">
        <f>GK6+GI7</f>
        <v>19</v>
      </c>
      <c r="GL7">
        <f t="shared" ref="GL7:GL39" si="57">GK7/GK$39*100</f>
        <v>16.108520559559132</v>
      </c>
      <c r="GM7">
        <f t="shared" ref="GM7:GM39" si="58">GJ7/GJ$39*100</f>
        <v>5.8823529411764701</v>
      </c>
      <c r="GN7">
        <f t="shared" ref="GN7:GN39" si="59">(GM7+GM6)/2*(GL7-GL6)/100</f>
        <v>0.33663316958830991</v>
      </c>
    </row>
    <row r="8" spans="1:199" x14ac:dyDescent="0.2">
      <c r="A8">
        <v>18</v>
      </c>
      <c r="B8">
        <v>3</v>
      </c>
      <c r="C8">
        <f t="shared" ref="C8:C36" si="60">C7+A8</f>
        <v>58</v>
      </c>
      <c r="D8">
        <f t="shared" si="0"/>
        <v>36.00248292985723</v>
      </c>
      <c r="E8">
        <f t="shared" si="1"/>
        <v>9.67741935483871</v>
      </c>
      <c r="F8">
        <f t="shared" si="2"/>
        <v>0.90106325464047543</v>
      </c>
      <c r="K8">
        <v>30</v>
      </c>
      <c r="L8">
        <v>3</v>
      </c>
      <c r="M8">
        <f t="shared" ref="M8:M43" si="61">M7+K8</f>
        <v>135</v>
      </c>
      <c r="N8">
        <f t="shared" si="3"/>
        <v>29.485639401550724</v>
      </c>
      <c r="O8">
        <f t="shared" si="4"/>
        <v>7.8947368421052628</v>
      </c>
      <c r="P8">
        <f t="shared" si="5"/>
        <v>0.43107659943787596</v>
      </c>
      <c r="U8">
        <v>27</v>
      </c>
      <c r="V8">
        <v>3</v>
      </c>
      <c r="W8">
        <f t="shared" ref="W8:W31" si="62">W7+U8</f>
        <v>96</v>
      </c>
      <c r="X8">
        <f t="shared" si="6"/>
        <v>26.168733814910727</v>
      </c>
      <c r="Y8">
        <f t="shared" si="7"/>
        <v>11.538461538461538</v>
      </c>
      <c r="Z8">
        <f t="shared" si="8"/>
        <v>0.70768811398496578</v>
      </c>
      <c r="AE8">
        <v>45</v>
      </c>
      <c r="AF8">
        <v>3</v>
      </c>
      <c r="AG8">
        <f t="shared" ref="AG8:AG33" si="63">AG7+AE8</f>
        <v>165</v>
      </c>
      <c r="AH8">
        <f t="shared" si="9"/>
        <v>33.042955842595376</v>
      </c>
      <c r="AI8">
        <f t="shared" si="10"/>
        <v>10.714285714285714</v>
      </c>
      <c r="AJ8">
        <f t="shared" si="11"/>
        <v>0.80461743123203044</v>
      </c>
      <c r="AO8">
        <v>34</v>
      </c>
      <c r="AP8">
        <v>3</v>
      </c>
      <c r="AQ8">
        <f t="shared" ref="AQ8:AQ38" si="64">AQ7+AO8</f>
        <v>109</v>
      </c>
      <c r="AR8">
        <f t="shared" si="12"/>
        <v>24.894370218111224</v>
      </c>
      <c r="AS8">
        <f t="shared" si="13"/>
        <v>9.0909090909090917</v>
      </c>
      <c r="AT8">
        <f t="shared" si="14"/>
        <v>0.58827396956893341</v>
      </c>
      <c r="AY8">
        <v>15</v>
      </c>
      <c r="AZ8">
        <v>3</v>
      </c>
      <c r="BA8">
        <f t="shared" ref="BA8:BA35" si="65">BA7+AY8</f>
        <v>50</v>
      </c>
      <c r="BB8">
        <f t="shared" si="15"/>
        <v>22.271714922049</v>
      </c>
      <c r="BC8">
        <f t="shared" si="16"/>
        <v>10</v>
      </c>
      <c r="BD8">
        <f t="shared" si="17"/>
        <v>0.55679287305122516</v>
      </c>
      <c r="BI8">
        <v>11</v>
      </c>
      <c r="BJ8">
        <v>3</v>
      </c>
      <c r="BK8">
        <f t="shared" ref="BK8:BK42" si="66">BK7+BI8</f>
        <v>45</v>
      </c>
      <c r="BL8">
        <f t="shared" si="18"/>
        <v>22.351918539674656</v>
      </c>
      <c r="BM8">
        <f t="shared" si="19"/>
        <v>8.1081081081081088</v>
      </c>
      <c r="BN8">
        <f t="shared" si="20"/>
        <v>0.36917583173636814</v>
      </c>
      <c r="BS8">
        <v>28</v>
      </c>
      <c r="BT8">
        <v>3</v>
      </c>
      <c r="BU8">
        <f t="shared" ref="BU8:BU43" si="67">BU7+BS8</f>
        <v>95</v>
      </c>
      <c r="BV8">
        <f t="shared" si="21"/>
        <v>26.592022393282004</v>
      </c>
      <c r="BW8">
        <f t="shared" si="22"/>
        <v>7.8947368421052628</v>
      </c>
      <c r="BX8">
        <f t="shared" si="23"/>
        <v>0.5156347832492354</v>
      </c>
      <c r="CC8">
        <v>11</v>
      </c>
      <c r="CD8">
        <v>3</v>
      </c>
      <c r="CE8">
        <f t="shared" ref="CE8:CE33" si="68">CE7+CC8</f>
        <v>44</v>
      </c>
      <c r="CF8">
        <f t="shared" si="24"/>
        <v>29.931972789115648</v>
      </c>
      <c r="CG8">
        <f t="shared" si="25"/>
        <v>10.714285714285714</v>
      </c>
      <c r="CH8">
        <f t="shared" si="26"/>
        <v>0.66812439261418843</v>
      </c>
      <c r="CM8">
        <v>45</v>
      </c>
      <c r="CN8">
        <v>3</v>
      </c>
      <c r="CO8">
        <f t="shared" ref="CO8:CO39" si="69">CO7+CM8</f>
        <v>155</v>
      </c>
      <c r="CP8">
        <f t="shared" si="27"/>
        <v>28.003613369467029</v>
      </c>
      <c r="CQ8">
        <f t="shared" si="28"/>
        <v>8.8235294117647065</v>
      </c>
      <c r="CR8">
        <f t="shared" si="29"/>
        <v>0.59780009564801528</v>
      </c>
      <c r="CW8">
        <v>22</v>
      </c>
      <c r="CX8">
        <v>3</v>
      </c>
      <c r="CY8">
        <f t="shared" ref="CY8:CY38" si="70">CY7+CW8</f>
        <v>90</v>
      </c>
      <c r="CZ8">
        <f t="shared" si="30"/>
        <v>36.021612967780669</v>
      </c>
      <c r="DA8">
        <f t="shared" si="31"/>
        <v>9.0909090909090917</v>
      </c>
      <c r="DB8">
        <f t="shared" si="32"/>
        <v>0.6670669068107532</v>
      </c>
      <c r="DG8">
        <v>12</v>
      </c>
      <c r="DH8">
        <v>3</v>
      </c>
      <c r="DI8">
        <f t="shared" ref="DI8:DI35" si="71">DI7+DG8</f>
        <v>40</v>
      </c>
      <c r="DJ8">
        <f t="shared" si="33"/>
        <v>27.434842249657066</v>
      </c>
      <c r="DK8">
        <f t="shared" si="34"/>
        <v>10</v>
      </c>
      <c r="DL8">
        <f t="shared" si="35"/>
        <v>0.68587105624142664</v>
      </c>
      <c r="DQ8">
        <v>9</v>
      </c>
      <c r="DR8">
        <v>3</v>
      </c>
      <c r="DS8">
        <f t="shared" ref="DS8:DS43" si="72">DS7+DQ8</f>
        <v>30</v>
      </c>
      <c r="DT8">
        <f t="shared" si="36"/>
        <v>21.897810218978105</v>
      </c>
      <c r="DU8">
        <f t="shared" si="37"/>
        <v>7.8947368421052628</v>
      </c>
      <c r="DV8">
        <f t="shared" si="38"/>
        <v>0.43219362274298895</v>
      </c>
      <c r="EA8">
        <v>6</v>
      </c>
      <c r="EB8">
        <v>3</v>
      </c>
      <c r="EC8">
        <f t="shared" ref="EC8:EC33" si="73">EC7+EA8</f>
        <v>36</v>
      </c>
      <c r="ED8">
        <f t="shared" si="39"/>
        <v>31.830238726790455</v>
      </c>
      <c r="EE8">
        <f t="shared" si="40"/>
        <v>10.714285714285714</v>
      </c>
      <c r="EF8">
        <f t="shared" si="41"/>
        <v>0.47366426676771511</v>
      </c>
      <c r="EK8">
        <v>8</v>
      </c>
      <c r="EL8">
        <v>3</v>
      </c>
      <c r="EM8">
        <f t="shared" ref="EM8:EM38" si="74">EM7+EK8</f>
        <v>38</v>
      </c>
      <c r="EN8">
        <f t="shared" si="42"/>
        <v>28.002947678703023</v>
      </c>
      <c r="EO8">
        <f t="shared" si="43"/>
        <v>9.0909090909090917</v>
      </c>
      <c r="EP8">
        <f t="shared" si="44"/>
        <v>0.44661798530626834</v>
      </c>
      <c r="EU8">
        <v>8</v>
      </c>
      <c r="EV8">
        <v>3</v>
      </c>
      <c r="EW8">
        <f t="shared" ref="EW8:EW44" si="75">EW7+EU8</f>
        <v>32</v>
      </c>
      <c r="EX8">
        <f t="shared" si="45"/>
        <v>32.032032032032035</v>
      </c>
      <c r="EY8">
        <f t="shared" si="46"/>
        <v>7.6923076923076925</v>
      </c>
      <c r="EZ8">
        <f t="shared" si="47"/>
        <v>0.51333384666718007</v>
      </c>
      <c r="FE8">
        <v>8</v>
      </c>
      <c r="FF8">
        <v>3</v>
      </c>
      <c r="FG8">
        <f t="shared" ref="FG8:FG38" si="76">FG7+FE8</f>
        <v>27</v>
      </c>
      <c r="FH8">
        <f t="shared" si="48"/>
        <v>24.269662921348313</v>
      </c>
      <c r="FI8">
        <f t="shared" si="49"/>
        <v>9.0909090909090917</v>
      </c>
      <c r="FJ8">
        <f t="shared" si="50"/>
        <v>0.5447735784814437</v>
      </c>
      <c r="FO8">
        <v>13</v>
      </c>
      <c r="FP8">
        <v>3</v>
      </c>
      <c r="FQ8">
        <f t="shared" ref="FQ8:FQ43" si="77">FQ7+FO8</f>
        <v>47</v>
      </c>
      <c r="FR8">
        <f t="shared" si="51"/>
        <v>23.737373737373737</v>
      </c>
      <c r="FS8">
        <f t="shared" si="52"/>
        <v>7.8947368421052628</v>
      </c>
      <c r="FT8">
        <f t="shared" si="53"/>
        <v>0.43195108984582681</v>
      </c>
      <c r="FY8">
        <v>6</v>
      </c>
      <c r="FZ8">
        <v>3</v>
      </c>
      <c r="GA8">
        <f t="shared" ref="GA8:GA46" si="78">GA7+FY8</f>
        <v>20.5</v>
      </c>
      <c r="GB8">
        <f t="shared" si="54"/>
        <v>17.536355859709154</v>
      </c>
      <c r="GC8">
        <f t="shared" si="55"/>
        <v>7.3170731707317067</v>
      </c>
      <c r="GD8">
        <f t="shared" si="56"/>
        <v>0.31296292432556488</v>
      </c>
      <c r="GI8">
        <v>8</v>
      </c>
      <c r="GJ8">
        <v>3</v>
      </c>
      <c r="GK8">
        <f t="shared" ref="GK8:GK39" si="79">GK7+GI8</f>
        <v>27</v>
      </c>
      <c r="GL8">
        <f t="shared" si="57"/>
        <v>22.891055532005087</v>
      </c>
      <c r="GM8">
        <f t="shared" si="58"/>
        <v>8.8235294117647065</v>
      </c>
      <c r="GN8">
        <f t="shared" si="59"/>
        <v>0.49871580679749672</v>
      </c>
    </row>
    <row r="9" spans="1:199" x14ac:dyDescent="0.2">
      <c r="A9">
        <v>10</v>
      </c>
      <c r="B9">
        <v>4</v>
      </c>
      <c r="C9">
        <f t="shared" si="60"/>
        <v>68</v>
      </c>
      <c r="D9">
        <f t="shared" si="0"/>
        <v>42.209807572936064</v>
      </c>
      <c r="E9">
        <f t="shared" si="1"/>
        <v>12.903225806451612</v>
      </c>
      <c r="F9">
        <f t="shared" si="2"/>
        <v>0.70082697583148112</v>
      </c>
      <c r="K9">
        <v>25</v>
      </c>
      <c r="L9">
        <v>4</v>
      </c>
      <c r="M9">
        <f t="shared" si="61"/>
        <v>160</v>
      </c>
      <c r="N9">
        <f t="shared" si="3"/>
        <v>34.945942994430489</v>
      </c>
      <c r="O9">
        <f t="shared" si="4"/>
        <v>10.526315789473683</v>
      </c>
      <c r="P9">
        <f t="shared" si="5"/>
        <v>0.50292269934418876</v>
      </c>
      <c r="U9">
        <v>25</v>
      </c>
      <c r="V9">
        <v>4</v>
      </c>
      <c r="W9">
        <f t="shared" si="62"/>
        <v>121</v>
      </c>
      <c r="X9">
        <f t="shared" si="6"/>
        <v>32.983508245877061</v>
      </c>
      <c r="Y9">
        <f t="shared" si="7"/>
        <v>15.384615384615385</v>
      </c>
      <c r="Z9">
        <f t="shared" si="8"/>
        <v>0.91737348109162198</v>
      </c>
      <c r="AE9">
        <v>33</v>
      </c>
      <c r="AF9">
        <v>4</v>
      </c>
      <c r="AG9">
        <f t="shared" si="63"/>
        <v>198</v>
      </c>
      <c r="AH9">
        <f t="shared" si="9"/>
        <v>39.651547011114445</v>
      </c>
      <c r="AI9">
        <f t="shared" si="10"/>
        <v>14.285714285714285</v>
      </c>
      <c r="AJ9">
        <f t="shared" si="11"/>
        <v>0.82607389606488368</v>
      </c>
      <c r="AO9">
        <v>32</v>
      </c>
      <c r="AP9">
        <v>4</v>
      </c>
      <c r="AQ9">
        <f t="shared" si="64"/>
        <v>141</v>
      </c>
      <c r="AR9">
        <f t="shared" si="12"/>
        <v>32.202809181226442</v>
      </c>
      <c r="AS9">
        <f t="shared" si="13"/>
        <v>12.121212121212121</v>
      </c>
      <c r="AT9">
        <f t="shared" si="14"/>
        <v>0.77513746578494735</v>
      </c>
      <c r="AY9">
        <v>15</v>
      </c>
      <c r="AZ9">
        <v>4</v>
      </c>
      <c r="BA9">
        <f t="shared" si="65"/>
        <v>65</v>
      </c>
      <c r="BB9">
        <f t="shared" si="15"/>
        <v>28.953229398663698</v>
      </c>
      <c r="BC9">
        <f t="shared" si="16"/>
        <v>13.333333333333334</v>
      </c>
      <c r="BD9">
        <f t="shared" si="17"/>
        <v>0.77951002227171484</v>
      </c>
      <c r="BI9">
        <v>10</v>
      </c>
      <c r="BJ9">
        <v>4</v>
      </c>
      <c r="BK9">
        <f t="shared" si="66"/>
        <v>55</v>
      </c>
      <c r="BL9">
        <f t="shared" si="18"/>
        <v>27.319011548491247</v>
      </c>
      <c r="BM9">
        <f t="shared" si="19"/>
        <v>10.810810810810811</v>
      </c>
      <c r="BN9">
        <f t="shared" si="20"/>
        <v>0.46986014948265042</v>
      </c>
      <c r="BS9">
        <v>27</v>
      </c>
      <c r="BT9">
        <v>4</v>
      </c>
      <c r="BU9">
        <f t="shared" si="67"/>
        <v>122</v>
      </c>
      <c r="BV9">
        <f t="shared" si="21"/>
        <v>34.149755073477941</v>
      </c>
      <c r="BW9">
        <f t="shared" si="22"/>
        <v>10.526315789473683</v>
      </c>
      <c r="BX9">
        <f t="shared" si="23"/>
        <v>0.69610695738646777</v>
      </c>
      <c r="CC9">
        <v>10</v>
      </c>
      <c r="CD9">
        <v>4</v>
      </c>
      <c r="CE9">
        <f t="shared" si="68"/>
        <v>54</v>
      </c>
      <c r="CF9">
        <f t="shared" si="24"/>
        <v>36.734693877551024</v>
      </c>
      <c r="CG9">
        <f t="shared" si="25"/>
        <v>14.285714285714285</v>
      </c>
      <c r="CH9">
        <f t="shared" si="26"/>
        <v>0.85034013605442194</v>
      </c>
      <c r="CM9">
        <v>38</v>
      </c>
      <c r="CN9">
        <v>4</v>
      </c>
      <c r="CO9">
        <f t="shared" si="69"/>
        <v>193</v>
      </c>
      <c r="CP9">
        <f t="shared" si="27"/>
        <v>34.869015356820235</v>
      </c>
      <c r="CQ9">
        <f t="shared" si="28"/>
        <v>11.76470588235294</v>
      </c>
      <c r="CR9">
        <f t="shared" si="29"/>
        <v>0.70673255752165343</v>
      </c>
      <c r="CW9">
        <v>17</v>
      </c>
      <c r="CX9">
        <v>4</v>
      </c>
      <c r="CY9">
        <f t="shared" si="70"/>
        <v>107</v>
      </c>
      <c r="CZ9">
        <f t="shared" si="30"/>
        <v>42.825695417250351</v>
      </c>
      <c r="DA9">
        <f t="shared" si="31"/>
        <v>12.121212121212121</v>
      </c>
      <c r="DB9">
        <f t="shared" si="32"/>
        <v>0.72164510827708739</v>
      </c>
      <c r="DG9">
        <v>9</v>
      </c>
      <c r="DH9">
        <v>4</v>
      </c>
      <c r="DI9">
        <f t="shared" si="71"/>
        <v>49</v>
      </c>
      <c r="DJ9">
        <f t="shared" si="33"/>
        <v>33.607681755829908</v>
      </c>
      <c r="DK9">
        <f t="shared" si="34"/>
        <v>13.333333333333334</v>
      </c>
      <c r="DL9">
        <f t="shared" si="35"/>
        <v>0.72016460905349833</v>
      </c>
      <c r="DQ9">
        <v>8</v>
      </c>
      <c r="DR9">
        <v>4</v>
      </c>
      <c r="DS9">
        <f t="shared" si="72"/>
        <v>38</v>
      </c>
      <c r="DT9">
        <f t="shared" si="36"/>
        <v>27.737226277372262</v>
      </c>
      <c r="DU9">
        <f t="shared" si="37"/>
        <v>10.526315789473683</v>
      </c>
      <c r="DV9">
        <f t="shared" si="38"/>
        <v>0.53784095274683019</v>
      </c>
      <c r="EA9">
        <v>6</v>
      </c>
      <c r="EB9">
        <v>4</v>
      </c>
      <c r="EC9">
        <f t="shared" si="73"/>
        <v>42</v>
      </c>
      <c r="ED9">
        <f t="shared" si="39"/>
        <v>37.135278514588862</v>
      </c>
      <c r="EE9">
        <f t="shared" si="40"/>
        <v>14.285714285714285</v>
      </c>
      <c r="EF9">
        <f t="shared" si="41"/>
        <v>0.66312997347480096</v>
      </c>
      <c r="EK9">
        <v>8</v>
      </c>
      <c r="EL9">
        <v>4</v>
      </c>
      <c r="EM9">
        <f t="shared" si="74"/>
        <v>46</v>
      </c>
      <c r="EN9">
        <f t="shared" si="42"/>
        <v>33.898305084745765</v>
      </c>
      <c r="EO9">
        <f t="shared" si="43"/>
        <v>12.121212121212121</v>
      </c>
      <c r="EP9">
        <f t="shared" si="44"/>
        <v>0.62526517942877557</v>
      </c>
      <c r="EU9">
        <v>7</v>
      </c>
      <c r="EV9">
        <v>4</v>
      </c>
      <c r="EW9">
        <f t="shared" si="75"/>
        <v>39</v>
      </c>
      <c r="EX9">
        <f t="shared" si="45"/>
        <v>39.039039039039039</v>
      </c>
      <c r="EY9">
        <f t="shared" si="46"/>
        <v>10.256410256410255</v>
      </c>
      <c r="EZ9">
        <f t="shared" si="47"/>
        <v>0.62883396216729526</v>
      </c>
      <c r="FE9">
        <v>7</v>
      </c>
      <c r="FF9">
        <v>4</v>
      </c>
      <c r="FG9">
        <f t="shared" si="76"/>
        <v>34</v>
      </c>
      <c r="FH9">
        <f t="shared" si="48"/>
        <v>30.561797752808989</v>
      </c>
      <c r="FI9">
        <f t="shared" si="49"/>
        <v>12.121212121212121</v>
      </c>
      <c r="FJ9">
        <f t="shared" si="50"/>
        <v>0.66734763363976857</v>
      </c>
      <c r="FO9">
        <v>12</v>
      </c>
      <c r="FP9">
        <v>4</v>
      </c>
      <c r="FQ9">
        <f t="shared" si="77"/>
        <v>59</v>
      </c>
      <c r="FR9">
        <f t="shared" si="51"/>
        <v>29.797979797979796</v>
      </c>
      <c r="FS9">
        <f t="shared" si="52"/>
        <v>10.526315789473683</v>
      </c>
      <c r="FT9">
        <f t="shared" si="53"/>
        <v>0.55821371610845272</v>
      </c>
      <c r="FY9">
        <v>6</v>
      </c>
      <c r="FZ9">
        <v>4</v>
      </c>
      <c r="GA9">
        <f t="shared" si="78"/>
        <v>26.5</v>
      </c>
      <c r="GB9">
        <f t="shared" si="54"/>
        <v>22.668947818648419</v>
      </c>
      <c r="GC9">
        <f t="shared" si="55"/>
        <v>9.7560975609756095</v>
      </c>
      <c r="GD9">
        <f t="shared" si="56"/>
        <v>0.43814809405579092</v>
      </c>
      <c r="GI9">
        <v>8</v>
      </c>
      <c r="GJ9">
        <v>4</v>
      </c>
      <c r="GK9">
        <f t="shared" si="79"/>
        <v>35</v>
      </c>
      <c r="GL9">
        <f t="shared" si="57"/>
        <v>29.673590504451035</v>
      </c>
      <c r="GM9">
        <f t="shared" si="58"/>
        <v>11.76470588235294</v>
      </c>
      <c r="GN9">
        <f t="shared" si="59"/>
        <v>0.69820212951649452</v>
      </c>
    </row>
    <row r="10" spans="1:199" x14ac:dyDescent="0.2">
      <c r="A10">
        <v>8</v>
      </c>
      <c r="B10">
        <v>5</v>
      </c>
      <c r="C10">
        <f t="shared" si="60"/>
        <v>76</v>
      </c>
      <c r="D10">
        <f t="shared" si="0"/>
        <v>47.175667287399129</v>
      </c>
      <c r="E10">
        <f t="shared" si="1"/>
        <v>16.129032258064516</v>
      </c>
      <c r="F10">
        <f t="shared" si="2"/>
        <v>0.7208506037123803</v>
      </c>
      <c r="K10">
        <v>25</v>
      </c>
      <c r="L10">
        <v>5</v>
      </c>
      <c r="M10">
        <f t="shared" si="61"/>
        <v>185</v>
      </c>
      <c r="N10">
        <f t="shared" si="3"/>
        <v>40.40624658731025</v>
      </c>
      <c r="O10">
        <f t="shared" si="4"/>
        <v>13.157894736842104</v>
      </c>
      <c r="P10">
        <f t="shared" si="5"/>
        <v>0.64661489915681369</v>
      </c>
      <c r="U10">
        <v>24</v>
      </c>
      <c r="V10">
        <v>5</v>
      </c>
      <c r="W10">
        <f t="shared" si="62"/>
        <v>145</v>
      </c>
      <c r="X10">
        <f t="shared" si="6"/>
        <v>39.525691699604742</v>
      </c>
      <c r="Y10">
        <f t="shared" si="7"/>
        <v>19.230769230769234</v>
      </c>
      <c r="Z10">
        <f t="shared" si="8"/>
        <v>1.1323009823759449</v>
      </c>
      <c r="AE10">
        <v>32</v>
      </c>
      <c r="AF10">
        <v>5</v>
      </c>
      <c r="AG10">
        <f t="shared" si="63"/>
        <v>230</v>
      </c>
      <c r="AH10">
        <f t="shared" si="9"/>
        <v>46.059877841193547</v>
      </c>
      <c r="AI10">
        <f t="shared" si="10"/>
        <v>17.857142857142858</v>
      </c>
      <c r="AJ10">
        <f t="shared" si="11"/>
        <v>1.0299103119769983</v>
      </c>
      <c r="AO10">
        <v>30</v>
      </c>
      <c r="AP10">
        <v>5</v>
      </c>
      <c r="AQ10">
        <f t="shared" si="64"/>
        <v>171</v>
      </c>
      <c r="AR10">
        <f t="shared" si="12"/>
        <v>39.054470709146969</v>
      </c>
      <c r="AS10">
        <f t="shared" si="13"/>
        <v>15.151515151515152</v>
      </c>
      <c r="AT10">
        <f t="shared" si="14"/>
        <v>0.93431748108007184</v>
      </c>
      <c r="AY10">
        <v>14</v>
      </c>
      <c r="AZ10">
        <v>5</v>
      </c>
      <c r="BA10">
        <f t="shared" si="65"/>
        <v>79</v>
      </c>
      <c r="BB10">
        <f t="shared" si="15"/>
        <v>35.189309576837417</v>
      </c>
      <c r="BC10">
        <f t="shared" si="16"/>
        <v>16.666666666666664</v>
      </c>
      <c r="BD10">
        <f t="shared" si="17"/>
        <v>0.93541202672605772</v>
      </c>
      <c r="BI10">
        <v>10</v>
      </c>
      <c r="BJ10">
        <v>5</v>
      </c>
      <c r="BK10">
        <f t="shared" si="66"/>
        <v>65</v>
      </c>
      <c r="BL10">
        <f t="shared" si="18"/>
        <v>32.286104557307837</v>
      </c>
      <c r="BM10">
        <f t="shared" si="19"/>
        <v>13.513513513513514</v>
      </c>
      <c r="BN10">
        <f t="shared" si="20"/>
        <v>0.60410590647769336</v>
      </c>
      <c r="BS10">
        <v>25</v>
      </c>
      <c r="BT10">
        <v>5</v>
      </c>
      <c r="BU10">
        <f t="shared" si="67"/>
        <v>147</v>
      </c>
      <c r="BV10">
        <f t="shared" si="21"/>
        <v>41.147655703288997</v>
      </c>
      <c r="BW10">
        <f t="shared" si="22"/>
        <v>13.157894736842104</v>
      </c>
      <c r="BX10">
        <f t="shared" si="23"/>
        <v>0.82869875879341448</v>
      </c>
      <c r="CC10">
        <v>10</v>
      </c>
      <c r="CD10">
        <v>5</v>
      </c>
      <c r="CE10">
        <f t="shared" si="68"/>
        <v>64</v>
      </c>
      <c r="CF10">
        <f t="shared" si="24"/>
        <v>43.537414965986393</v>
      </c>
      <c r="CG10">
        <f t="shared" si="25"/>
        <v>17.857142857142858</v>
      </c>
      <c r="CH10">
        <f t="shared" si="26"/>
        <v>1.0932944606413983</v>
      </c>
      <c r="CM10">
        <v>35</v>
      </c>
      <c r="CN10">
        <v>5</v>
      </c>
      <c r="CO10">
        <f t="shared" si="69"/>
        <v>228</v>
      </c>
      <c r="CP10">
        <f t="shared" si="27"/>
        <v>41.192411924119241</v>
      </c>
      <c r="CQ10">
        <f t="shared" si="28"/>
        <v>14.705882352941178</v>
      </c>
      <c r="CR10">
        <f t="shared" si="29"/>
        <v>0.83692013390722142</v>
      </c>
      <c r="CW10">
        <v>17</v>
      </c>
      <c r="CX10">
        <v>5</v>
      </c>
      <c r="CY10">
        <f t="shared" si="70"/>
        <v>124</v>
      </c>
      <c r="CZ10">
        <f t="shared" si="30"/>
        <v>49.629777866720033</v>
      </c>
      <c r="DA10">
        <f t="shared" si="31"/>
        <v>15.151515151515152</v>
      </c>
      <c r="DB10">
        <f t="shared" si="32"/>
        <v>0.92782942492768394</v>
      </c>
      <c r="DG10">
        <v>8.5</v>
      </c>
      <c r="DH10">
        <v>5</v>
      </c>
      <c r="DI10">
        <f t="shared" si="71"/>
        <v>57.5</v>
      </c>
      <c r="DJ10">
        <f t="shared" si="33"/>
        <v>39.437585733882038</v>
      </c>
      <c r="DK10">
        <f t="shared" si="34"/>
        <v>16.666666666666664</v>
      </c>
      <c r="DL10">
        <f t="shared" si="35"/>
        <v>0.87448559670781945</v>
      </c>
      <c r="DQ10">
        <v>8</v>
      </c>
      <c r="DR10">
        <v>5</v>
      </c>
      <c r="DS10">
        <f t="shared" si="72"/>
        <v>46</v>
      </c>
      <c r="DT10">
        <f t="shared" si="36"/>
        <v>33.576642335766422</v>
      </c>
      <c r="DU10">
        <f t="shared" si="37"/>
        <v>13.157894736842104</v>
      </c>
      <c r="DV10">
        <f t="shared" si="38"/>
        <v>0.69150979638878207</v>
      </c>
      <c r="EA10">
        <v>6</v>
      </c>
      <c r="EB10">
        <v>5</v>
      </c>
      <c r="EC10">
        <f t="shared" si="73"/>
        <v>48</v>
      </c>
      <c r="ED10">
        <f t="shared" si="39"/>
        <v>42.440318302387269</v>
      </c>
      <c r="EE10">
        <f t="shared" si="40"/>
        <v>17.857142857142858</v>
      </c>
      <c r="EF10">
        <f t="shared" si="41"/>
        <v>0.85259568018188669</v>
      </c>
      <c r="EK10">
        <v>7</v>
      </c>
      <c r="EL10">
        <v>5</v>
      </c>
      <c r="EM10">
        <f t="shared" si="74"/>
        <v>53</v>
      </c>
      <c r="EN10">
        <f t="shared" si="42"/>
        <v>39.056742815033161</v>
      </c>
      <c r="EO10">
        <f t="shared" si="43"/>
        <v>15.151515151515152</v>
      </c>
      <c r="EP10">
        <f t="shared" si="44"/>
        <v>0.70342332685737219</v>
      </c>
      <c r="EU10">
        <v>6</v>
      </c>
      <c r="EV10">
        <v>5</v>
      </c>
      <c r="EW10">
        <f t="shared" si="75"/>
        <v>45</v>
      </c>
      <c r="EX10">
        <f t="shared" si="45"/>
        <v>45.04504504504505</v>
      </c>
      <c r="EY10">
        <f t="shared" si="46"/>
        <v>12.820512820512819</v>
      </c>
      <c r="EZ10">
        <f t="shared" si="47"/>
        <v>0.69300069300069334</v>
      </c>
      <c r="FE10">
        <v>6</v>
      </c>
      <c r="FF10">
        <v>5</v>
      </c>
      <c r="FG10">
        <f t="shared" si="76"/>
        <v>40</v>
      </c>
      <c r="FH10">
        <f t="shared" si="48"/>
        <v>35.955056179775283</v>
      </c>
      <c r="FI10">
        <f t="shared" si="49"/>
        <v>15.151515151515152</v>
      </c>
      <c r="FJ10">
        <f t="shared" si="50"/>
        <v>0.73544433094994932</v>
      </c>
      <c r="FO10">
        <v>12</v>
      </c>
      <c r="FP10">
        <v>5</v>
      </c>
      <c r="FQ10">
        <f t="shared" si="77"/>
        <v>71</v>
      </c>
      <c r="FR10">
        <f t="shared" si="51"/>
        <v>35.858585858585855</v>
      </c>
      <c r="FS10">
        <f t="shared" si="52"/>
        <v>13.157894736842104</v>
      </c>
      <c r="FT10">
        <f t="shared" si="53"/>
        <v>0.7177033492822964</v>
      </c>
      <c r="FY10">
        <v>6</v>
      </c>
      <c r="FZ10">
        <v>5</v>
      </c>
      <c r="GA10">
        <f t="shared" si="78"/>
        <v>32.5</v>
      </c>
      <c r="GB10">
        <f t="shared" si="54"/>
        <v>27.801539777587685</v>
      </c>
      <c r="GC10">
        <f t="shared" si="55"/>
        <v>12.195121951219512</v>
      </c>
      <c r="GD10">
        <f t="shared" si="56"/>
        <v>0.563333263786017</v>
      </c>
      <c r="GI10">
        <v>7.5</v>
      </c>
      <c r="GJ10">
        <v>5</v>
      </c>
      <c r="GK10">
        <f t="shared" si="79"/>
        <v>42.5</v>
      </c>
      <c r="GL10">
        <f t="shared" si="57"/>
        <v>36.032217041119118</v>
      </c>
      <c r="GM10">
        <f t="shared" si="58"/>
        <v>14.705882352941178</v>
      </c>
      <c r="GN10">
        <f t="shared" si="59"/>
        <v>0.84158292397077572</v>
      </c>
    </row>
    <row r="11" spans="1:199" x14ac:dyDescent="0.2">
      <c r="A11">
        <v>7.5</v>
      </c>
      <c r="B11">
        <v>6</v>
      </c>
      <c r="C11">
        <f t="shared" si="60"/>
        <v>83.5</v>
      </c>
      <c r="D11">
        <f t="shared" si="0"/>
        <v>51.831160769708262</v>
      </c>
      <c r="E11">
        <f t="shared" si="1"/>
        <v>19.35483870967742</v>
      </c>
      <c r="F11">
        <f t="shared" si="2"/>
        <v>0.82597465008710425</v>
      </c>
      <c r="K11">
        <v>24</v>
      </c>
      <c r="L11">
        <v>6</v>
      </c>
      <c r="M11">
        <f t="shared" si="61"/>
        <v>209</v>
      </c>
      <c r="N11">
        <f t="shared" si="3"/>
        <v>45.648138036474826</v>
      </c>
      <c r="O11">
        <f t="shared" si="4"/>
        <v>15.789473684210526</v>
      </c>
      <c r="P11">
        <f t="shared" si="5"/>
        <v>0.75869481501066227</v>
      </c>
      <c r="U11">
        <v>24</v>
      </c>
      <c r="V11">
        <v>6</v>
      </c>
      <c r="W11">
        <f t="shared" si="62"/>
        <v>169</v>
      </c>
      <c r="X11">
        <f t="shared" si="6"/>
        <v>46.067875153332423</v>
      </c>
      <c r="Y11">
        <f t="shared" si="7"/>
        <v>23.076923076923077</v>
      </c>
      <c r="Z11">
        <f t="shared" si="8"/>
        <v>1.3839234229039326</v>
      </c>
      <c r="AE11">
        <v>30</v>
      </c>
      <c r="AF11">
        <v>6</v>
      </c>
      <c r="AG11">
        <f t="shared" si="63"/>
        <v>260</v>
      </c>
      <c r="AH11">
        <f t="shared" si="9"/>
        <v>52.067687994392706</v>
      </c>
      <c r="AI11">
        <f t="shared" si="10"/>
        <v>21.428571428571427</v>
      </c>
      <c r="AJ11">
        <f t="shared" si="11"/>
        <v>1.1801055658069777</v>
      </c>
      <c r="AO11">
        <v>28</v>
      </c>
      <c r="AP11">
        <v>6</v>
      </c>
      <c r="AQ11">
        <f t="shared" si="64"/>
        <v>199</v>
      </c>
      <c r="AR11">
        <f t="shared" si="12"/>
        <v>45.449354801872786</v>
      </c>
      <c r="AS11">
        <f t="shared" si="13"/>
        <v>18.181818181818183</v>
      </c>
      <c r="AT11">
        <f t="shared" si="14"/>
        <v>1.065814015454303</v>
      </c>
      <c r="AY11">
        <v>13</v>
      </c>
      <c r="AZ11">
        <v>6</v>
      </c>
      <c r="BA11">
        <f t="shared" si="65"/>
        <v>92</v>
      </c>
      <c r="BB11">
        <f t="shared" si="15"/>
        <v>40.979955456570153</v>
      </c>
      <c r="BC11">
        <f t="shared" si="16"/>
        <v>20</v>
      </c>
      <c r="BD11">
        <f t="shared" si="17"/>
        <v>1.061618411284335</v>
      </c>
      <c r="BI11">
        <v>10</v>
      </c>
      <c r="BJ11">
        <v>6</v>
      </c>
      <c r="BK11">
        <f t="shared" si="66"/>
        <v>75</v>
      </c>
      <c r="BL11">
        <f t="shared" si="18"/>
        <v>37.253197566124427</v>
      </c>
      <c r="BM11">
        <f t="shared" si="19"/>
        <v>16.216216216216218</v>
      </c>
      <c r="BN11">
        <f t="shared" si="20"/>
        <v>0.73835166347273651</v>
      </c>
      <c r="BS11">
        <v>21</v>
      </c>
      <c r="BT11">
        <v>6</v>
      </c>
      <c r="BU11">
        <f t="shared" si="67"/>
        <v>168</v>
      </c>
      <c r="BV11">
        <f t="shared" si="21"/>
        <v>47.025892232330285</v>
      </c>
      <c r="BW11">
        <f t="shared" si="22"/>
        <v>15.789473684210526</v>
      </c>
      <c r="BX11">
        <f t="shared" si="23"/>
        <v>0.85079739236123897</v>
      </c>
      <c r="CC11">
        <v>9</v>
      </c>
      <c r="CD11">
        <v>6</v>
      </c>
      <c r="CE11">
        <f t="shared" si="68"/>
        <v>73</v>
      </c>
      <c r="CF11">
        <f t="shared" si="24"/>
        <v>49.65986394557823</v>
      </c>
      <c r="CG11">
        <f t="shared" si="25"/>
        <v>21.428571428571427</v>
      </c>
      <c r="CH11">
        <f t="shared" si="26"/>
        <v>1.2026239067055393</v>
      </c>
      <c r="CM11">
        <v>35</v>
      </c>
      <c r="CN11">
        <v>6</v>
      </c>
      <c r="CO11">
        <f t="shared" si="69"/>
        <v>263</v>
      </c>
      <c r="CP11">
        <f t="shared" si="27"/>
        <v>47.515808491418248</v>
      </c>
      <c r="CQ11">
        <f t="shared" si="28"/>
        <v>17.647058823529413</v>
      </c>
      <c r="CR11">
        <f t="shared" si="29"/>
        <v>1.0229023858866042</v>
      </c>
      <c r="CW11">
        <v>17</v>
      </c>
      <c r="CX11">
        <v>6</v>
      </c>
      <c r="CY11">
        <f t="shared" si="70"/>
        <v>141</v>
      </c>
      <c r="CZ11">
        <f t="shared" si="30"/>
        <v>56.433860316189708</v>
      </c>
      <c r="DA11">
        <f t="shared" si="31"/>
        <v>18.181818181818183</v>
      </c>
      <c r="DB11">
        <f t="shared" si="32"/>
        <v>1.1340137415782794</v>
      </c>
      <c r="DG11">
        <v>8</v>
      </c>
      <c r="DH11">
        <v>6</v>
      </c>
      <c r="DI11">
        <f t="shared" si="71"/>
        <v>65.5</v>
      </c>
      <c r="DJ11">
        <f t="shared" si="33"/>
        <v>44.924554183813449</v>
      </c>
      <c r="DK11">
        <f t="shared" si="34"/>
        <v>20</v>
      </c>
      <c r="DL11">
        <f t="shared" si="35"/>
        <v>1.0059442158207585</v>
      </c>
      <c r="DQ11">
        <v>7</v>
      </c>
      <c r="DR11">
        <v>6</v>
      </c>
      <c r="DS11">
        <f t="shared" si="72"/>
        <v>53</v>
      </c>
      <c r="DT11">
        <f t="shared" si="36"/>
        <v>38.686131386861319</v>
      </c>
      <c r="DU11">
        <f t="shared" si="37"/>
        <v>15.789473684210526</v>
      </c>
      <c r="DV11">
        <f t="shared" si="38"/>
        <v>0.73953131002689299</v>
      </c>
      <c r="EA11">
        <v>5</v>
      </c>
      <c r="EB11">
        <v>6</v>
      </c>
      <c r="EC11">
        <f t="shared" si="73"/>
        <v>53</v>
      </c>
      <c r="ED11">
        <f t="shared" si="39"/>
        <v>46.861184792219277</v>
      </c>
      <c r="EE11">
        <f t="shared" si="40"/>
        <v>21.428571428571427</v>
      </c>
      <c r="EF11">
        <f t="shared" si="41"/>
        <v>0.86838448907414445</v>
      </c>
      <c r="EK11">
        <v>6</v>
      </c>
      <c r="EL11">
        <v>6</v>
      </c>
      <c r="EM11">
        <f t="shared" si="74"/>
        <v>59</v>
      </c>
      <c r="EN11">
        <f t="shared" si="42"/>
        <v>43.478260869565219</v>
      </c>
      <c r="EO11">
        <f t="shared" si="43"/>
        <v>18.181818181818183</v>
      </c>
      <c r="EP11">
        <f t="shared" si="44"/>
        <v>0.73691967575534312</v>
      </c>
      <c r="EU11">
        <v>6</v>
      </c>
      <c r="EV11">
        <v>6</v>
      </c>
      <c r="EW11">
        <f t="shared" si="75"/>
        <v>51</v>
      </c>
      <c r="EX11">
        <f t="shared" si="45"/>
        <v>51.051051051051054</v>
      </c>
      <c r="EY11">
        <f t="shared" si="46"/>
        <v>15.384615384615385</v>
      </c>
      <c r="EZ11">
        <f t="shared" si="47"/>
        <v>0.84700084700084677</v>
      </c>
      <c r="FE11">
        <v>6</v>
      </c>
      <c r="FF11">
        <v>6</v>
      </c>
      <c r="FG11">
        <f t="shared" si="76"/>
        <v>46</v>
      </c>
      <c r="FH11">
        <f t="shared" si="48"/>
        <v>41.348314606741567</v>
      </c>
      <c r="FI11">
        <f t="shared" si="49"/>
        <v>18.181818181818183</v>
      </c>
      <c r="FJ11">
        <f t="shared" si="50"/>
        <v>0.89887640449438067</v>
      </c>
      <c r="FO11">
        <v>10</v>
      </c>
      <c r="FP11">
        <v>6</v>
      </c>
      <c r="FQ11">
        <f t="shared" si="77"/>
        <v>81</v>
      </c>
      <c r="FR11">
        <f t="shared" si="51"/>
        <v>40.909090909090914</v>
      </c>
      <c r="FS11">
        <f t="shared" si="52"/>
        <v>15.789473684210526</v>
      </c>
      <c r="FT11">
        <f t="shared" si="53"/>
        <v>0.73099415204678475</v>
      </c>
      <c r="FY11">
        <v>5</v>
      </c>
      <c r="FZ11">
        <v>6</v>
      </c>
      <c r="GA11">
        <f t="shared" si="78"/>
        <v>37.5</v>
      </c>
      <c r="GB11">
        <f t="shared" si="54"/>
        <v>32.0786997433704</v>
      </c>
      <c r="GC11">
        <f t="shared" si="55"/>
        <v>14.634146341463413</v>
      </c>
      <c r="GD11">
        <f t="shared" si="56"/>
        <v>0.57376536126353495</v>
      </c>
      <c r="GI11">
        <v>7</v>
      </c>
      <c r="GJ11">
        <v>6</v>
      </c>
      <c r="GK11">
        <f t="shared" si="79"/>
        <v>49.5</v>
      </c>
      <c r="GL11">
        <f t="shared" si="57"/>
        <v>41.966935142009326</v>
      </c>
      <c r="GM11">
        <f t="shared" si="58"/>
        <v>17.647058823529413</v>
      </c>
      <c r="GN11">
        <f t="shared" si="59"/>
        <v>0.96002792808518089</v>
      </c>
    </row>
    <row r="12" spans="1:199" x14ac:dyDescent="0.2">
      <c r="A12">
        <v>7</v>
      </c>
      <c r="B12">
        <v>7</v>
      </c>
      <c r="C12">
        <f t="shared" si="60"/>
        <v>90.5</v>
      </c>
      <c r="D12">
        <f t="shared" si="0"/>
        <v>56.176288019863442</v>
      </c>
      <c r="E12">
        <f t="shared" si="1"/>
        <v>22.58064516129032</v>
      </c>
      <c r="F12">
        <f t="shared" si="2"/>
        <v>0.91107506858092491</v>
      </c>
      <c r="K12">
        <v>23</v>
      </c>
      <c r="L12">
        <v>7</v>
      </c>
      <c r="M12">
        <f t="shared" si="61"/>
        <v>232</v>
      </c>
      <c r="N12">
        <f t="shared" si="3"/>
        <v>50.671617341924211</v>
      </c>
      <c r="O12">
        <f t="shared" si="4"/>
        <v>18.421052631578945</v>
      </c>
      <c r="P12">
        <f t="shared" si="5"/>
        <v>0.85927935487950013</v>
      </c>
      <c r="U12">
        <v>23</v>
      </c>
      <c r="V12">
        <v>7</v>
      </c>
      <c r="W12">
        <f t="shared" si="62"/>
        <v>192</v>
      </c>
      <c r="X12">
        <f t="shared" si="6"/>
        <v>52.337467629821454</v>
      </c>
      <c r="Y12">
        <f t="shared" si="7"/>
        <v>26.923076923076923</v>
      </c>
      <c r="Z12">
        <f t="shared" si="8"/>
        <v>1.5673981191222577</v>
      </c>
      <c r="AE12">
        <v>28</v>
      </c>
      <c r="AF12">
        <v>7</v>
      </c>
      <c r="AG12">
        <f t="shared" si="63"/>
        <v>288</v>
      </c>
      <c r="AH12">
        <f t="shared" si="9"/>
        <v>57.674977470711916</v>
      </c>
      <c r="AI12">
        <f t="shared" si="10"/>
        <v>25</v>
      </c>
      <c r="AJ12">
        <f t="shared" si="11"/>
        <v>1.3016921998598168</v>
      </c>
      <c r="AO12">
        <v>25</v>
      </c>
      <c r="AP12">
        <v>7</v>
      </c>
      <c r="AQ12">
        <f t="shared" si="64"/>
        <v>224</v>
      </c>
      <c r="AR12">
        <f t="shared" si="12"/>
        <v>51.159072741806554</v>
      </c>
      <c r="AS12">
        <f t="shared" si="13"/>
        <v>21.212121212121211</v>
      </c>
      <c r="AT12">
        <f t="shared" si="14"/>
        <v>1.1246414124111965</v>
      </c>
      <c r="AY12">
        <v>13</v>
      </c>
      <c r="AZ12">
        <v>7</v>
      </c>
      <c r="BA12">
        <f t="shared" si="65"/>
        <v>105</v>
      </c>
      <c r="BB12">
        <f t="shared" si="15"/>
        <v>46.770601336302896</v>
      </c>
      <c r="BC12">
        <f t="shared" si="16"/>
        <v>23.333333333333332</v>
      </c>
      <c r="BD12">
        <f t="shared" si="17"/>
        <v>1.2546399406087609</v>
      </c>
      <c r="BI12">
        <v>10</v>
      </c>
      <c r="BJ12">
        <v>7</v>
      </c>
      <c r="BK12">
        <f t="shared" si="66"/>
        <v>85</v>
      </c>
      <c r="BL12">
        <f t="shared" si="18"/>
        <v>42.220290574941018</v>
      </c>
      <c r="BM12">
        <f t="shared" si="19"/>
        <v>18.918918918918919</v>
      </c>
      <c r="BN12">
        <f t="shared" si="20"/>
        <v>0.87259742046777944</v>
      </c>
      <c r="BS12">
        <v>19</v>
      </c>
      <c r="BT12">
        <v>7</v>
      </c>
      <c r="BU12">
        <f t="shared" si="67"/>
        <v>187</v>
      </c>
      <c r="BV12">
        <f t="shared" si="21"/>
        <v>52.344296710986683</v>
      </c>
      <c r="BW12">
        <f t="shared" si="22"/>
        <v>18.421052631578945</v>
      </c>
      <c r="BX12">
        <f t="shared" si="23"/>
        <v>0.90972708187543627</v>
      </c>
      <c r="CC12">
        <v>8</v>
      </c>
      <c r="CD12">
        <v>7</v>
      </c>
      <c r="CE12">
        <f t="shared" si="68"/>
        <v>81</v>
      </c>
      <c r="CF12">
        <f t="shared" si="24"/>
        <v>55.102040816326522</v>
      </c>
      <c r="CG12">
        <f t="shared" si="25"/>
        <v>25</v>
      </c>
      <c r="CH12">
        <f t="shared" si="26"/>
        <v>1.263362487852282</v>
      </c>
      <c r="CM12">
        <v>32</v>
      </c>
      <c r="CN12">
        <v>7</v>
      </c>
      <c r="CO12">
        <f t="shared" si="69"/>
        <v>295</v>
      </c>
      <c r="CP12">
        <f t="shared" si="27"/>
        <v>53.297199638663052</v>
      </c>
      <c r="CQ12">
        <f t="shared" si="28"/>
        <v>20.588235294117645</v>
      </c>
      <c r="CR12">
        <f t="shared" si="29"/>
        <v>1.1052659546203301</v>
      </c>
      <c r="CW12">
        <v>13</v>
      </c>
      <c r="CX12">
        <v>7</v>
      </c>
      <c r="CY12">
        <f t="shared" si="70"/>
        <v>154</v>
      </c>
      <c r="CZ12">
        <f t="shared" si="30"/>
        <v>61.636982189313592</v>
      </c>
      <c r="DA12">
        <f t="shared" si="31"/>
        <v>21.212121212121211</v>
      </c>
      <c r="DB12">
        <f t="shared" si="32"/>
        <v>1.0248573386456135</v>
      </c>
      <c r="DG12">
        <v>8</v>
      </c>
      <c r="DH12">
        <v>7</v>
      </c>
      <c r="DI12">
        <f t="shared" si="71"/>
        <v>73.5</v>
      </c>
      <c r="DJ12">
        <f t="shared" si="33"/>
        <v>50.411522633744866</v>
      </c>
      <c r="DK12">
        <f t="shared" si="34"/>
        <v>23.333333333333332</v>
      </c>
      <c r="DL12">
        <f t="shared" si="35"/>
        <v>1.1888431641518071</v>
      </c>
      <c r="DQ12">
        <v>7</v>
      </c>
      <c r="DR12">
        <v>7</v>
      </c>
      <c r="DS12">
        <f t="shared" si="72"/>
        <v>60</v>
      </c>
      <c r="DT12">
        <f t="shared" si="36"/>
        <v>43.79562043795621</v>
      </c>
      <c r="DU12">
        <f t="shared" si="37"/>
        <v>18.421052631578945</v>
      </c>
      <c r="DV12">
        <f t="shared" si="38"/>
        <v>0.87399154821359959</v>
      </c>
      <c r="EA12">
        <v>5</v>
      </c>
      <c r="EB12">
        <v>7</v>
      </c>
      <c r="EC12">
        <f t="shared" si="73"/>
        <v>58</v>
      </c>
      <c r="ED12">
        <f t="shared" si="39"/>
        <v>51.282051282051292</v>
      </c>
      <c r="EE12">
        <f t="shared" si="40"/>
        <v>25</v>
      </c>
      <c r="EF12">
        <f t="shared" si="41"/>
        <v>1.0262725779967179</v>
      </c>
      <c r="EK12">
        <v>6</v>
      </c>
      <c r="EL12">
        <v>7</v>
      </c>
      <c r="EM12">
        <f t="shared" si="74"/>
        <v>65</v>
      </c>
      <c r="EN12">
        <f t="shared" si="42"/>
        <v>47.899778924097276</v>
      </c>
      <c r="EO12">
        <f t="shared" si="43"/>
        <v>21.212121212121211</v>
      </c>
      <c r="EP12">
        <f t="shared" si="44"/>
        <v>0.87090507134722339</v>
      </c>
      <c r="EU12">
        <v>4</v>
      </c>
      <c r="EV12">
        <v>7</v>
      </c>
      <c r="EW12">
        <f t="shared" si="75"/>
        <v>55</v>
      </c>
      <c r="EX12">
        <f t="shared" si="45"/>
        <v>55.055055055055057</v>
      </c>
      <c r="EY12">
        <f t="shared" si="46"/>
        <v>17.948717948717949</v>
      </c>
      <c r="EZ12">
        <f t="shared" si="47"/>
        <v>0.66733400066733384</v>
      </c>
      <c r="FE12">
        <v>5</v>
      </c>
      <c r="FF12">
        <v>7</v>
      </c>
      <c r="FG12">
        <f t="shared" si="76"/>
        <v>51</v>
      </c>
      <c r="FH12">
        <f t="shared" si="48"/>
        <v>45.842696629213478</v>
      </c>
      <c r="FI12">
        <f t="shared" si="49"/>
        <v>21.212121212121211</v>
      </c>
      <c r="FJ12">
        <f t="shared" si="50"/>
        <v>0.88525706503234591</v>
      </c>
      <c r="FO12">
        <v>9</v>
      </c>
      <c r="FP12">
        <v>7</v>
      </c>
      <c r="FQ12">
        <f t="shared" si="77"/>
        <v>90</v>
      </c>
      <c r="FR12">
        <f t="shared" si="51"/>
        <v>45.454545454545453</v>
      </c>
      <c r="FS12">
        <f t="shared" si="52"/>
        <v>18.421052631578945</v>
      </c>
      <c r="FT12">
        <f t="shared" si="53"/>
        <v>0.77751196172248693</v>
      </c>
      <c r="FY12">
        <v>5</v>
      </c>
      <c r="FZ12">
        <v>7</v>
      </c>
      <c r="GA12">
        <f t="shared" si="78"/>
        <v>42.5</v>
      </c>
      <c r="GB12">
        <f t="shared" si="54"/>
        <v>36.35585970915313</v>
      </c>
      <c r="GC12">
        <f t="shared" si="55"/>
        <v>17.073170731707318</v>
      </c>
      <c r="GD12">
        <f t="shared" si="56"/>
        <v>0.67808633603872537</v>
      </c>
      <c r="GI12">
        <v>5</v>
      </c>
      <c r="GJ12">
        <v>7</v>
      </c>
      <c r="GK12">
        <f t="shared" si="79"/>
        <v>54.5</v>
      </c>
      <c r="GL12">
        <f t="shared" si="57"/>
        <v>46.206019499788042</v>
      </c>
      <c r="GM12">
        <f t="shared" si="58"/>
        <v>20.588235294117645</v>
      </c>
      <c r="GN12">
        <f t="shared" si="59"/>
        <v>0.81041318604593082</v>
      </c>
    </row>
    <row r="13" spans="1:199" x14ac:dyDescent="0.2">
      <c r="A13">
        <v>6</v>
      </c>
      <c r="B13">
        <v>8</v>
      </c>
      <c r="C13">
        <f t="shared" si="60"/>
        <v>96.5</v>
      </c>
      <c r="D13">
        <f t="shared" si="0"/>
        <v>59.900682805710737</v>
      </c>
      <c r="E13">
        <f t="shared" si="1"/>
        <v>25.806451612903224</v>
      </c>
      <c r="F13">
        <f t="shared" si="2"/>
        <v>0.90106325464047454</v>
      </c>
      <c r="K13">
        <v>22</v>
      </c>
      <c r="L13">
        <v>8</v>
      </c>
      <c r="M13">
        <f t="shared" si="61"/>
        <v>254</v>
      </c>
      <c r="N13">
        <f t="shared" si="3"/>
        <v>55.476684503658404</v>
      </c>
      <c r="O13">
        <f t="shared" si="4"/>
        <v>21.052631578947366</v>
      </c>
      <c r="P13">
        <f t="shared" si="5"/>
        <v>0.94836851876332762</v>
      </c>
      <c r="U13">
        <v>20</v>
      </c>
      <c r="V13">
        <v>8</v>
      </c>
      <c r="W13">
        <f t="shared" si="62"/>
        <v>212</v>
      </c>
      <c r="X13">
        <f t="shared" si="6"/>
        <v>57.78928717459452</v>
      </c>
      <c r="Y13">
        <f t="shared" si="7"/>
        <v>30.76923076923077</v>
      </c>
      <c r="Z13">
        <f t="shared" si="8"/>
        <v>1.5726402532999231</v>
      </c>
      <c r="AE13">
        <v>23</v>
      </c>
      <c r="AF13">
        <v>8</v>
      </c>
      <c r="AG13">
        <f t="shared" si="63"/>
        <v>311</v>
      </c>
      <c r="AH13">
        <f t="shared" si="9"/>
        <v>62.28096525483128</v>
      </c>
      <c r="AI13">
        <f t="shared" si="10"/>
        <v>28.571428571428569</v>
      </c>
      <c r="AJ13">
        <f t="shared" si="11"/>
        <v>1.2337467278891152</v>
      </c>
      <c r="AO13">
        <v>21</v>
      </c>
      <c r="AP13">
        <v>8</v>
      </c>
      <c r="AQ13">
        <f t="shared" si="64"/>
        <v>245</v>
      </c>
      <c r="AR13">
        <f t="shared" si="12"/>
        <v>55.95523581135091</v>
      </c>
      <c r="AS13">
        <f t="shared" si="13"/>
        <v>24.242424242424242</v>
      </c>
      <c r="AT13">
        <f t="shared" si="14"/>
        <v>1.0900370612600809</v>
      </c>
      <c r="AY13">
        <v>12</v>
      </c>
      <c r="AZ13">
        <v>8</v>
      </c>
      <c r="BA13">
        <f t="shared" si="65"/>
        <v>117</v>
      </c>
      <c r="BB13">
        <f t="shared" si="15"/>
        <v>52.115812917594653</v>
      </c>
      <c r="BC13">
        <f t="shared" si="16"/>
        <v>26.666666666666668</v>
      </c>
      <c r="BD13">
        <f t="shared" si="17"/>
        <v>1.3363028953229392</v>
      </c>
      <c r="BI13">
        <v>10</v>
      </c>
      <c r="BJ13">
        <v>8</v>
      </c>
      <c r="BK13">
        <f t="shared" si="66"/>
        <v>95</v>
      </c>
      <c r="BL13">
        <f t="shared" si="18"/>
        <v>47.187383583757608</v>
      </c>
      <c r="BM13">
        <f t="shared" si="19"/>
        <v>21.621621621621621</v>
      </c>
      <c r="BN13">
        <f t="shared" si="20"/>
        <v>1.0068431774628224</v>
      </c>
      <c r="BS13">
        <v>18</v>
      </c>
      <c r="BT13">
        <v>8</v>
      </c>
      <c r="BU13">
        <f t="shared" si="67"/>
        <v>205</v>
      </c>
      <c r="BV13">
        <f t="shared" si="21"/>
        <v>57.382785164450645</v>
      </c>
      <c r="BW13">
        <f t="shared" si="22"/>
        <v>21.052631578947366</v>
      </c>
      <c r="BX13">
        <f t="shared" si="23"/>
        <v>0.99443851055209775</v>
      </c>
      <c r="CC13">
        <v>7</v>
      </c>
      <c r="CD13">
        <v>8</v>
      </c>
      <c r="CE13">
        <f t="shared" si="68"/>
        <v>88</v>
      </c>
      <c r="CF13">
        <f t="shared" si="24"/>
        <v>59.863945578231295</v>
      </c>
      <c r="CG13">
        <f t="shared" si="25"/>
        <v>28.571428571428569</v>
      </c>
      <c r="CH13">
        <f t="shared" si="26"/>
        <v>1.2755102040816357</v>
      </c>
      <c r="CM13">
        <v>25</v>
      </c>
      <c r="CN13">
        <v>8</v>
      </c>
      <c r="CO13">
        <f t="shared" si="69"/>
        <v>320</v>
      </c>
      <c r="CP13">
        <f t="shared" si="27"/>
        <v>57.813911472448055</v>
      </c>
      <c r="CQ13">
        <f t="shared" si="28"/>
        <v>23.52941176470588</v>
      </c>
      <c r="CR13">
        <f t="shared" si="29"/>
        <v>0.99633349274669158</v>
      </c>
      <c r="CW13">
        <v>13</v>
      </c>
      <c r="CX13">
        <v>8</v>
      </c>
      <c r="CY13">
        <f t="shared" si="70"/>
        <v>167</v>
      </c>
      <c r="CZ13">
        <f t="shared" si="30"/>
        <v>66.840104062437462</v>
      </c>
      <c r="DA13">
        <f t="shared" si="31"/>
        <v>24.242424242424242</v>
      </c>
      <c r="DB13">
        <f t="shared" si="32"/>
        <v>1.182527698437243</v>
      </c>
      <c r="DG13">
        <v>7</v>
      </c>
      <c r="DH13">
        <v>8</v>
      </c>
      <c r="DI13">
        <f t="shared" si="71"/>
        <v>80.5</v>
      </c>
      <c r="DJ13">
        <f t="shared" si="33"/>
        <v>55.212620027434845</v>
      </c>
      <c r="DK13">
        <f t="shared" si="34"/>
        <v>26.666666666666668</v>
      </c>
      <c r="DL13">
        <f t="shared" si="35"/>
        <v>1.2002743484224947</v>
      </c>
      <c r="DQ13">
        <v>6</v>
      </c>
      <c r="DR13">
        <v>8</v>
      </c>
      <c r="DS13">
        <f t="shared" si="72"/>
        <v>66</v>
      </c>
      <c r="DT13">
        <f t="shared" si="36"/>
        <v>48.175182481751825</v>
      </c>
      <c r="DU13">
        <f t="shared" si="37"/>
        <v>21.052631578947366</v>
      </c>
      <c r="DV13">
        <f t="shared" si="38"/>
        <v>0.86438724548597679</v>
      </c>
      <c r="EA13">
        <v>5</v>
      </c>
      <c r="EB13">
        <v>8</v>
      </c>
      <c r="EC13">
        <f t="shared" si="73"/>
        <v>63</v>
      </c>
      <c r="ED13">
        <f t="shared" si="39"/>
        <v>55.702917771883286</v>
      </c>
      <c r="EE13">
        <f t="shared" si="40"/>
        <v>28.571428571428569</v>
      </c>
      <c r="EF13">
        <f t="shared" si="41"/>
        <v>1.1841606669192841</v>
      </c>
      <c r="EK13">
        <v>6</v>
      </c>
      <c r="EL13">
        <v>8</v>
      </c>
      <c r="EM13">
        <f t="shared" si="74"/>
        <v>71</v>
      </c>
      <c r="EN13">
        <f t="shared" si="42"/>
        <v>52.321296978629341</v>
      </c>
      <c r="EO13">
        <f t="shared" si="43"/>
        <v>24.242424242424242</v>
      </c>
      <c r="EP13">
        <f t="shared" si="44"/>
        <v>1.0048904669391057</v>
      </c>
      <c r="EU13">
        <v>4</v>
      </c>
      <c r="EV13">
        <v>8</v>
      </c>
      <c r="EW13">
        <f t="shared" si="75"/>
        <v>59</v>
      </c>
      <c r="EX13">
        <f t="shared" si="45"/>
        <v>59.059059059059059</v>
      </c>
      <c r="EY13">
        <f t="shared" si="46"/>
        <v>20.512820512820511</v>
      </c>
      <c r="EZ13">
        <f t="shared" si="47"/>
        <v>0.77000077000076972</v>
      </c>
      <c r="FE13">
        <v>4.5</v>
      </c>
      <c r="FF13">
        <v>8</v>
      </c>
      <c r="FG13">
        <f t="shared" si="76"/>
        <v>55.5</v>
      </c>
      <c r="FH13">
        <f t="shared" si="48"/>
        <v>49.887640449438202</v>
      </c>
      <c r="FI13">
        <f t="shared" si="49"/>
        <v>24.242424242424242</v>
      </c>
      <c r="FJ13">
        <f t="shared" si="50"/>
        <v>0.91930541368743723</v>
      </c>
      <c r="FO13">
        <v>9</v>
      </c>
      <c r="FP13">
        <v>8</v>
      </c>
      <c r="FQ13">
        <f t="shared" si="77"/>
        <v>99</v>
      </c>
      <c r="FR13">
        <f t="shared" si="51"/>
        <v>50</v>
      </c>
      <c r="FS13">
        <f t="shared" si="52"/>
        <v>21.052631578947366</v>
      </c>
      <c r="FT13">
        <f t="shared" si="53"/>
        <v>0.897129186602871</v>
      </c>
      <c r="FY13">
        <v>4.5</v>
      </c>
      <c r="FZ13">
        <v>8</v>
      </c>
      <c r="GA13">
        <f t="shared" si="78"/>
        <v>47</v>
      </c>
      <c r="GB13">
        <f t="shared" si="54"/>
        <v>40.205303678357573</v>
      </c>
      <c r="GC13">
        <f t="shared" si="55"/>
        <v>19.512195121951219</v>
      </c>
      <c r="GD13">
        <f t="shared" si="56"/>
        <v>0.70416657973252017</v>
      </c>
      <c r="GI13">
        <v>5</v>
      </c>
      <c r="GJ13">
        <v>8</v>
      </c>
      <c r="GK13">
        <f t="shared" si="79"/>
        <v>59.5</v>
      </c>
      <c r="GL13">
        <f t="shared" si="57"/>
        <v>50.445103857566764</v>
      </c>
      <c r="GM13">
        <f t="shared" si="58"/>
        <v>23.52941176470588</v>
      </c>
      <c r="GN13">
        <f t="shared" si="59"/>
        <v>0.9350921377453062</v>
      </c>
    </row>
    <row r="14" spans="1:199" x14ac:dyDescent="0.2">
      <c r="A14">
        <v>6</v>
      </c>
      <c r="B14">
        <v>9</v>
      </c>
      <c r="C14">
        <f t="shared" si="60"/>
        <v>102.5</v>
      </c>
      <c r="D14">
        <f t="shared" si="0"/>
        <v>63.625077591558046</v>
      </c>
      <c r="E14">
        <f t="shared" si="1"/>
        <v>29.032258064516132</v>
      </c>
      <c r="F14">
        <f t="shared" si="2"/>
        <v>1.0212050219258753</v>
      </c>
      <c r="K14">
        <v>20</v>
      </c>
      <c r="L14">
        <v>9</v>
      </c>
      <c r="M14">
        <f t="shared" si="61"/>
        <v>274</v>
      </c>
      <c r="N14">
        <f t="shared" si="3"/>
        <v>59.844927377962208</v>
      </c>
      <c r="O14">
        <f t="shared" si="4"/>
        <v>23.684210526315788</v>
      </c>
      <c r="P14">
        <f t="shared" si="5"/>
        <v>0.97710695872585052</v>
      </c>
      <c r="U14">
        <v>18</v>
      </c>
      <c r="V14">
        <v>9</v>
      </c>
      <c r="W14">
        <f t="shared" si="62"/>
        <v>230</v>
      </c>
      <c r="X14">
        <f t="shared" si="6"/>
        <v>62.695924764890279</v>
      </c>
      <c r="Y14">
        <f t="shared" si="7"/>
        <v>34.615384615384613</v>
      </c>
      <c r="Z14">
        <f t="shared" si="8"/>
        <v>1.6040930583659212</v>
      </c>
      <c r="AE14">
        <v>23</v>
      </c>
      <c r="AF14">
        <v>9</v>
      </c>
      <c r="AG14">
        <f t="shared" si="63"/>
        <v>334</v>
      </c>
      <c r="AH14">
        <f t="shared" si="9"/>
        <v>66.886953038950637</v>
      </c>
      <c r="AI14">
        <f t="shared" si="10"/>
        <v>32.142857142857146</v>
      </c>
      <c r="AJ14">
        <f t="shared" si="11"/>
        <v>1.3982462916076619</v>
      </c>
      <c r="AO14">
        <v>20</v>
      </c>
      <c r="AP14">
        <v>9</v>
      </c>
      <c r="AQ14">
        <f t="shared" si="64"/>
        <v>265</v>
      </c>
      <c r="AR14">
        <f t="shared" si="12"/>
        <v>60.523010163297933</v>
      </c>
      <c r="AS14">
        <f t="shared" si="13"/>
        <v>27.27272727272727</v>
      </c>
      <c r="AT14">
        <f t="shared" si="14"/>
        <v>1.1765479391378695</v>
      </c>
      <c r="AY14">
        <v>11</v>
      </c>
      <c r="AZ14">
        <v>9</v>
      </c>
      <c r="BA14">
        <f t="shared" si="65"/>
        <v>128</v>
      </c>
      <c r="BB14">
        <f t="shared" si="15"/>
        <v>57.01559020044543</v>
      </c>
      <c r="BC14">
        <f t="shared" si="16"/>
        <v>30</v>
      </c>
      <c r="BD14">
        <f t="shared" si="17"/>
        <v>1.3882702301410539</v>
      </c>
      <c r="BI14">
        <v>9</v>
      </c>
      <c r="BJ14">
        <v>9</v>
      </c>
      <c r="BK14">
        <f t="shared" si="66"/>
        <v>104</v>
      </c>
      <c r="BL14">
        <f t="shared" si="18"/>
        <v>51.657767291692537</v>
      </c>
      <c r="BM14">
        <f t="shared" si="19"/>
        <v>24.324324324324326</v>
      </c>
      <c r="BN14">
        <f t="shared" si="20"/>
        <v>1.0269800410120782</v>
      </c>
      <c r="BS14">
        <v>15</v>
      </c>
      <c r="BT14">
        <v>9</v>
      </c>
      <c r="BU14">
        <f t="shared" si="67"/>
        <v>220</v>
      </c>
      <c r="BV14">
        <f t="shared" si="21"/>
        <v>61.581525542337282</v>
      </c>
      <c r="BW14">
        <f t="shared" si="22"/>
        <v>23.684210526315788</v>
      </c>
      <c r="BX14">
        <f t="shared" si="23"/>
        <v>0.93919192663253692</v>
      </c>
      <c r="CC14">
        <v>7</v>
      </c>
      <c r="CD14">
        <v>9</v>
      </c>
      <c r="CE14">
        <f t="shared" si="68"/>
        <v>95</v>
      </c>
      <c r="CF14">
        <f t="shared" si="24"/>
        <v>64.625850340136054</v>
      </c>
      <c r="CG14">
        <f t="shared" si="25"/>
        <v>32.142857142857146</v>
      </c>
      <c r="CH14">
        <f t="shared" si="26"/>
        <v>1.4455782312925163</v>
      </c>
      <c r="CM14">
        <v>23</v>
      </c>
      <c r="CN14">
        <v>9</v>
      </c>
      <c r="CO14">
        <f t="shared" si="69"/>
        <v>343</v>
      </c>
      <c r="CP14">
        <f t="shared" si="27"/>
        <v>61.969286359530265</v>
      </c>
      <c r="CQ14">
        <f t="shared" si="28"/>
        <v>26.47058823529412</v>
      </c>
      <c r="CR14">
        <f t="shared" si="29"/>
        <v>1.0388437217705526</v>
      </c>
      <c r="CW14">
        <v>10</v>
      </c>
      <c r="CX14">
        <v>9</v>
      </c>
      <c r="CY14">
        <f t="shared" si="70"/>
        <v>177</v>
      </c>
      <c r="CZ14">
        <f t="shared" si="30"/>
        <v>70.842505503301979</v>
      </c>
      <c r="DA14">
        <f t="shared" si="31"/>
        <v>27.27272727272727</v>
      </c>
      <c r="DB14">
        <f t="shared" si="32"/>
        <v>1.0309215832529817</v>
      </c>
      <c r="DG14">
        <v>6.5</v>
      </c>
      <c r="DH14">
        <v>9</v>
      </c>
      <c r="DI14">
        <f t="shared" si="71"/>
        <v>87</v>
      </c>
      <c r="DJ14">
        <f t="shared" si="33"/>
        <v>59.670781893004119</v>
      </c>
      <c r="DK14">
        <f t="shared" si="34"/>
        <v>30</v>
      </c>
      <c r="DL14">
        <f t="shared" si="35"/>
        <v>1.2631458619112943</v>
      </c>
      <c r="DQ14">
        <v>5.5</v>
      </c>
      <c r="DR14">
        <v>9</v>
      </c>
      <c r="DS14">
        <f t="shared" si="72"/>
        <v>71.5</v>
      </c>
      <c r="DT14">
        <f t="shared" si="36"/>
        <v>52.189781021897808</v>
      </c>
      <c r="DU14">
        <f t="shared" si="37"/>
        <v>23.684210526315788</v>
      </c>
      <c r="DV14">
        <f t="shared" si="38"/>
        <v>0.89800230503265377</v>
      </c>
      <c r="EA14">
        <v>5</v>
      </c>
      <c r="EB14">
        <v>9</v>
      </c>
      <c r="EC14">
        <f t="shared" si="73"/>
        <v>68</v>
      </c>
      <c r="ED14">
        <f t="shared" si="39"/>
        <v>60.123784261715294</v>
      </c>
      <c r="EE14">
        <f t="shared" si="40"/>
        <v>32.142857142857146</v>
      </c>
      <c r="EF14">
        <f t="shared" si="41"/>
        <v>1.3420487558418597</v>
      </c>
      <c r="EK14">
        <v>5</v>
      </c>
      <c r="EL14">
        <v>9</v>
      </c>
      <c r="EM14">
        <f t="shared" si="74"/>
        <v>76</v>
      </c>
      <c r="EN14">
        <f t="shared" si="42"/>
        <v>56.005895357406047</v>
      </c>
      <c r="EO14">
        <f t="shared" si="43"/>
        <v>27.27272727272727</v>
      </c>
      <c r="EP14">
        <f t="shared" si="44"/>
        <v>0.94906321877581801</v>
      </c>
      <c r="EU14">
        <v>4</v>
      </c>
      <c r="EV14">
        <v>9</v>
      </c>
      <c r="EW14">
        <f t="shared" si="75"/>
        <v>63</v>
      </c>
      <c r="EX14">
        <f t="shared" si="45"/>
        <v>63.063063063063076</v>
      </c>
      <c r="EY14">
        <f t="shared" si="46"/>
        <v>23.076923076923077</v>
      </c>
      <c r="EZ14">
        <f t="shared" si="47"/>
        <v>0.87266753933420882</v>
      </c>
      <c r="FE14">
        <v>4.5</v>
      </c>
      <c r="FF14">
        <v>9</v>
      </c>
      <c r="FG14">
        <f t="shared" si="76"/>
        <v>60</v>
      </c>
      <c r="FH14">
        <f t="shared" si="48"/>
        <v>53.932584269662918</v>
      </c>
      <c r="FI14">
        <f t="shared" si="49"/>
        <v>27.27272727272727</v>
      </c>
      <c r="FJ14">
        <f t="shared" si="50"/>
        <v>1.0418794688457604</v>
      </c>
      <c r="FO14">
        <v>8</v>
      </c>
      <c r="FP14">
        <v>9</v>
      </c>
      <c r="FQ14">
        <f t="shared" si="77"/>
        <v>107</v>
      </c>
      <c r="FR14">
        <f t="shared" si="51"/>
        <v>54.040404040404042</v>
      </c>
      <c r="FS14">
        <f t="shared" si="52"/>
        <v>23.684210526315788</v>
      </c>
      <c r="FT14">
        <f t="shared" si="53"/>
        <v>0.90377458798511445</v>
      </c>
      <c r="FY14">
        <v>4</v>
      </c>
      <c r="FZ14">
        <v>9</v>
      </c>
      <c r="GA14">
        <f t="shared" si="78"/>
        <v>51</v>
      </c>
      <c r="GB14">
        <f t="shared" si="54"/>
        <v>43.627031650983753</v>
      </c>
      <c r="GC14">
        <f t="shared" si="55"/>
        <v>21.951219512195124</v>
      </c>
      <c r="GD14">
        <f t="shared" si="56"/>
        <v>0.7093826284712812</v>
      </c>
      <c r="GI14">
        <v>5</v>
      </c>
      <c r="GJ14">
        <v>9</v>
      </c>
      <c r="GK14">
        <f t="shared" si="79"/>
        <v>64.5</v>
      </c>
      <c r="GL14">
        <f t="shared" si="57"/>
        <v>54.684188215345486</v>
      </c>
      <c r="GM14">
        <f t="shared" si="58"/>
        <v>26.47058823529412</v>
      </c>
      <c r="GN14">
        <f t="shared" si="59"/>
        <v>1.0597710894446806</v>
      </c>
    </row>
    <row r="15" spans="1:199" x14ac:dyDescent="0.2">
      <c r="A15">
        <v>6</v>
      </c>
      <c r="B15">
        <v>10</v>
      </c>
      <c r="C15">
        <f t="shared" si="60"/>
        <v>108.5</v>
      </c>
      <c r="D15">
        <f t="shared" si="0"/>
        <v>67.349472377405334</v>
      </c>
      <c r="E15">
        <f t="shared" si="1"/>
        <v>32.258064516129032</v>
      </c>
      <c r="F15">
        <f t="shared" si="2"/>
        <v>1.1413467892112659</v>
      </c>
      <c r="K15">
        <v>18</v>
      </c>
      <c r="L15">
        <v>10</v>
      </c>
      <c r="M15">
        <f t="shared" si="61"/>
        <v>292</v>
      </c>
      <c r="N15">
        <f t="shared" si="3"/>
        <v>63.776345964835649</v>
      </c>
      <c r="O15">
        <f t="shared" si="4"/>
        <v>26.315789473684209</v>
      </c>
      <c r="P15">
        <f t="shared" si="5"/>
        <v>0.9828546467183602</v>
      </c>
      <c r="U15">
        <v>18</v>
      </c>
      <c r="V15">
        <v>10</v>
      </c>
      <c r="W15">
        <f t="shared" si="62"/>
        <v>248</v>
      </c>
      <c r="X15">
        <f t="shared" si="6"/>
        <v>67.602562355186038</v>
      </c>
      <c r="Y15">
        <f t="shared" si="7"/>
        <v>38.461538461538467</v>
      </c>
      <c r="Z15">
        <f t="shared" si="8"/>
        <v>1.7928098887619119</v>
      </c>
      <c r="AE15">
        <v>21</v>
      </c>
      <c r="AF15">
        <v>10</v>
      </c>
      <c r="AG15">
        <f t="shared" si="63"/>
        <v>355</v>
      </c>
      <c r="AH15">
        <f t="shared" si="9"/>
        <v>71.092420146190037</v>
      </c>
      <c r="AI15">
        <f t="shared" si="10"/>
        <v>35.714285714285715</v>
      </c>
      <c r="AJ15">
        <f t="shared" si="11"/>
        <v>1.4268549113847966</v>
      </c>
      <c r="AO15">
        <v>19</v>
      </c>
      <c r="AP15">
        <v>10</v>
      </c>
      <c r="AQ15">
        <f t="shared" si="64"/>
        <v>284</v>
      </c>
      <c r="AR15">
        <f t="shared" si="12"/>
        <v>64.862395797647594</v>
      </c>
      <c r="AS15">
        <f t="shared" si="13"/>
        <v>30.303030303030305</v>
      </c>
      <c r="AT15">
        <f t="shared" si="14"/>
        <v>1.2492170765552055</v>
      </c>
      <c r="AY15">
        <v>11</v>
      </c>
      <c r="AZ15">
        <v>10</v>
      </c>
      <c r="BA15">
        <f t="shared" si="65"/>
        <v>139</v>
      </c>
      <c r="BB15">
        <f t="shared" si="15"/>
        <v>61.915367483296215</v>
      </c>
      <c r="BC15">
        <f t="shared" si="16"/>
        <v>33.333333333333329</v>
      </c>
      <c r="BD15">
        <f t="shared" si="17"/>
        <v>1.5515961395694151</v>
      </c>
      <c r="BI15">
        <v>9</v>
      </c>
      <c r="BJ15">
        <v>10</v>
      </c>
      <c r="BK15">
        <f t="shared" si="66"/>
        <v>113</v>
      </c>
      <c r="BL15">
        <f t="shared" si="18"/>
        <v>56.128150999627465</v>
      </c>
      <c r="BM15">
        <f t="shared" si="19"/>
        <v>27.027027027027028</v>
      </c>
      <c r="BN15">
        <f t="shared" si="20"/>
        <v>1.1478012223076168</v>
      </c>
      <c r="BS15">
        <v>15</v>
      </c>
      <c r="BT15">
        <v>10</v>
      </c>
      <c r="BU15">
        <f t="shared" si="67"/>
        <v>235</v>
      </c>
      <c r="BV15">
        <f t="shared" si="21"/>
        <v>65.780265920223911</v>
      </c>
      <c r="BW15">
        <f t="shared" si="22"/>
        <v>26.315789473684209</v>
      </c>
      <c r="BX15">
        <f t="shared" si="23"/>
        <v>1.0496850944716574</v>
      </c>
      <c r="CC15">
        <v>6.5</v>
      </c>
      <c r="CD15">
        <v>10</v>
      </c>
      <c r="CE15">
        <f t="shared" si="68"/>
        <v>101.5</v>
      </c>
      <c r="CF15">
        <f t="shared" si="24"/>
        <v>69.047619047619051</v>
      </c>
      <c r="CG15">
        <f t="shared" si="25"/>
        <v>35.714285714285715</v>
      </c>
      <c r="CH15">
        <f t="shared" si="26"/>
        <v>1.5002429543245881</v>
      </c>
      <c r="CM15">
        <v>23</v>
      </c>
      <c r="CN15">
        <v>10</v>
      </c>
      <c r="CO15">
        <f t="shared" si="69"/>
        <v>366</v>
      </c>
      <c r="CP15">
        <f t="shared" si="27"/>
        <v>66.124661246612476</v>
      </c>
      <c r="CQ15">
        <f t="shared" si="28"/>
        <v>29.411764705882355</v>
      </c>
      <c r="CR15">
        <f t="shared" si="29"/>
        <v>1.1610606302141473</v>
      </c>
      <c r="CW15">
        <v>9</v>
      </c>
      <c r="CX15">
        <v>10</v>
      </c>
      <c r="CY15">
        <f t="shared" si="70"/>
        <v>186</v>
      </c>
      <c r="CZ15">
        <f t="shared" si="30"/>
        <v>74.444666800080057</v>
      </c>
      <c r="DA15">
        <f t="shared" si="31"/>
        <v>30.303030303030305</v>
      </c>
      <c r="DB15">
        <f t="shared" si="32"/>
        <v>1.0369858278603559</v>
      </c>
      <c r="DG15">
        <v>6</v>
      </c>
      <c r="DH15">
        <v>10</v>
      </c>
      <c r="DI15">
        <f t="shared" si="71"/>
        <v>93</v>
      </c>
      <c r="DJ15">
        <f t="shared" si="33"/>
        <v>63.786008230452687</v>
      </c>
      <c r="DK15">
        <f t="shared" si="34"/>
        <v>33.333333333333329</v>
      </c>
      <c r="DL15">
        <f t="shared" si="35"/>
        <v>1.3031550068587132</v>
      </c>
      <c r="DQ15">
        <v>5</v>
      </c>
      <c r="DR15">
        <v>10</v>
      </c>
      <c r="DS15">
        <f t="shared" si="72"/>
        <v>76.5</v>
      </c>
      <c r="DT15">
        <f t="shared" si="36"/>
        <v>55.839416058394164</v>
      </c>
      <c r="DU15">
        <f t="shared" si="37"/>
        <v>26.315789473684209</v>
      </c>
      <c r="DV15">
        <f t="shared" si="38"/>
        <v>0.91240875912408914</v>
      </c>
      <c r="EA15">
        <v>4</v>
      </c>
      <c r="EB15">
        <v>10</v>
      </c>
      <c r="EC15">
        <f t="shared" si="73"/>
        <v>72</v>
      </c>
      <c r="ED15">
        <f t="shared" si="39"/>
        <v>63.66047745358091</v>
      </c>
      <c r="EE15">
        <f t="shared" si="40"/>
        <v>35.714285714285715</v>
      </c>
      <c r="EF15">
        <f t="shared" si="41"/>
        <v>1.1999494758115485</v>
      </c>
      <c r="EK15">
        <v>5</v>
      </c>
      <c r="EL15">
        <v>10</v>
      </c>
      <c r="EM15">
        <f t="shared" si="74"/>
        <v>81</v>
      </c>
      <c r="EN15">
        <f t="shared" si="42"/>
        <v>59.690493736182759</v>
      </c>
      <c r="EO15">
        <f t="shared" si="43"/>
        <v>30.303030303030305</v>
      </c>
      <c r="EP15">
        <f t="shared" si="44"/>
        <v>1.060717715102387</v>
      </c>
      <c r="EU15">
        <v>3.5</v>
      </c>
      <c r="EV15">
        <v>10</v>
      </c>
      <c r="EW15">
        <f t="shared" si="75"/>
        <v>66.5</v>
      </c>
      <c r="EX15">
        <f t="shared" si="45"/>
        <v>66.566566566566578</v>
      </c>
      <c r="EY15">
        <f t="shared" si="46"/>
        <v>25.641025641025639</v>
      </c>
      <c r="EZ15">
        <f t="shared" si="47"/>
        <v>0.85341752008418637</v>
      </c>
      <c r="FE15">
        <v>4</v>
      </c>
      <c r="FF15">
        <v>10</v>
      </c>
      <c r="FG15">
        <f t="shared" si="76"/>
        <v>64</v>
      </c>
      <c r="FH15">
        <f t="shared" si="48"/>
        <v>57.528089887640455</v>
      </c>
      <c r="FI15">
        <f t="shared" si="49"/>
        <v>30.303030303030305</v>
      </c>
      <c r="FJ15">
        <f t="shared" si="50"/>
        <v>1.0350697991147455</v>
      </c>
      <c r="FO15">
        <v>8</v>
      </c>
      <c r="FP15">
        <v>10</v>
      </c>
      <c r="FQ15">
        <f t="shared" si="77"/>
        <v>115</v>
      </c>
      <c r="FR15">
        <f t="shared" si="51"/>
        <v>58.080808080808076</v>
      </c>
      <c r="FS15">
        <f t="shared" si="52"/>
        <v>26.315789473684209</v>
      </c>
      <c r="FT15">
        <f t="shared" si="53"/>
        <v>1.0101010101010086</v>
      </c>
      <c r="FY15">
        <v>4</v>
      </c>
      <c r="FZ15">
        <v>10</v>
      </c>
      <c r="GA15">
        <f t="shared" si="78"/>
        <v>55</v>
      </c>
      <c r="GB15">
        <f t="shared" si="54"/>
        <v>47.048759623609925</v>
      </c>
      <c r="GC15">
        <f t="shared" si="55"/>
        <v>24.390243902439025</v>
      </c>
      <c r="GD15">
        <f t="shared" si="56"/>
        <v>0.79283940829143018</v>
      </c>
      <c r="GI15">
        <v>4.5</v>
      </c>
      <c r="GJ15">
        <v>10</v>
      </c>
      <c r="GK15">
        <f t="shared" si="79"/>
        <v>69</v>
      </c>
      <c r="GL15">
        <f t="shared" si="57"/>
        <v>58.499364137346333</v>
      </c>
      <c r="GM15">
        <f t="shared" si="58"/>
        <v>29.411764705882355</v>
      </c>
      <c r="GN15">
        <f t="shared" si="59"/>
        <v>1.0660050370296486</v>
      </c>
    </row>
    <row r="16" spans="1:199" x14ac:dyDescent="0.2">
      <c r="A16">
        <v>6</v>
      </c>
      <c r="B16">
        <v>11</v>
      </c>
      <c r="C16">
        <f t="shared" si="60"/>
        <v>114.5</v>
      </c>
      <c r="D16">
        <f t="shared" si="0"/>
        <v>71.073867163252629</v>
      </c>
      <c r="E16">
        <f t="shared" si="1"/>
        <v>35.483870967741936</v>
      </c>
      <c r="F16">
        <f t="shared" si="2"/>
        <v>1.2614885564966647</v>
      </c>
      <c r="K16">
        <v>17</v>
      </c>
      <c r="L16">
        <v>11</v>
      </c>
      <c r="M16">
        <f t="shared" si="61"/>
        <v>309</v>
      </c>
      <c r="N16">
        <f t="shared" si="3"/>
        <v>67.489352407993891</v>
      </c>
      <c r="O16">
        <f t="shared" si="4"/>
        <v>28.947368421052634</v>
      </c>
      <c r="P16">
        <f t="shared" si="5"/>
        <v>1.0259623066621459</v>
      </c>
      <c r="U16">
        <v>15</v>
      </c>
      <c r="V16">
        <v>11</v>
      </c>
      <c r="W16">
        <f t="shared" si="62"/>
        <v>263</v>
      </c>
      <c r="X16">
        <f t="shared" si="6"/>
        <v>71.691427013765846</v>
      </c>
      <c r="Y16">
        <f t="shared" si="7"/>
        <v>42.307692307692307</v>
      </c>
      <c r="Z16">
        <f t="shared" si="8"/>
        <v>1.6512722659649228</v>
      </c>
      <c r="AE16">
        <v>20</v>
      </c>
      <c r="AF16">
        <v>11</v>
      </c>
      <c r="AG16">
        <f t="shared" si="63"/>
        <v>375</v>
      </c>
      <c r="AH16">
        <f t="shared" si="9"/>
        <v>75.097626914989476</v>
      </c>
      <c r="AI16">
        <f t="shared" si="10"/>
        <v>39.285714285714285</v>
      </c>
      <c r="AJ16">
        <f t="shared" si="11"/>
        <v>1.5019525382997898</v>
      </c>
      <c r="AO16">
        <v>18</v>
      </c>
      <c r="AP16">
        <v>11</v>
      </c>
      <c r="AQ16">
        <f t="shared" si="64"/>
        <v>302</v>
      </c>
      <c r="AR16">
        <f t="shared" si="12"/>
        <v>68.973392714399907</v>
      </c>
      <c r="AS16">
        <f t="shared" si="13"/>
        <v>33.333333333333329</v>
      </c>
      <c r="AT16">
        <f t="shared" si="14"/>
        <v>1.3080444735120997</v>
      </c>
      <c r="AY16">
        <v>11</v>
      </c>
      <c r="AZ16">
        <v>11</v>
      </c>
      <c r="BA16">
        <f t="shared" si="65"/>
        <v>150</v>
      </c>
      <c r="BB16">
        <f t="shared" si="15"/>
        <v>66.815144766147</v>
      </c>
      <c r="BC16">
        <f t="shared" si="16"/>
        <v>36.666666666666664</v>
      </c>
      <c r="BD16">
        <f t="shared" si="17"/>
        <v>1.7149220489977748</v>
      </c>
      <c r="BI16">
        <v>9</v>
      </c>
      <c r="BJ16">
        <v>11</v>
      </c>
      <c r="BK16">
        <f t="shared" si="66"/>
        <v>122</v>
      </c>
      <c r="BL16">
        <f t="shared" si="18"/>
        <v>60.598534707562401</v>
      </c>
      <c r="BM16">
        <f t="shared" si="19"/>
        <v>29.72972972972973</v>
      </c>
      <c r="BN16">
        <f t="shared" si="20"/>
        <v>1.2686224036031575</v>
      </c>
      <c r="BS16">
        <v>13</v>
      </c>
      <c r="BT16">
        <v>11</v>
      </c>
      <c r="BU16">
        <f t="shared" si="67"/>
        <v>248</v>
      </c>
      <c r="BV16">
        <f t="shared" si="21"/>
        <v>69.419174247725664</v>
      </c>
      <c r="BW16">
        <f t="shared" si="22"/>
        <v>28.947368421052634</v>
      </c>
      <c r="BX16">
        <f t="shared" si="23"/>
        <v>1.0054878273360106</v>
      </c>
      <c r="CC16">
        <v>6</v>
      </c>
      <c r="CD16">
        <v>11</v>
      </c>
      <c r="CE16">
        <f t="shared" si="68"/>
        <v>107.5</v>
      </c>
      <c r="CF16">
        <f t="shared" si="24"/>
        <v>73.129251700680271</v>
      </c>
      <c r="CG16">
        <f t="shared" si="25"/>
        <v>39.285714285714285</v>
      </c>
      <c r="CH16">
        <f t="shared" si="26"/>
        <v>1.5306122448979576</v>
      </c>
      <c r="CM16">
        <v>20</v>
      </c>
      <c r="CN16">
        <v>11</v>
      </c>
      <c r="CO16">
        <f t="shared" si="69"/>
        <v>386</v>
      </c>
      <c r="CP16">
        <f t="shared" si="27"/>
        <v>69.73803071364047</v>
      </c>
      <c r="CQ16">
        <f t="shared" si="28"/>
        <v>32.352941176470587</v>
      </c>
      <c r="CR16">
        <f t="shared" si="29"/>
        <v>1.1158935118762923</v>
      </c>
      <c r="CW16">
        <v>9</v>
      </c>
      <c r="CX16">
        <v>11</v>
      </c>
      <c r="CY16">
        <f t="shared" si="70"/>
        <v>195</v>
      </c>
      <c r="CZ16">
        <f t="shared" si="30"/>
        <v>78.046828096858107</v>
      </c>
      <c r="DA16">
        <f t="shared" si="31"/>
        <v>33.333333333333329</v>
      </c>
      <c r="DB16">
        <f t="shared" si="32"/>
        <v>1.1461422307930158</v>
      </c>
      <c r="DG16">
        <v>5.5</v>
      </c>
      <c r="DH16">
        <v>11</v>
      </c>
      <c r="DI16">
        <f t="shared" si="71"/>
        <v>98.5</v>
      </c>
      <c r="DJ16">
        <f t="shared" si="33"/>
        <v>67.558299039780536</v>
      </c>
      <c r="DK16">
        <f t="shared" si="34"/>
        <v>36.666666666666664</v>
      </c>
      <c r="DL16">
        <f t="shared" si="35"/>
        <v>1.3203017832647472</v>
      </c>
      <c r="DQ16">
        <v>4.5</v>
      </c>
      <c r="DR16">
        <v>11</v>
      </c>
      <c r="DS16">
        <f t="shared" si="72"/>
        <v>81</v>
      </c>
      <c r="DT16">
        <f t="shared" si="36"/>
        <v>59.12408759124088</v>
      </c>
      <c r="DU16">
        <f t="shared" si="37"/>
        <v>28.947368421052634</v>
      </c>
      <c r="DV16">
        <f t="shared" si="38"/>
        <v>0.90760660776027668</v>
      </c>
      <c r="EA16">
        <v>4</v>
      </c>
      <c r="EB16">
        <v>11</v>
      </c>
      <c r="EC16">
        <f t="shared" si="73"/>
        <v>76</v>
      </c>
      <c r="ED16">
        <f t="shared" si="39"/>
        <v>67.197170645446519</v>
      </c>
      <c r="EE16">
        <f t="shared" si="40"/>
        <v>39.285714285714285</v>
      </c>
      <c r="EF16">
        <f t="shared" si="41"/>
        <v>1.3262599469496035</v>
      </c>
      <c r="EK16">
        <v>5</v>
      </c>
      <c r="EL16">
        <v>11</v>
      </c>
      <c r="EM16">
        <f t="shared" si="74"/>
        <v>86</v>
      </c>
      <c r="EN16">
        <f t="shared" si="42"/>
        <v>63.375092114959472</v>
      </c>
      <c r="EO16">
        <f t="shared" si="43"/>
        <v>33.333333333333329</v>
      </c>
      <c r="EP16">
        <f t="shared" si="44"/>
        <v>1.1723722114289539</v>
      </c>
      <c r="EU16">
        <v>3.5</v>
      </c>
      <c r="EV16">
        <v>11</v>
      </c>
      <c r="EW16">
        <f t="shared" si="75"/>
        <v>70</v>
      </c>
      <c r="EX16">
        <f t="shared" si="45"/>
        <v>70.070070070070074</v>
      </c>
      <c r="EY16">
        <f t="shared" si="46"/>
        <v>28.205128205128204</v>
      </c>
      <c r="EZ16">
        <f t="shared" si="47"/>
        <v>0.94325094325094083</v>
      </c>
      <c r="FE16">
        <v>4</v>
      </c>
      <c r="FF16">
        <v>11</v>
      </c>
      <c r="FG16">
        <f t="shared" si="76"/>
        <v>68</v>
      </c>
      <c r="FH16">
        <f t="shared" si="48"/>
        <v>61.123595505617978</v>
      </c>
      <c r="FI16">
        <f t="shared" si="49"/>
        <v>33.333333333333329</v>
      </c>
      <c r="FJ16">
        <f t="shared" si="50"/>
        <v>1.14402451481103</v>
      </c>
      <c r="FO16">
        <v>7.5</v>
      </c>
      <c r="FP16">
        <v>11</v>
      </c>
      <c r="FQ16">
        <f t="shared" si="77"/>
        <v>122.5</v>
      </c>
      <c r="FR16">
        <f t="shared" si="51"/>
        <v>61.868686868686872</v>
      </c>
      <c r="FS16">
        <f t="shared" si="52"/>
        <v>28.947368421052634</v>
      </c>
      <c r="FT16">
        <f t="shared" si="53"/>
        <v>1.0466507177033515</v>
      </c>
      <c r="FY16">
        <v>4</v>
      </c>
      <c r="FZ16">
        <v>11</v>
      </c>
      <c r="GA16">
        <f t="shared" si="78"/>
        <v>59</v>
      </c>
      <c r="GB16">
        <f t="shared" si="54"/>
        <v>50.470487596236104</v>
      </c>
      <c r="GC16">
        <f t="shared" si="55"/>
        <v>26.829268292682929</v>
      </c>
      <c r="GD16">
        <f t="shared" si="56"/>
        <v>0.8762961881115825</v>
      </c>
      <c r="GI16">
        <v>4.5</v>
      </c>
      <c r="GJ16">
        <v>11</v>
      </c>
      <c r="GK16">
        <f t="shared" si="79"/>
        <v>73.5</v>
      </c>
      <c r="GL16">
        <f t="shared" si="57"/>
        <v>62.314540059347181</v>
      </c>
      <c r="GM16">
        <f t="shared" si="58"/>
        <v>32.352941176470587</v>
      </c>
      <c r="GN16">
        <f t="shared" si="59"/>
        <v>1.1782160935590853</v>
      </c>
    </row>
    <row r="17" spans="1:196" x14ac:dyDescent="0.2">
      <c r="A17">
        <v>6</v>
      </c>
      <c r="B17">
        <v>12</v>
      </c>
      <c r="C17">
        <f t="shared" si="60"/>
        <v>120.5</v>
      </c>
      <c r="D17">
        <f t="shared" si="0"/>
        <v>74.798261949099938</v>
      </c>
      <c r="E17">
        <f t="shared" si="1"/>
        <v>38.70967741935484</v>
      </c>
      <c r="F17">
        <f t="shared" si="2"/>
        <v>1.3816303237820662</v>
      </c>
      <c r="K17">
        <v>15</v>
      </c>
      <c r="L17">
        <v>12</v>
      </c>
      <c r="M17">
        <f t="shared" si="61"/>
        <v>324</v>
      </c>
      <c r="N17">
        <f t="shared" si="3"/>
        <v>70.765534563721744</v>
      </c>
      <c r="O17">
        <f t="shared" si="4"/>
        <v>31.578947368421051</v>
      </c>
      <c r="P17">
        <f t="shared" si="5"/>
        <v>0.99147617870711313</v>
      </c>
      <c r="U17">
        <v>14</v>
      </c>
      <c r="V17">
        <v>12</v>
      </c>
      <c r="W17">
        <f t="shared" si="62"/>
        <v>277</v>
      </c>
      <c r="X17">
        <f t="shared" si="6"/>
        <v>75.507700695106976</v>
      </c>
      <c r="Y17">
        <f t="shared" si="7"/>
        <v>46.153846153846153</v>
      </c>
      <c r="Z17">
        <f t="shared" si="8"/>
        <v>1.6879672052085766</v>
      </c>
      <c r="AE17">
        <v>20</v>
      </c>
      <c r="AF17">
        <v>12</v>
      </c>
      <c r="AG17">
        <f t="shared" si="63"/>
        <v>395</v>
      </c>
      <c r="AH17">
        <f t="shared" si="9"/>
        <v>79.102833683788916</v>
      </c>
      <c r="AI17">
        <f t="shared" si="10"/>
        <v>42.857142857142854</v>
      </c>
      <c r="AJ17">
        <f t="shared" si="11"/>
        <v>1.6449956371854839</v>
      </c>
      <c r="AO17">
        <v>18</v>
      </c>
      <c r="AP17">
        <v>12</v>
      </c>
      <c r="AQ17">
        <f t="shared" si="64"/>
        <v>320</v>
      </c>
      <c r="AR17">
        <f t="shared" si="12"/>
        <v>73.08438963115222</v>
      </c>
      <c r="AS17">
        <f t="shared" si="13"/>
        <v>36.363636363636367</v>
      </c>
      <c r="AT17">
        <f t="shared" si="14"/>
        <v>1.432620137656109</v>
      </c>
      <c r="AY17">
        <v>11</v>
      </c>
      <c r="AZ17">
        <v>12</v>
      </c>
      <c r="BA17">
        <f t="shared" si="65"/>
        <v>161</v>
      </c>
      <c r="BB17">
        <f t="shared" si="15"/>
        <v>71.714922048997778</v>
      </c>
      <c r="BC17">
        <f t="shared" si="16"/>
        <v>40</v>
      </c>
      <c r="BD17">
        <f t="shared" si="17"/>
        <v>1.8782479584261313</v>
      </c>
      <c r="BI17">
        <v>9</v>
      </c>
      <c r="BJ17">
        <v>12</v>
      </c>
      <c r="BK17">
        <f t="shared" si="66"/>
        <v>131</v>
      </c>
      <c r="BL17">
        <f t="shared" si="18"/>
        <v>65.068918415497336</v>
      </c>
      <c r="BM17">
        <f t="shared" si="19"/>
        <v>32.432432432432435</v>
      </c>
      <c r="BN17">
        <f t="shared" si="20"/>
        <v>1.3894435848986961</v>
      </c>
      <c r="BS17">
        <v>12</v>
      </c>
      <c r="BT17">
        <v>12</v>
      </c>
      <c r="BU17">
        <f t="shared" si="67"/>
        <v>260</v>
      </c>
      <c r="BV17">
        <f t="shared" si="21"/>
        <v>72.778166550034967</v>
      </c>
      <c r="BW17">
        <f t="shared" si="22"/>
        <v>31.578947368421051</v>
      </c>
      <c r="BX17">
        <f t="shared" si="23"/>
        <v>1.0165371441199209</v>
      </c>
      <c r="CC17">
        <v>5</v>
      </c>
      <c r="CD17">
        <v>12</v>
      </c>
      <c r="CE17">
        <f t="shared" si="68"/>
        <v>112.5</v>
      </c>
      <c r="CF17">
        <f t="shared" si="24"/>
        <v>76.530612244897952</v>
      </c>
      <c r="CG17">
        <f t="shared" si="25"/>
        <v>42.857142857142854</v>
      </c>
      <c r="CH17">
        <f t="shared" si="26"/>
        <v>1.3969873663751189</v>
      </c>
      <c r="CM17">
        <v>17</v>
      </c>
      <c r="CN17">
        <v>12</v>
      </c>
      <c r="CO17">
        <f t="shared" si="69"/>
        <v>403</v>
      </c>
      <c r="CP17">
        <f t="shared" si="27"/>
        <v>72.809394760614282</v>
      </c>
      <c r="CQ17">
        <f t="shared" si="28"/>
        <v>35.294117647058826</v>
      </c>
      <c r="CR17">
        <f t="shared" si="29"/>
        <v>1.0388437217705542</v>
      </c>
      <c r="CW17">
        <v>6</v>
      </c>
      <c r="CX17">
        <v>12</v>
      </c>
      <c r="CY17">
        <f t="shared" si="70"/>
        <v>201</v>
      </c>
      <c r="CZ17">
        <f t="shared" si="30"/>
        <v>80.448268961376826</v>
      </c>
      <c r="DA17">
        <f t="shared" si="31"/>
        <v>36.363636363636367</v>
      </c>
      <c r="DB17">
        <f t="shared" si="32"/>
        <v>0.83686575581712919</v>
      </c>
      <c r="DG17">
        <v>5.5</v>
      </c>
      <c r="DH17">
        <v>12</v>
      </c>
      <c r="DI17">
        <f t="shared" si="71"/>
        <v>104</v>
      </c>
      <c r="DJ17">
        <f t="shared" si="33"/>
        <v>71.330589849108378</v>
      </c>
      <c r="DK17">
        <f t="shared" si="34"/>
        <v>40</v>
      </c>
      <c r="DL17">
        <f t="shared" si="35"/>
        <v>1.4460448102423393</v>
      </c>
      <c r="DQ17">
        <v>4.5</v>
      </c>
      <c r="DR17">
        <v>12</v>
      </c>
      <c r="DS17">
        <f t="shared" si="72"/>
        <v>85.5</v>
      </c>
      <c r="DT17">
        <f t="shared" si="36"/>
        <v>62.408759124087588</v>
      </c>
      <c r="DU17">
        <f t="shared" si="37"/>
        <v>31.578947368421051</v>
      </c>
      <c r="DV17">
        <f t="shared" si="38"/>
        <v>0.99404533230887226</v>
      </c>
      <c r="EA17">
        <v>4</v>
      </c>
      <c r="EB17">
        <v>12</v>
      </c>
      <c r="EC17">
        <f t="shared" si="73"/>
        <v>80</v>
      </c>
      <c r="ED17">
        <f t="shared" si="39"/>
        <v>70.733863837312114</v>
      </c>
      <c r="EE17">
        <f t="shared" si="40"/>
        <v>42.857142857142854</v>
      </c>
      <c r="EF17">
        <f t="shared" si="41"/>
        <v>1.4525704180876551</v>
      </c>
      <c r="EK17">
        <v>5</v>
      </c>
      <c r="EL17">
        <v>12</v>
      </c>
      <c r="EM17">
        <f t="shared" si="74"/>
        <v>91</v>
      </c>
      <c r="EN17">
        <f t="shared" si="42"/>
        <v>67.059690493736184</v>
      </c>
      <c r="EO17">
        <f t="shared" si="43"/>
        <v>36.363636363636367</v>
      </c>
      <c r="EP17">
        <f t="shared" si="44"/>
        <v>1.2840267077555207</v>
      </c>
      <c r="EU17">
        <v>3</v>
      </c>
      <c r="EV17">
        <v>12</v>
      </c>
      <c r="EW17">
        <f t="shared" si="75"/>
        <v>73</v>
      </c>
      <c r="EX17">
        <f t="shared" si="45"/>
        <v>73.073073073073076</v>
      </c>
      <c r="EY17">
        <f t="shared" si="46"/>
        <v>30.76923076923077</v>
      </c>
      <c r="EZ17">
        <f t="shared" si="47"/>
        <v>0.88550088550088513</v>
      </c>
      <c r="FE17">
        <v>3.5</v>
      </c>
      <c r="FF17">
        <v>12</v>
      </c>
      <c r="FG17">
        <f t="shared" si="76"/>
        <v>71.5</v>
      </c>
      <c r="FH17">
        <f t="shared" si="48"/>
        <v>64.269662921348313</v>
      </c>
      <c r="FI17">
        <f t="shared" si="49"/>
        <v>36.363636363636367</v>
      </c>
      <c r="FJ17">
        <f t="shared" si="50"/>
        <v>1.0963568266939048</v>
      </c>
      <c r="FO17">
        <v>7.5</v>
      </c>
      <c r="FP17">
        <v>12</v>
      </c>
      <c r="FQ17">
        <f t="shared" si="77"/>
        <v>130</v>
      </c>
      <c r="FR17">
        <f t="shared" si="51"/>
        <v>65.656565656565661</v>
      </c>
      <c r="FS17">
        <f t="shared" si="52"/>
        <v>31.578947368421051</v>
      </c>
      <c r="FT17">
        <f t="shared" si="53"/>
        <v>1.146331738437002</v>
      </c>
      <c r="FY17">
        <v>4</v>
      </c>
      <c r="FZ17">
        <v>12</v>
      </c>
      <c r="GA17">
        <f t="shared" si="78"/>
        <v>63</v>
      </c>
      <c r="GB17">
        <f t="shared" si="54"/>
        <v>53.892215568862277</v>
      </c>
      <c r="GC17">
        <f t="shared" si="55"/>
        <v>29.268292682926827</v>
      </c>
      <c r="GD17">
        <f t="shared" si="56"/>
        <v>0.95975296793173115</v>
      </c>
      <c r="GI17">
        <v>4</v>
      </c>
      <c r="GJ17">
        <v>12</v>
      </c>
      <c r="GK17">
        <f t="shared" si="79"/>
        <v>77.5</v>
      </c>
      <c r="GL17">
        <f t="shared" si="57"/>
        <v>65.705807545570167</v>
      </c>
      <c r="GM17">
        <f t="shared" si="58"/>
        <v>35.294117647058826</v>
      </c>
      <c r="GN17">
        <f t="shared" si="59"/>
        <v>1.1470463556342454</v>
      </c>
    </row>
    <row r="18" spans="1:196" x14ac:dyDescent="0.2">
      <c r="A18">
        <v>5</v>
      </c>
      <c r="B18">
        <v>13</v>
      </c>
      <c r="C18">
        <f t="shared" si="60"/>
        <v>125.5</v>
      </c>
      <c r="D18">
        <f t="shared" si="0"/>
        <v>77.901924270639356</v>
      </c>
      <c r="E18">
        <f t="shared" si="1"/>
        <v>41.935483870967744</v>
      </c>
      <c r="F18">
        <f t="shared" si="2"/>
        <v>1.2514767425562168</v>
      </c>
      <c r="K18">
        <v>13</v>
      </c>
      <c r="L18">
        <v>13</v>
      </c>
      <c r="M18">
        <f t="shared" si="61"/>
        <v>337</v>
      </c>
      <c r="N18">
        <f t="shared" si="3"/>
        <v>73.604892432019227</v>
      </c>
      <c r="O18">
        <f t="shared" si="4"/>
        <v>34.210526315789473</v>
      </c>
      <c r="P18">
        <f t="shared" si="5"/>
        <v>0.93399929878206678</v>
      </c>
      <c r="U18">
        <v>13</v>
      </c>
      <c r="V18">
        <v>13</v>
      </c>
      <c r="W18">
        <f t="shared" si="62"/>
        <v>290</v>
      </c>
      <c r="X18">
        <f t="shared" si="6"/>
        <v>79.051383399209485</v>
      </c>
      <c r="Y18">
        <f t="shared" si="7"/>
        <v>50</v>
      </c>
      <c r="Z18">
        <f t="shared" si="8"/>
        <v>1.7036936077415907</v>
      </c>
      <c r="AE18">
        <v>17</v>
      </c>
      <c r="AF18">
        <v>13</v>
      </c>
      <c r="AG18">
        <f t="shared" si="63"/>
        <v>412</v>
      </c>
      <c r="AH18">
        <f t="shared" si="9"/>
        <v>82.507259437268445</v>
      </c>
      <c r="AI18">
        <f t="shared" si="10"/>
        <v>46.428571428571431</v>
      </c>
      <c r="AJ18">
        <f t="shared" si="11"/>
        <v>1.5198329256605041</v>
      </c>
      <c r="AO18">
        <v>15</v>
      </c>
      <c r="AP18">
        <v>13</v>
      </c>
      <c r="AQ18">
        <f t="shared" si="64"/>
        <v>335</v>
      </c>
      <c r="AR18">
        <f t="shared" si="12"/>
        <v>76.510220395112484</v>
      </c>
      <c r="AS18">
        <f t="shared" si="13"/>
        <v>39.393939393939391</v>
      </c>
      <c r="AT18">
        <f t="shared" si="14"/>
        <v>1.2976631681667663</v>
      </c>
      <c r="AY18">
        <v>10</v>
      </c>
      <c r="AZ18">
        <v>13</v>
      </c>
      <c r="BA18">
        <f t="shared" si="65"/>
        <v>171</v>
      </c>
      <c r="BB18">
        <f t="shared" si="15"/>
        <v>76.169265033407569</v>
      </c>
      <c r="BC18">
        <f t="shared" si="16"/>
        <v>43.333333333333336</v>
      </c>
      <c r="BD18">
        <f t="shared" si="17"/>
        <v>1.8559762435040801</v>
      </c>
      <c r="BI18">
        <v>8</v>
      </c>
      <c r="BJ18">
        <v>13</v>
      </c>
      <c r="BK18">
        <f t="shared" si="66"/>
        <v>139</v>
      </c>
      <c r="BL18">
        <f t="shared" si="18"/>
        <v>69.042592822550603</v>
      </c>
      <c r="BM18">
        <f t="shared" si="19"/>
        <v>35.135135135135137</v>
      </c>
      <c r="BN18">
        <f t="shared" si="20"/>
        <v>1.3424575699504282</v>
      </c>
      <c r="BS18">
        <v>12</v>
      </c>
      <c r="BT18">
        <v>13</v>
      </c>
      <c r="BU18">
        <f t="shared" si="67"/>
        <v>272</v>
      </c>
      <c r="BV18">
        <f t="shared" si="21"/>
        <v>76.137158852344271</v>
      </c>
      <c r="BW18">
        <f t="shared" si="22"/>
        <v>34.210526315789473</v>
      </c>
      <c r="BX18">
        <f t="shared" si="23"/>
        <v>1.1049316783912182</v>
      </c>
      <c r="CC18">
        <v>5</v>
      </c>
      <c r="CD18">
        <v>13</v>
      </c>
      <c r="CE18">
        <f t="shared" si="68"/>
        <v>117.5</v>
      </c>
      <c r="CF18">
        <f t="shared" si="24"/>
        <v>79.931972789115648</v>
      </c>
      <c r="CG18">
        <f t="shared" si="25"/>
        <v>46.428571428571431</v>
      </c>
      <c r="CH18">
        <f t="shared" si="26"/>
        <v>1.5184645286686136</v>
      </c>
      <c r="CM18">
        <v>16</v>
      </c>
      <c r="CN18">
        <v>13</v>
      </c>
      <c r="CO18">
        <f t="shared" si="69"/>
        <v>419</v>
      </c>
      <c r="CP18">
        <f t="shared" si="27"/>
        <v>75.700090334236677</v>
      </c>
      <c r="CQ18">
        <f t="shared" si="28"/>
        <v>38.235294117647058</v>
      </c>
      <c r="CR18">
        <f t="shared" si="29"/>
        <v>1.0627557255964688</v>
      </c>
      <c r="CW18">
        <v>6</v>
      </c>
      <c r="CX18">
        <v>13</v>
      </c>
      <c r="CY18">
        <f t="shared" si="70"/>
        <v>207</v>
      </c>
      <c r="CZ18">
        <f t="shared" si="30"/>
        <v>82.84970982589553</v>
      </c>
      <c r="DA18">
        <f t="shared" si="31"/>
        <v>39.393939393939391</v>
      </c>
      <c r="DB18">
        <f t="shared" si="32"/>
        <v>0.90963669110556988</v>
      </c>
      <c r="DG18">
        <v>5</v>
      </c>
      <c r="DH18">
        <v>13</v>
      </c>
      <c r="DI18">
        <f t="shared" si="71"/>
        <v>109</v>
      </c>
      <c r="DJ18">
        <f t="shared" si="33"/>
        <v>74.759945130315515</v>
      </c>
      <c r="DK18">
        <f t="shared" si="34"/>
        <v>43.333333333333336</v>
      </c>
      <c r="DL18">
        <f t="shared" si="35"/>
        <v>1.4288980338363073</v>
      </c>
      <c r="DQ18">
        <v>4</v>
      </c>
      <c r="DR18">
        <v>13</v>
      </c>
      <c r="DS18">
        <f t="shared" si="72"/>
        <v>89.5</v>
      </c>
      <c r="DT18">
        <f t="shared" si="36"/>
        <v>65.328467153284677</v>
      </c>
      <c r="DU18">
        <f t="shared" si="37"/>
        <v>34.210526315789473</v>
      </c>
      <c r="DV18">
        <f t="shared" si="38"/>
        <v>0.96043027276220028</v>
      </c>
      <c r="EA18">
        <v>3</v>
      </c>
      <c r="EB18">
        <v>13</v>
      </c>
      <c r="EC18">
        <f t="shared" si="73"/>
        <v>83</v>
      </c>
      <c r="ED18">
        <f t="shared" si="39"/>
        <v>73.386383731211325</v>
      </c>
      <c r="EE18">
        <f t="shared" si="40"/>
        <v>46.428571428571431</v>
      </c>
      <c r="EF18">
        <f t="shared" si="41"/>
        <v>1.1841606669192903</v>
      </c>
      <c r="EK18">
        <v>4</v>
      </c>
      <c r="EL18">
        <v>13</v>
      </c>
      <c r="EM18">
        <f t="shared" si="74"/>
        <v>95</v>
      </c>
      <c r="EN18">
        <f t="shared" si="42"/>
        <v>70.007369196757566</v>
      </c>
      <c r="EO18">
        <f t="shared" si="43"/>
        <v>39.393939393939391</v>
      </c>
      <c r="EP18">
        <f t="shared" si="44"/>
        <v>1.1165449632656748</v>
      </c>
      <c r="EU18">
        <v>2</v>
      </c>
      <c r="EV18">
        <v>13</v>
      </c>
      <c r="EW18">
        <f t="shared" si="75"/>
        <v>75</v>
      </c>
      <c r="EX18">
        <f t="shared" si="45"/>
        <v>75.075075075075077</v>
      </c>
      <c r="EY18">
        <f t="shared" si="46"/>
        <v>33.333333333333329</v>
      </c>
      <c r="EZ18">
        <f t="shared" si="47"/>
        <v>0.64166730833397478</v>
      </c>
      <c r="FE18">
        <v>3</v>
      </c>
      <c r="FF18">
        <v>13</v>
      </c>
      <c r="FG18">
        <f t="shared" si="76"/>
        <v>74.5</v>
      </c>
      <c r="FH18">
        <f t="shared" si="48"/>
        <v>66.966292134831463</v>
      </c>
      <c r="FI18">
        <f t="shared" si="49"/>
        <v>39.393939393939391</v>
      </c>
      <c r="FJ18">
        <f t="shared" si="50"/>
        <v>1.0214504596527079</v>
      </c>
      <c r="FO18">
        <v>7.5</v>
      </c>
      <c r="FP18">
        <v>13</v>
      </c>
      <c r="FQ18">
        <f t="shared" si="77"/>
        <v>137.5</v>
      </c>
      <c r="FR18">
        <f t="shared" si="51"/>
        <v>69.444444444444443</v>
      </c>
      <c r="FS18">
        <f t="shared" si="52"/>
        <v>34.210526315789473</v>
      </c>
      <c r="FT18">
        <f t="shared" si="53"/>
        <v>1.2460127591706518</v>
      </c>
      <c r="FY18">
        <v>4</v>
      </c>
      <c r="FZ18">
        <v>13</v>
      </c>
      <c r="GA18">
        <f t="shared" si="78"/>
        <v>67</v>
      </c>
      <c r="GB18">
        <f t="shared" si="54"/>
        <v>57.313943541488456</v>
      </c>
      <c r="GC18">
        <f t="shared" si="55"/>
        <v>31.707317073170731</v>
      </c>
      <c r="GD18">
        <f t="shared" si="56"/>
        <v>1.0432097477518838</v>
      </c>
      <c r="GI18">
        <v>4</v>
      </c>
      <c r="GJ18">
        <v>13</v>
      </c>
      <c r="GK18">
        <f t="shared" si="79"/>
        <v>81.5</v>
      </c>
      <c r="GL18">
        <f t="shared" si="57"/>
        <v>69.097075031793125</v>
      </c>
      <c r="GM18">
        <f t="shared" si="58"/>
        <v>38.235294117647058</v>
      </c>
      <c r="GN18">
        <f t="shared" si="59"/>
        <v>1.2467895169937346</v>
      </c>
    </row>
    <row r="19" spans="1:196" x14ac:dyDescent="0.2">
      <c r="A19">
        <v>5</v>
      </c>
      <c r="B19">
        <v>14</v>
      </c>
      <c r="C19">
        <f t="shared" si="60"/>
        <v>130.5</v>
      </c>
      <c r="D19">
        <f t="shared" si="0"/>
        <v>81.005586592178773</v>
      </c>
      <c r="E19">
        <f t="shared" si="1"/>
        <v>45.161290322580641</v>
      </c>
      <c r="F19">
        <f t="shared" si="2"/>
        <v>1.3515948819607138</v>
      </c>
      <c r="K19">
        <v>13</v>
      </c>
      <c r="L19">
        <v>14</v>
      </c>
      <c r="M19">
        <f t="shared" si="61"/>
        <v>350</v>
      </c>
      <c r="N19">
        <f t="shared" si="3"/>
        <v>76.444250300316696</v>
      </c>
      <c r="O19">
        <f t="shared" si="4"/>
        <v>36.84210526315789</v>
      </c>
      <c r="P19">
        <f t="shared" si="5"/>
        <v>1.0087192426846272</v>
      </c>
      <c r="U19">
        <v>10</v>
      </c>
      <c r="V19">
        <v>14</v>
      </c>
      <c r="W19">
        <f t="shared" si="62"/>
        <v>300</v>
      </c>
      <c r="X19">
        <f t="shared" si="6"/>
        <v>81.777293171596014</v>
      </c>
      <c r="Y19">
        <f t="shared" si="7"/>
        <v>53.846153846153847</v>
      </c>
      <c r="Z19">
        <f t="shared" si="8"/>
        <v>1.4153762279699287</v>
      </c>
      <c r="AE19">
        <v>16</v>
      </c>
      <c r="AF19">
        <v>14</v>
      </c>
      <c r="AG19">
        <f t="shared" si="63"/>
        <v>428</v>
      </c>
      <c r="AH19">
        <f t="shared" si="9"/>
        <v>85.711424852307999</v>
      </c>
      <c r="AI19">
        <f t="shared" si="10"/>
        <v>50</v>
      </c>
      <c r="AJ19">
        <f t="shared" si="11"/>
        <v>1.5448654679654996</v>
      </c>
      <c r="AO19">
        <v>15</v>
      </c>
      <c r="AP19">
        <v>14</v>
      </c>
      <c r="AQ19">
        <f t="shared" si="64"/>
        <v>350</v>
      </c>
      <c r="AR19">
        <f t="shared" si="12"/>
        <v>79.936051159072747</v>
      </c>
      <c r="AS19">
        <f t="shared" si="13"/>
        <v>42.424242424242422</v>
      </c>
      <c r="AT19">
        <f t="shared" si="14"/>
        <v>1.4014762216201078</v>
      </c>
      <c r="AY19">
        <v>7.5</v>
      </c>
      <c r="AZ19">
        <v>14</v>
      </c>
      <c r="BA19">
        <f t="shared" si="65"/>
        <v>178.5</v>
      </c>
      <c r="BB19">
        <f t="shared" si="15"/>
        <v>79.510022271714917</v>
      </c>
      <c r="BC19">
        <f t="shared" si="16"/>
        <v>46.666666666666664</v>
      </c>
      <c r="BD19">
        <f t="shared" si="17"/>
        <v>1.5033407572383062</v>
      </c>
      <c r="BI19">
        <v>7.5</v>
      </c>
      <c r="BJ19">
        <v>14</v>
      </c>
      <c r="BK19">
        <f t="shared" si="66"/>
        <v>146.5</v>
      </c>
      <c r="BL19">
        <f t="shared" si="18"/>
        <v>72.767912579163053</v>
      </c>
      <c r="BM19">
        <f t="shared" si="19"/>
        <v>37.837837837837839</v>
      </c>
      <c r="BN19">
        <f t="shared" si="20"/>
        <v>1.3592382895748127</v>
      </c>
      <c r="BS19">
        <v>12</v>
      </c>
      <c r="BT19">
        <v>14</v>
      </c>
      <c r="BU19">
        <f t="shared" si="67"/>
        <v>284</v>
      </c>
      <c r="BV19">
        <f t="shared" si="21"/>
        <v>79.496151154653589</v>
      </c>
      <c r="BW19">
        <f t="shared" si="22"/>
        <v>36.84210526315789</v>
      </c>
      <c r="BX19">
        <f t="shared" si="23"/>
        <v>1.1933262126625208</v>
      </c>
      <c r="CC19">
        <v>4.5</v>
      </c>
      <c r="CD19">
        <v>14</v>
      </c>
      <c r="CE19">
        <f t="shared" si="68"/>
        <v>122</v>
      </c>
      <c r="CF19">
        <f t="shared" si="24"/>
        <v>82.993197278911566</v>
      </c>
      <c r="CG19">
        <f t="shared" si="25"/>
        <v>50</v>
      </c>
      <c r="CH19">
        <f t="shared" si="26"/>
        <v>1.4759475218658895</v>
      </c>
      <c r="CM19">
        <v>15</v>
      </c>
      <c r="CN19">
        <v>14</v>
      </c>
      <c r="CO19">
        <f t="shared" si="69"/>
        <v>434</v>
      </c>
      <c r="CP19">
        <f t="shared" si="27"/>
        <v>78.410117434507669</v>
      </c>
      <c r="CQ19">
        <f t="shared" si="28"/>
        <v>41.17647058823529</v>
      </c>
      <c r="CR19">
        <f t="shared" si="29"/>
        <v>1.076040172166423</v>
      </c>
      <c r="CW19">
        <v>6</v>
      </c>
      <c r="CX19">
        <v>14</v>
      </c>
      <c r="CY19">
        <f t="shared" si="70"/>
        <v>213</v>
      </c>
      <c r="CZ19">
        <f t="shared" si="30"/>
        <v>85.251150690414249</v>
      </c>
      <c r="DA19">
        <f t="shared" si="31"/>
        <v>42.424242424242422</v>
      </c>
      <c r="DB19">
        <f t="shared" si="32"/>
        <v>0.98240762639402135</v>
      </c>
      <c r="DG19">
        <v>5</v>
      </c>
      <c r="DH19">
        <v>14</v>
      </c>
      <c r="DI19">
        <f t="shared" si="71"/>
        <v>114</v>
      </c>
      <c r="DJ19">
        <f t="shared" si="33"/>
        <v>78.189300411522638</v>
      </c>
      <c r="DK19">
        <f t="shared" si="34"/>
        <v>46.666666666666664</v>
      </c>
      <c r="DL19">
        <f t="shared" si="35"/>
        <v>1.543209876543205</v>
      </c>
      <c r="DQ19">
        <v>4</v>
      </c>
      <c r="DR19">
        <v>14</v>
      </c>
      <c r="DS19">
        <f t="shared" si="72"/>
        <v>93.5</v>
      </c>
      <c r="DT19">
        <f t="shared" si="36"/>
        <v>68.248175182481745</v>
      </c>
      <c r="DU19">
        <f t="shared" si="37"/>
        <v>36.84210526315789</v>
      </c>
      <c r="DV19">
        <f t="shared" si="38"/>
        <v>1.0372646945831689</v>
      </c>
      <c r="EA19">
        <v>3</v>
      </c>
      <c r="EB19">
        <v>14</v>
      </c>
      <c r="EC19">
        <f t="shared" si="73"/>
        <v>86</v>
      </c>
      <c r="ED19">
        <f t="shared" si="39"/>
        <v>76.038903625110521</v>
      </c>
      <c r="EE19">
        <f t="shared" si="40"/>
        <v>50</v>
      </c>
      <c r="EF19">
        <f t="shared" si="41"/>
        <v>1.2788935202728269</v>
      </c>
      <c r="EK19">
        <v>4</v>
      </c>
      <c r="EL19">
        <v>14</v>
      </c>
      <c r="EM19">
        <f t="shared" si="74"/>
        <v>99</v>
      </c>
      <c r="EN19">
        <f t="shared" si="42"/>
        <v>72.955047899778933</v>
      </c>
      <c r="EO19">
        <f t="shared" si="43"/>
        <v>42.424242424242422</v>
      </c>
      <c r="EP19">
        <f t="shared" si="44"/>
        <v>1.2058685603269228</v>
      </c>
      <c r="EU19">
        <v>2</v>
      </c>
      <c r="EV19">
        <v>14</v>
      </c>
      <c r="EW19">
        <f t="shared" si="75"/>
        <v>77</v>
      </c>
      <c r="EX19">
        <f t="shared" si="45"/>
        <v>77.077077077077078</v>
      </c>
      <c r="EY19">
        <f t="shared" si="46"/>
        <v>35.897435897435898</v>
      </c>
      <c r="EZ19">
        <f t="shared" si="47"/>
        <v>0.69300069300069267</v>
      </c>
      <c r="FE19">
        <v>3</v>
      </c>
      <c r="FF19">
        <v>14</v>
      </c>
      <c r="FG19">
        <f t="shared" si="76"/>
        <v>77.5</v>
      </c>
      <c r="FH19">
        <f t="shared" si="48"/>
        <v>69.662921348314612</v>
      </c>
      <c r="FI19">
        <f t="shared" si="49"/>
        <v>42.424242424242422</v>
      </c>
      <c r="FJ19">
        <f t="shared" si="50"/>
        <v>1.1031664964249246</v>
      </c>
      <c r="FO19">
        <v>7</v>
      </c>
      <c r="FP19">
        <v>14</v>
      </c>
      <c r="FQ19">
        <f t="shared" si="77"/>
        <v>144.5</v>
      </c>
      <c r="FR19">
        <f t="shared" si="51"/>
        <v>72.979797979797979</v>
      </c>
      <c r="FS19">
        <f t="shared" si="52"/>
        <v>36.84210526315789</v>
      </c>
      <c r="FT19">
        <f t="shared" si="53"/>
        <v>1.2559808612440195</v>
      </c>
      <c r="FY19">
        <v>3.5</v>
      </c>
      <c r="FZ19">
        <v>14</v>
      </c>
      <c r="GA19">
        <f t="shared" si="78"/>
        <v>70.5</v>
      </c>
      <c r="GB19">
        <f t="shared" si="54"/>
        <v>60.307955517536357</v>
      </c>
      <c r="GC19">
        <f t="shared" si="55"/>
        <v>34.146341463414636</v>
      </c>
      <c r="GD19">
        <f t="shared" si="56"/>
        <v>0.98583321162552839</v>
      </c>
      <c r="GI19">
        <v>4</v>
      </c>
      <c r="GJ19">
        <v>14</v>
      </c>
      <c r="GK19">
        <f t="shared" si="79"/>
        <v>85.5</v>
      </c>
      <c r="GL19">
        <f t="shared" si="57"/>
        <v>72.488342518016097</v>
      </c>
      <c r="GM19">
        <f t="shared" si="58"/>
        <v>41.17647058823529</v>
      </c>
      <c r="GN19">
        <f t="shared" si="59"/>
        <v>1.3465326783532388</v>
      </c>
    </row>
    <row r="20" spans="1:196" x14ac:dyDescent="0.2">
      <c r="A20">
        <v>4</v>
      </c>
      <c r="B20">
        <v>15</v>
      </c>
      <c r="C20">
        <f t="shared" si="60"/>
        <v>134.5</v>
      </c>
      <c r="D20">
        <f t="shared" si="0"/>
        <v>83.488516449410312</v>
      </c>
      <c r="E20">
        <f t="shared" si="1"/>
        <v>48.387096774193552</v>
      </c>
      <c r="F20">
        <f t="shared" si="2"/>
        <v>1.1613704170921717</v>
      </c>
      <c r="K20">
        <v>12</v>
      </c>
      <c r="L20">
        <v>15</v>
      </c>
      <c r="M20">
        <f t="shared" si="61"/>
        <v>362</v>
      </c>
      <c r="N20">
        <f t="shared" si="3"/>
        <v>79.065196024898981</v>
      </c>
      <c r="O20">
        <f t="shared" si="4"/>
        <v>39.473684210526315</v>
      </c>
      <c r="P20">
        <f t="shared" si="5"/>
        <v>1.0000977106958717</v>
      </c>
      <c r="U20">
        <v>10</v>
      </c>
      <c r="V20">
        <v>15</v>
      </c>
      <c r="W20">
        <f t="shared" si="62"/>
        <v>310</v>
      </c>
      <c r="X20">
        <f t="shared" si="6"/>
        <v>84.503202943982544</v>
      </c>
      <c r="Y20">
        <f t="shared" si="7"/>
        <v>57.692307692307686</v>
      </c>
      <c r="Z20">
        <f t="shared" si="8"/>
        <v>1.5202189115232567</v>
      </c>
      <c r="AE20">
        <v>14</v>
      </c>
      <c r="AF20">
        <v>15</v>
      </c>
      <c r="AG20">
        <f t="shared" si="63"/>
        <v>442</v>
      </c>
      <c r="AH20">
        <f t="shared" si="9"/>
        <v>88.515069590467604</v>
      </c>
      <c r="AI20">
        <f t="shared" si="10"/>
        <v>53.571428571428569</v>
      </c>
      <c r="AJ20">
        <f t="shared" si="11"/>
        <v>1.4518874536897954</v>
      </c>
      <c r="AO20">
        <v>15</v>
      </c>
      <c r="AP20">
        <v>15</v>
      </c>
      <c r="AQ20">
        <f t="shared" si="64"/>
        <v>365</v>
      </c>
      <c r="AR20">
        <f t="shared" si="12"/>
        <v>83.361881923032996</v>
      </c>
      <c r="AS20">
        <f t="shared" si="13"/>
        <v>45.454545454545453</v>
      </c>
      <c r="AT20">
        <f t="shared" si="14"/>
        <v>1.5052892750734426</v>
      </c>
      <c r="AY20">
        <v>7</v>
      </c>
      <c r="AZ20">
        <v>15</v>
      </c>
      <c r="BA20">
        <f t="shared" si="65"/>
        <v>185.5</v>
      </c>
      <c r="BB20">
        <f t="shared" si="15"/>
        <v>82.628062360801778</v>
      </c>
      <c r="BC20">
        <f t="shared" si="16"/>
        <v>50</v>
      </c>
      <c r="BD20">
        <f t="shared" si="17"/>
        <v>1.5070527097253159</v>
      </c>
      <c r="BI20">
        <v>7</v>
      </c>
      <c r="BJ20">
        <v>15</v>
      </c>
      <c r="BK20">
        <f t="shared" si="66"/>
        <v>153.5</v>
      </c>
      <c r="BL20">
        <f t="shared" si="18"/>
        <v>76.244877685334671</v>
      </c>
      <c r="BM20">
        <f t="shared" si="19"/>
        <v>40.54054054054054</v>
      </c>
      <c r="BN20">
        <f t="shared" si="20"/>
        <v>1.3625944334996887</v>
      </c>
      <c r="BS20">
        <v>11</v>
      </c>
      <c r="BT20">
        <v>15</v>
      </c>
      <c r="BU20">
        <f t="shared" si="67"/>
        <v>295</v>
      </c>
      <c r="BV20">
        <f t="shared" si="21"/>
        <v>82.575227431770443</v>
      </c>
      <c r="BW20">
        <f t="shared" si="22"/>
        <v>39.473684210526315</v>
      </c>
      <c r="BX20">
        <f t="shared" si="23"/>
        <v>1.174910684689326</v>
      </c>
      <c r="CC20">
        <v>3.5</v>
      </c>
      <c r="CD20">
        <v>15</v>
      </c>
      <c r="CE20">
        <f t="shared" si="68"/>
        <v>125.5</v>
      </c>
      <c r="CF20">
        <f t="shared" si="24"/>
        <v>85.374149659863946</v>
      </c>
      <c r="CG20">
        <f t="shared" si="25"/>
        <v>53.571428571428569</v>
      </c>
      <c r="CH20">
        <f t="shared" si="26"/>
        <v>1.232993197278911</v>
      </c>
      <c r="CM20">
        <v>13</v>
      </c>
      <c r="CN20">
        <v>15</v>
      </c>
      <c r="CO20">
        <f t="shared" si="69"/>
        <v>447</v>
      </c>
      <c r="CP20">
        <f t="shared" si="27"/>
        <v>80.758807588075882</v>
      </c>
      <c r="CQ20">
        <f t="shared" si="28"/>
        <v>44.117647058823529</v>
      </c>
      <c r="CR20">
        <f t="shared" si="29"/>
        <v>1.0016472713746791</v>
      </c>
      <c r="CW20">
        <v>4.5</v>
      </c>
      <c r="CX20">
        <v>15</v>
      </c>
      <c r="CY20">
        <f t="shared" si="70"/>
        <v>217.5</v>
      </c>
      <c r="CZ20">
        <f t="shared" si="30"/>
        <v>87.052231338803281</v>
      </c>
      <c r="DA20">
        <f t="shared" si="31"/>
        <v>45.454545454545453</v>
      </c>
      <c r="DB20">
        <f t="shared" si="32"/>
        <v>0.79138392126184742</v>
      </c>
      <c r="DG20">
        <v>4.5</v>
      </c>
      <c r="DH20">
        <v>15</v>
      </c>
      <c r="DI20">
        <f t="shared" si="71"/>
        <v>118.5</v>
      </c>
      <c r="DJ20">
        <f t="shared" si="33"/>
        <v>81.275720164609069</v>
      </c>
      <c r="DK20">
        <f t="shared" si="34"/>
        <v>50</v>
      </c>
      <c r="DL20">
        <f t="shared" si="35"/>
        <v>1.4917695473251085</v>
      </c>
      <c r="DQ20">
        <v>4</v>
      </c>
      <c r="DR20">
        <v>15</v>
      </c>
      <c r="DS20">
        <f t="shared" si="72"/>
        <v>97.5</v>
      </c>
      <c r="DT20">
        <f t="shared" si="36"/>
        <v>71.167883211678827</v>
      </c>
      <c r="DU20">
        <f t="shared" si="37"/>
        <v>39.473684210526315</v>
      </c>
      <c r="DV20">
        <f t="shared" si="38"/>
        <v>1.1140991164041496</v>
      </c>
      <c r="EA20">
        <v>3</v>
      </c>
      <c r="EB20">
        <v>15</v>
      </c>
      <c r="EC20">
        <f t="shared" si="73"/>
        <v>89</v>
      </c>
      <c r="ED20">
        <f t="shared" si="39"/>
        <v>78.691423519009732</v>
      </c>
      <c r="EE20">
        <f t="shared" si="40"/>
        <v>53.571428571428569</v>
      </c>
      <c r="EF20">
        <f t="shared" si="41"/>
        <v>1.3736263736263767</v>
      </c>
      <c r="EK20">
        <v>4</v>
      </c>
      <c r="EL20">
        <v>15</v>
      </c>
      <c r="EM20">
        <f t="shared" si="74"/>
        <v>103</v>
      </c>
      <c r="EN20">
        <f t="shared" si="42"/>
        <v>75.9027266028003</v>
      </c>
      <c r="EO20">
        <f t="shared" si="43"/>
        <v>45.454545454545453</v>
      </c>
      <c r="EP20">
        <f t="shared" si="44"/>
        <v>1.2951921573881764</v>
      </c>
      <c r="EU20">
        <v>2</v>
      </c>
      <c r="EV20">
        <v>15</v>
      </c>
      <c r="EW20">
        <f t="shared" si="75"/>
        <v>79</v>
      </c>
      <c r="EX20">
        <f t="shared" si="45"/>
        <v>79.079079079079079</v>
      </c>
      <c r="EY20">
        <f t="shared" si="46"/>
        <v>38.461538461538467</v>
      </c>
      <c r="EZ20">
        <f t="shared" si="47"/>
        <v>0.74433407766741089</v>
      </c>
      <c r="FE20">
        <v>3</v>
      </c>
      <c r="FF20">
        <v>15</v>
      </c>
      <c r="FG20">
        <f t="shared" si="76"/>
        <v>80.5</v>
      </c>
      <c r="FH20">
        <f t="shared" si="48"/>
        <v>72.359550561797747</v>
      </c>
      <c r="FI20">
        <f t="shared" si="49"/>
        <v>45.454545454545453</v>
      </c>
      <c r="FJ20">
        <f t="shared" si="50"/>
        <v>1.1848825331971349</v>
      </c>
      <c r="FO20">
        <v>6</v>
      </c>
      <c r="FP20">
        <v>15</v>
      </c>
      <c r="FQ20">
        <f t="shared" si="77"/>
        <v>150.5</v>
      </c>
      <c r="FR20">
        <f t="shared" si="51"/>
        <v>76.01010101010101</v>
      </c>
      <c r="FS20">
        <f t="shared" si="52"/>
        <v>39.473684210526315</v>
      </c>
      <c r="FT20">
        <f t="shared" si="53"/>
        <v>1.156299840510367</v>
      </c>
      <c r="FY20">
        <v>3.5</v>
      </c>
      <c r="FZ20">
        <v>15</v>
      </c>
      <c r="GA20">
        <f t="shared" si="78"/>
        <v>74</v>
      </c>
      <c r="GB20">
        <f t="shared" si="54"/>
        <v>63.301967493584264</v>
      </c>
      <c r="GC20">
        <f t="shared" si="55"/>
        <v>36.585365853658537</v>
      </c>
      <c r="GD20">
        <f t="shared" si="56"/>
        <v>1.0588578939681625</v>
      </c>
      <c r="GI20">
        <v>3.5</v>
      </c>
      <c r="GJ20">
        <v>15</v>
      </c>
      <c r="GK20">
        <f t="shared" si="79"/>
        <v>89</v>
      </c>
      <c r="GL20">
        <f t="shared" si="57"/>
        <v>75.455701568461208</v>
      </c>
      <c r="GM20">
        <f t="shared" si="58"/>
        <v>44.117647058823529</v>
      </c>
      <c r="GN20">
        <f t="shared" si="59"/>
        <v>1.2654913597486503</v>
      </c>
    </row>
    <row r="21" spans="1:196" x14ac:dyDescent="0.2">
      <c r="A21">
        <v>4</v>
      </c>
      <c r="B21">
        <v>16</v>
      </c>
      <c r="C21">
        <f t="shared" si="60"/>
        <v>138.5</v>
      </c>
      <c r="D21">
        <f t="shared" si="0"/>
        <v>85.971446306641838</v>
      </c>
      <c r="E21">
        <f t="shared" si="1"/>
        <v>51.612903225806448</v>
      </c>
      <c r="F21">
        <f t="shared" si="2"/>
        <v>1.2414649286157626</v>
      </c>
      <c r="K21">
        <v>12</v>
      </c>
      <c r="L21">
        <v>16</v>
      </c>
      <c r="M21">
        <f t="shared" si="61"/>
        <v>374</v>
      </c>
      <c r="N21">
        <f t="shared" si="3"/>
        <v>81.686141749481266</v>
      </c>
      <c r="O21">
        <f t="shared" si="4"/>
        <v>42.105263157894733</v>
      </c>
      <c r="P21">
        <f t="shared" si="5"/>
        <v>1.0690699666059318</v>
      </c>
      <c r="U21">
        <v>9</v>
      </c>
      <c r="V21">
        <v>16</v>
      </c>
      <c r="W21">
        <f t="shared" si="62"/>
        <v>319</v>
      </c>
      <c r="X21">
        <f t="shared" si="6"/>
        <v>86.956521739130437</v>
      </c>
      <c r="Y21">
        <f t="shared" si="7"/>
        <v>61.53846153846154</v>
      </c>
      <c r="Z21">
        <f t="shared" si="8"/>
        <v>1.4625554355689365</v>
      </c>
      <c r="AE21">
        <v>11</v>
      </c>
      <c r="AF21">
        <v>16</v>
      </c>
      <c r="AG21">
        <f t="shared" si="63"/>
        <v>453</v>
      </c>
      <c r="AH21">
        <f t="shared" si="9"/>
        <v>90.717933313307299</v>
      </c>
      <c r="AI21">
        <f t="shared" si="10"/>
        <v>57.142857142857139</v>
      </c>
      <c r="AJ21">
        <f t="shared" si="11"/>
        <v>1.2194424180005452</v>
      </c>
      <c r="AO21">
        <v>12</v>
      </c>
      <c r="AP21">
        <v>16</v>
      </c>
      <c r="AQ21">
        <f t="shared" si="64"/>
        <v>377</v>
      </c>
      <c r="AR21">
        <f t="shared" si="12"/>
        <v>86.10254653420121</v>
      </c>
      <c r="AS21">
        <f t="shared" si="13"/>
        <v>48.484848484848484</v>
      </c>
      <c r="AT21">
        <f t="shared" si="14"/>
        <v>1.2872818628214335</v>
      </c>
      <c r="AY21">
        <v>6</v>
      </c>
      <c r="AZ21">
        <v>16</v>
      </c>
      <c r="BA21">
        <f t="shared" si="65"/>
        <v>191.5</v>
      </c>
      <c r="BB21">
        <f t="shared" si="15"/>
        <v>85.300668151447653</v>
      </c>
      <c r="BC21">
        <f t="shared" si="16"/>
        <v>53.333333333333336</v>
      </c>
      <c r="BD21">
        <f t="shared" si="17"/>
        <v>1.3808463251670355</v>
      </c>
      <c r="BI21">
        <v>7</v>
      </c>
      <c r="BJ21">
        <v>16</v>
      </c>
      <c r="BK21">
        <f t="shared" si="66"/>
        <v>160.5</v>
      </c>
      <c r="BL21">
        <f t="shared" si="18"/>
        <v>79.721842791506276</v>
      </c>
      <c r="BM21">
        <f t="shared" si="19"/>
        <v>43.243243243243242</v>
      </c>
      <c r="BN21">
        <f t="shared" si="20"/>
        <v>1.4565664633962125</v>
      </c>
      <c r="BS21">
        <v>10</v>
      </c>
      <c r="BT21">
        <v>16</v>
      </c>
      <c r="BU21">
        <f t="shared" si="67"/>
        <v>305</v>
      </c>
      <c r="BV21">
        <f t="shared" si="21"/>
        <v>85.374387683694863</v>
      </c>
      <c r="BW21">
        <f t="shared" si="22"/>
        <v>42.105263157894733</v>
      </c>
      <c r="BX21">
        <f t="shared" si="23"/>
        <v>1.141762734337592</v>
      </c>
      <c r="CC21">
        <v>3</v>
      </c>
      <c r="CD21">
        <v>16</v>
      </c>
      <c r="CE21">
        <f t="shared" si="68"/>
        <v>128.5</v>
      </c>
      <c r="CF21">
        <f t="shared" si="24"/>
        <v>87.414965986394549</v>
      </c>
      <c r="CG21">
        <f t="shared" si="25"/>
        <v>57.142857142857139</v>
      </c>
      <c r="CH21">
        <f t="shared" si="26"/>
        <v>1.1297376093294409</v>
      </c>
      <c r="CM21">
        <v>12</v>
      </c>
      <c r="CN21">
        <v>16</v>
      </c>
      <c r="CO21">
        <f t="shared" si="69"/>
        <v>459</v>
      </c>
      <c r="CP21">
        <f t="shared" si="27"/>
        <v>82.926829268292678</v>
      </c>
      <c r="CQ21">
        <f t="shared" si="28"/>
        <v>47.058823529411761</v>
      </c>
      <c r="CR21">
        <f t="shared" si="29"/>
        <v>0.98836282480471582</v>
      </c>
      <c r="CW21">
        <v>4.5</v>
      </c>
      <c r="CX21">
        <v>16</v>
      </c>
      <c r="CY21">
        <f t="shared" si="70"/>
        <v>222</v>
      </c>
      <c r="CZ21">
        <f t="shared" si="30"/>
        <v>88.853311987192313</v>
      </c>
      <c r="DA21">
        <f t="shared" si="31"/>
        <v>48.484848484848484</v>
      </c>
      <c r="DB21">
        <f t="shared" si="32"/>
        <v>0.84596212272818161</v>
      </c>
      <c r="DG21">
        <v>4</v>
      </c>
      <c r="DH21">
        <v>16</v>
      </c>
      <c r="DI21">
        <f t="shared" si="71"/>
        <v>122.5</v>
      </c>
      <c r="DJ21">
        <f t="shared" si="33"/>
        <v>84.019204389574767</v>
      </c>
      <c r="DK21">
        <f t="shared" si="34"/>
        <v>53.333333333333336</v>
      </c>
      <c r="DL21">
        <f t="shared" si="35"/>
        <v>1.4174668495656106</v>
      </c>
      <c r="DQ21">
        <v>4</v>
      </c>
      <c r="DR21">
        <v>16</v>
      </c>
      <c r="DS21">
        <f t="shared" si="72"/>
        <v>101.5</v>
      </c>
      <c r="DT21">
        <f t="shared" si="36"/>
        <v>74.087591240875923</v>
      </c>
      <c r="DU21">
        <f t="shared" si="37"/>
        <v>42.105263157894733</v>
      </c>
      <c r="DV21">
        <f t="shared" si="38"/>
        <v>1.1909335382251311</v>
      </c>
      <c r="EA21">
        <v>3</v>
      </c>
      <c r="EB21">
        <v>16</v>
      </c>
      <c r="EC21">
        <f t="shared" si="73"/>
        <v>92</v>
      </c>
      <c r="ED21">
        <f t="shared" si="39"/>
        <v>81.343943412908942</v>
      </c>
      <c r="EE21">
        <f t="shared" si="40"/>
        <v>57.142857142857139</v>
      </c>
      <c r="EF21">
        <f t="shared" si="41"/>
        <v>1.4683592269799199</v>
      </c>
      <c r="EK21">
        <v>3.5</v>
      </c>
      <c r="EL21">
        <v>16</v>
      </c>
      <c r="EM21">
        <f t="shared" si="74"/>
        <v>106.5</v>
      </c>
      <c r="EN21">
        <f t="shared" si="42"/>
        <v>78.481945467944001</v>
      </c>
      <c r="EO21">
        <f t="shared" si="43"/>
        <v>48.484848484848484</v>
      </c>
      <c r="EP21">
        <f t="shared" si="44"/>
        <v>1.2114512851432537</v>
      </c>
      <c r="EU21">
        <v>2</v>
      </c>
      <c r="EV21">
        <v>16</v>
      </c>
      <c r="EW21">
        <f t="shared" si="75"/>
        <v>81</v>
      </c>
      <c r="EX21">
        <f t="shared" si="45"/>
        <v>81.081081081081081</v>
      </c>
      <c r="EY21">
        <f t="shared" si="46"/>
        <v>41.025641025641022</v>
      </c>
      <c r="EZ21">
        <f t="shared" si="47"/>
        <v>0.79566746233412866</v>
      </c>
      <c r="FE21">
        <v>3</v>
      </c>
      <c r="FF21">
        <v>16</v>
      </c>
      <c r="FG21">
        <f t="shared" si="76"/>
        <v>83.5</v>
      </c>
      <c r="FH21">
        <f t="shared" si="48"/>
        <v>75.056179775280896</v>
      </c>
      <c r="FI21">
        <f t="shared" si="49"/>
        <v>48.484848484848484</v>
      </c>
      <c r="FJ21">
        <f t="shared" si="50"/>
        <v>1.2665985699693578</v>
      </c>
      <c r="FO21">
        <v>5</v>
      </c>
      <c r="FP21">
        <v>16</v>
      </c>
      <c r="FQ21">
        <f t="shared" si="77"/>
        <v>155.5</v>
      </c>
      <c r="FR21">
        <f t="shared" si="51"/>
        <v>78.535353535353536</v>
      </c>
      <c r="FS21">
        <f t="shared" si="52"/>
        <v>42.105263157894733</v>
      </c>
      <c r="FT21">
        <f t="shared" si="53"/>
        <v>1.0300372142477408</v>
      </c>
      <c r="FY21">
        <v>3.5</v>
      </c>
      <c r="FZ21">
        <v>16</v>
      </c>
      <c r="GA21">
        <f t="shared" si="78"/>
        <v>77.5</v>
      </c>
      <c r="GB21">
        <f t="shared" si="54"/>
        <v>66.295979469632172</v>
      </c>
      <c r="GC21">
        <f t="shared" si="55"/>
        <v>39.024390243902438</v>
      </c>
      <c r="GD21">
        <f t="shared" si="56"/>
        <v>1.1318825763107945</v>
      </c>
      <c r="GI21">
        <v>3</v>
      </c>
      <c r="GJ21">
        <v>16</v>
      </c>
      <c r="GK21">
        <f t="shared" si="79"/>
        <v>92</v>
      </c>
      <c r="GL21">
        <f t="shared" si="57"/>
        <v>77.999152183128444</v>
      </c>
      <c r="GM21">
        <f t="shared" si="58"/>
        <v>47.058823529411761</v>
      </c>
      <c r="GN21">
        <f t="shared" si="59"/>
        <v>1.1595142508041811</v>
      </c>
    </row>
    <row r="22" spans="1:196" x14ac:dyDescent="0.2">
      <c r="A22">
        <v>3.5</v>
      </c>
      <c r="B22">
        <v>17</v>
      </c>
      <c r="C22">
        <f t="shared" si="60"/>
        <v>142</v>
      </c>
      <c r="D22">
        <f t="shared" si="0"/>
        <v>88.144009931719438</v>
      </c>
      <c r="E22">
        <f t="shared" si="1"/>
        <v>54.838709677419352</v>
      </c>
      <c r="F22">
        <f t="shared" si="2"/>
        <v>1.1563645101219486</v>
      </c>
      <c r="K22">
        <v>12</v>
      </c>
      <c r="L22">
        <v>17</v>
      </c>
      <c r="M22">
        <f t="shared" si="61"/>
        <v>386</v>
      </c>
      <c r="N22">
        <f t="shared" si="3"/>
        <v>84.307087474063565</v>
      </c>
      <c r="O22">
        <f t="shared" si="4"/>
        <v>44.736842105263158</v>
      </c>
      <c r="P22">
        <f t="shared" si="5"/>
        <v>1.1380422225159981</v>
      </c>
      <c r="U22">
        <v>8</v>
      </c>
      <c r="V22">
        <v>17</v>
      </c>
      <c r="W22">
        <f t="shared" si="62"/>
        <v>327</v>
      </c>
      <c r="X22">
        <f t="shared" si="6"/>
        <v>89.137249557039652</v>
      </c>
      <c r="Y22">
        <f t="shared" si="7"/>
        <v>65.384615384615387</v>
      </c>
      <c r="Z22">
        <f t="shared" si="8"/>
        <v>1.3839234229039252</v>
      </c>
      <c r="AE22">
        <v>10</v>
      </c>
      <c r="AF22">
        <v>17</v>
      </c>
      <c r="AG22">
        <f t="shared" si="63"/>
        <v>463</v>
      </c>
      <c r="AH22">
        <f t="shared" si="9"/>
        <v>92.720536697707018</v>
      </c>
      <c r="AI22">
        <f t="shared" si="10"/>
        <v>60.714285714285708</v>
      </c>
      <c r="AJ22">
        <f t="shared" si="11"/>
        <v>1.1801055658069777</v>
      </c>
      <c r="AO22">
        <v>10</v>
      </c>
      <c r="AP22">
        <v>17</v>
      </c>
      <c r="AQ22">
        <f t="shared" si="64"/>
        <v>387</v>
      </c>
      <c r="AR22">
        <f t="shared" si="12"/>
        <v>88.386433710174714</v>
      </c>
      <c r="AS22">
        <f t="shared" si="13"/>
        <v>51.515151515151516</v>
      </c>
      <c r="AT22">
        <f t="shared" si="14"/>
        <v>1.1419435879867521</v>
      </c>
      <c r="AY22">
        <v>5</v>
      </c>
      <c r="AZ22">
        <v>17</v>
      </c>
      <c r="BA22">
        <f t="shared" si="65"/>
        <v>196.5</v>
      </c>
      <c r="BB22">
        <f t="shared" si="15"/>
        <v>87.527839643652555</v>
      </c>
      <c r="BC22">
        <f t="shared" si="16"/>
        <v>56.666666666666664</v>
      </c>
      <c r="BD22">
        <f t="shared" si="17"/>
        <v>1.2249443207126967</v>
      </c>
      <c r="BI22">
        <v>7</v>
      </c>
      <c r="BJ22">
        <v>17</v>
      </c>
      <c r="BK22">
        <f t="shared" si="66"/>
        <v>167.5</v>
      </c>
      <c r="BL22">
        <f t="shared" si="18"/>
        <v>83.198807897677881</v>
      </c>
      <c r="BM22">
        <f t="shared" si="19"/>
        <v>45.945945945945951</v>
      </c>
      <c r="BN22">
        <f t="shared" si="20"/>
        <v>1.5505384932927426</v>
      </c>
      <c r="BS22">
        <v>8</v>
      </c>
      <c r="BT22">
        <v>17</v>
      </c>
      <c r="BU22">
        <f t="shared" si="67"/>
        <v>313</v>
      </c>
      <c r="BV22">
        <f t="shared" si="21"/>
        <v>87.613715885234399</v>
      </c>
      <c r="BW22">
        <f t="shared" si="22"/>
        <v>44.736842105263158</v>
      </c>
      <c r="BX22">
        <f t="shared" si="23"/>
        <v>0.97233987698427204</v>
      </c>
      <c r="CC22">
        <v>3</v>
      </c>
      <c r="CD22">
        <v>17</v>
      </c>
      <c r="CE22">
        <f t="shared" si="68"/>
        <v>131.5</v>
      </c>
      <c r="CF22">
        <f t="shared" si="24"/>
        <v>89.455782312925166</v>
      </c>
      <c r="CG22">
        <f t="shared" si="25"/>
        <v>60.714285714285708</v>
      </c>
      <c r="CH22">
        <f t="shared" si="26"/>
        <v>1.2026239067055422</v>
      </c>
      <c r="CM22">
        <v>11</v>
      </c>
      <c r="CN22">
        <v>17</v>
      </c>
      <c r="CO22">
        <f t="shared" si="69"/>
        <v>470</v>
      </c>
      <c r="CP22">
        <f t="shared" si="27"/>
        <v>84.914182475158086</v>
      </c>
      <c r="CQ22">
        <f t="shared" si="28"/>
        <v>50</v>
      </c>
      <c r="CR22">
        <f t="shared" si="29"/>
        <v>0.96445082097880064</v>
      </c>
      <c r="CW22">
        <v>3</v>
      </c>
      <c r="CX22">
        <v>17</v>
      </c>
      <c r="CY22">
        <f t="shared" si="70"/>
        <v>225</v>
      </c>
      <c r="CZ22">
        <f t="shared" si="30"/>
        <v>90.054032419451673</v>
      </c>
      <c r="DA22">
        <f t="shared" si="31"/>
        <v>51.515151515151516</v>
      </c>
      <c r="DB22">
        <f t="shared" si="32"/>
        <v>0.60036021612967971</v>
      </c>
      <c r="DG22">
        <v>4</v>
      </c>
      <c r="DH22">
        <v>17</v>
      </c>
      <c r="DI22">
        <f t="shared" si="71"/>
        <v>126.5</v>
      </c>
      <c r="DJ22">
        <f t="shared" si="33"/>
        <v>86.76268861454048</v>
      </c>
      <c r="DK22">
        <f t="shared" si="34"/>
        <v>56.666666666666664</v>
      </c>
      <c r="DL22">
        <f t="shared" si="35"/>
        <v>1.5089163237311418</v>
      </c>
      <c r="DQ22">
        <v>3.5</v>
      </c>
      <c r="DR22">
        <v>17</v>
      </c>
      <c r="DS22">
        <f t="shared" si="72"/>
        <v>105</v>
      </c>
      <c r="DT22">
        <f t="shared" si="36"/>
        <v>76.642335766423358</v>
      </c>
      <c r="DU22">
        <f t="shared" si="37"/>
        <v>44.736842105263158</v>
      </c>
      <c r="DV22">
        <f t="shared" si="38"/>
        <v>1.1092969650403333</v>
      </c>
      <c r="EA22">
        <v>3</v>
      </c>
      <c r="EB22">
        <v>17</v>
      </c>
      <c r="EC22">
        <f t="shared" si="73"/>
        <v>95</v>
      </c>
      <c r="ED22">
        <f t="shared" si="39"/>
        <v>83.996463306808138</v>
      </c>
      <c r="EE22">
        <f t="shared" si="40"/>
        <v>60.714285714285708</v>
      </c>
      <c r="EF22">
        <f t="shared" si="41"/>
        <v>1.5630920803334547</v>
      </c>
      <c r="EK22">
        <v>3.5</v>
      </c>
      <c r="EL22">
        <v>17</v>
      </c>
      <c r="EM22">
        <f t="shared" si="74"/>
        <v>110</v>
      </c>
      <c r="EN22">
        <f t="shared" si="42"/>
        <v>81.061164333087703</v>
      </c>
      <c r="EO22">
        <f t="shared" si="43"/>
        <v>51.515151515151516</v>
      </c>
      <c r="EP22">
        <f t="shared" si="44"/>
        <v>1.2896094325718508</v>
      </c>
      <c r="EU22">
        <v>2</v>
      </c>
      <c r="EV22">
        <v>17</v>
      </c>
      <c r="EW22">
        <f t="shared" si="75"/>
        <v>83</v>
      </c>
      <c r="EX22">
        <f t="shared" si="45"/>
        <v>83.083083083083082</v>
      </c>
      <c r="EY22">
        <f t="shared" si="46"/>
        <v>43.589743589743591</v>
      </c>
      <c r="EZ22">
        <f t="shared" si="47"/>
        <v>0.84700084700084677</v>
      </c>
      <c r="FE22">
        <v>2.5</v>
      </c>
      <c r="FF22">
        <v>17</v>
      </c>
      <c r="FG22">
        <f t="shared" si="76"/>
        <v>86</v>
      </c>
      <c r="FH22">
        <f t="shared" si="48"/>
        <v>77.303370786516851</v>
      </c>
      <c r="FI22">
        <f t="shared" si="49"/>
        <v>51.515151515151516</v>
      </c>
      <c r="FJ22">
        <f t="shared" si="50"/>
        <v>1.1235955056179776</v>
      </c>
      <c r="FO22">
        <v>5</v>
      </c>
      <c r="FP22">
        <v>17</v>
      </c>
      <c r="FQ22">
        <f t="shared" si="77"/>
        <v>160.5</v>
      </c>
      <c r="FR22">
        <f t="shared" si="51"/>
        <v>81.060606060606062</v>
      </c>
      <c r="FS22">
        <f t="shared" si="52"/>
        <v>44.736842105263158</v>
      </c>
      <c r="FT22">
        <f t="shared" si="53"/>
        <v>1.0964912280701755</v>
      </c>
      <c r="FY22">
        <v>3</v>
      </c>
      <c r="FZ22">
        <v>17</v>
      </c>
      <c r="GA22">
        <f t="shared" si="78"/>
        <v>80.5</v>
      </c>
      <c r="GB22">
        <f t="shared" si="54"/>
        <v>68.862275449101801</v>
      </c>
      <c r="GC22">
        <f t="shared" si="55"/>
        <v>41.463414634146339</v>
      </c>
      <c r="GD22">
        <f t="shared" si="56"/>
        <v>1.0327776502743629</v>
      </c>
      <c r="GI22">
        <v>3</v>
      </c>
      <c r="GJ22">
        <v>17</v>
      </c>
      <c r="GK22">
        <f t="shared" si="79"/>
        <v>95</v>
      </c>
      <c r="GL22">
        <f t="shared" si="57"/>
        <v>80.542602797795666</v>
      </c>
      <c r="GM22">
        <f t="shared" si="58"/>
        <v>50</v>
      </c>
      <c r="GN22">
        <f t="shared" si="59"/>
        <v>1.2343216218237989</v>
      </c>
    </row>
    <row r="23" spans="1:196" x14ac:dyDescent="0.2">
      <c r="A23">
        <v>3</v>
      </c>
      <c r="B23">
        <v>18</v>
      </c>
      <c r="C23">
        <f t="shared" si="60"/>
        <v>145</v>
      </c>
      <c r="D23">
        <f t="shared" si="0"/>
        <v>90.006207324643086</v>
      </c>
      <c r="E23">
        <f t="shared" si="1"/>
        <v>58.064516129032263</v>
      </c>
      <c r="F23">
        <f t="shared" si="2"/>
        <v>1.0512404637472204</v>
      </c>
      <c r="K23">
        <v>12</v>
      </c>
      <c r="L23">
        <v>18</v>
      </c>
      <c r="M23">
        <f t="shared" si="61"/>
        <v>398</v>
      </c>
      <c r="N23">
        <f t="shared" si="3"/>
        <v>86.928033198645835</v>
      </c>
      <c r="O23">
        <f t="shared" si="4"/>
        <v>47.368421052631575</v>
      </c>
      <c r="P23">
        <f t="shared" si="5"/>
        <v>1.2070144784260457</v>
      </c>
      <c r="U23">
        <v>8</v>
      </c>
      <c r="V23">
        <v>18</v>
      </c>
      <c r="W23">
        <f t="shared" si="62"/>
        <v>335</v>
      </c>
      <c r="X23">
        <f t="shared" si="6"/>
        <v>91.317977374948896</v>
      </c>
      <c r="Y23">
        <f t="shared" si="7"/>
        <v>69.230769230769226</v>
      </c>
      <c r="Z23">
        <f t="shared" si="8"/>
        <v>1.4677975697466061</v>
      </c>
      <c r="AE23">
        <v>9</v>
      </c>
      <c r="AF23">
        <v>18</v>
      </c>
      <c r="AG23">
        <f t="shared" si="63"/>
        <v>472</v>
      </c>
      <c r="AH23">
        <f t="shared" si="9"/>
        <v>94.522879743666763</v>
      </c>
      <c r="AI23">
        <f t="shared" si="10"/>
        <v>64.285714285714292</v>
      </c>
      <c r="AJ23">
        <f t="shared" si="11"/>
        <v>1.1264644037248406</v>
      </c>
      <c r="AO23">
        <v>8</v>
      </c>
      <c r="AP23">
        <v>18</v>
      </c>
      <c r="AQ23">
        <f t="shared" si="64"/>
        <v>395</v>
      </c>
      <c r="AR23">
        <f t="shared" si="12"/>
        <v>90.213543450953509</v>
      </c>
      <c r="AS23">
        <f t="shared" si="13"/>
        <v>54.54545454545454</v>
      </c>
      <c r="AT23">
        <f t="shared" si="14"/>
        <v>0.96892183223117911</v>
      </c>
      <c r="AY23">
        <v>5</v>
      </c>
      <c r="AZ23">
        <v>18</v>
      </c>
      <c r="BA23">
        <f t="shared" si="65"/>
        <v>201.5</v>
      </c>
      <c r="BB23">
        <f t="shared" si="15"/>
        <v>89.755011135857472</v>
      </c>
      <c r="BC23">
        <f t="shared" si="16"/>
        <v>60</v>
      </c>
      <c r="BD23">
        <f t="shared" si="17"/>
        <v>1.2991833704528681</v>
      </c>
      <c r="BI23">
        <v>6</v>
      </c>
      <c r="BJ23">
        <v>18</v>
      </c>
      <c r="BK23">
        <f t="shared" si="66"/>
        <v>173.5</v>
      </c>
      <c r="BL23">
        <f t="shared" si="18"/>
        <v>86.179063702967838</v>
      </c>
      <c r="BM23">
        <f t="shared" si="19"/>
        <v>48.648648648648653</v>
      </c>
      <c r="BN23">
        <f t="shared" si="20"/>
        <v>1.409580448447953</v>
      </c>
      <c r="BS23">
        <v>7.5</v>
      </c>
      <c r="BT23">
        <v>18</v>
      </c>
      <c r="BU23">
        <f t="shared" si="67"/>
        <v>320.5</v>
      </c>
      <c r="BV23">
        <f t="shared" si="21"/>
        <v>89.71308607417771</v>
      </c>
      <c r="BW23">
        <f t="shared" si="22"/>
        <v>47.368421052631575</v>
      </c>
      <c r="BX23">
        <f t="shared" si="23"/>
        <v>0.96681521859231434</v>
      </c>
      <c r="CC23">
        <v>3</v>
      </c>
      <c r="CD23">
        <v>18</v>
      </c>
      <c r="CE23">
        <f t="shared" si="68"/>
        <v>134.5</v>
      </c>
      <c r="CF23">
        <f t="shared" si="24"/>
        <v>91.496598639455783</v>
      </c>
      <c r="CG23">
        <f t="shared" si="25"/>
        <v>64.285714285714292</v>
      </c>
      <c r="CH23">
        <f t="shared" si="26"/>
        <v>1.2755102040816357</v>
      </c>
      <c r="CM23">
        <v>11</v>
      </c>
      <c r="CN23">
        <v>18</v>
      </c>
      <c r="CO23">
        <f t="shared" si="69"/>
        <v>481</v>
      </c>
      <c r="CP23">
        <f t="shared" si="27"/>
        <v>86.901535682023493</v>
      </c>
      <c r="CQ23">
        <f t="shared" si="28"/>
        <v>52.941176470588239</v>
      </c>
      <c r="CR23">
        <f t="shared" si="29"/>
        <v>1.0229023858866066</v>
      </c>
      <c r="CW23">
        <v>3</v>
      </c>
      <c r="CX23">
        <v>18</v>
      </c>
      <c r="CY23">
        <f t="shared" si="70"/>
        <v>228</v>
      </c>
      <c r="CZ23">
        <f t="shared" si="30"/>
        <v>91.254752851711032</v>
      </c>
      <c r="DA23">
        <f t="shared" si="31"/>
        <v>54.54545454545454</v>
      </c>
      <c r="DB23">
        <f t="shared" si="32"/>
        <v>0.63674568377390273</v>
      </c>
      <c r="DG23">
        <v>3</v>
      </c>
      <c r="DH23">
        <v>18</v>
      </c>
      <c r="DI23">
        <f t="shared" si="71"/>
        <v>129.5</v>
      </c>
      <c r="DJ23">
        <f t="shared" si="33"/>
        <v>88.820301783264753</v>
      </c>
      <c r="DK23">
        <f t="shared" si="34"/>
        <v>60</v>
      </c>
      <c r="DL23">
        <f t="shared" si="35"/>
        <v>1.2002743484224927</v>
      </c>
      <c r="DQ23">
        <v>3.5</v>
      </c>
      <c r="DR23">
        <v>18</v>
      </c>
      <c r="DS23">
        <f t="shared" si="72"/>
        <v>108.5</v>
      </c>
      <c r="DT23">
        <f t="shared" si="36"/>
        <v>79.197080291970806</v>
      </c>
      <c r="DU23">
        <f t="shared" si="37"/>
        <v>47.368421052631575</v>
      </c>
      <c r="DV23">
        <f t="shared" si="38"/>
        <v>1.1765270841336934</v>
      </c>
      <c r="EA23">
        <v>3</v>
      </c>
      <c r="EB23">
        <v>18</v>
      </c>
      <c r="EC23">
        <f t="shared" si="73"/>
        <v>98</v>
      </c>
      <c r="ED23">
        <f t="shared" si="39"/>
        <v>86.648983200707335</v>
      </c>
      <c r="EE23">
        <f t="shared" si="40"/>
        <v>64.285714285714292</v>
      </c>
      <c r="EF23">
        <f t="shared" si="41"/>
        <v>1.6578249336869977</v>
      </c>
      <c r="EK23">
        <v>3.5</v>
      </c>
      <c r="EL23">
        <v>18</v>
      </c>
      <c r="EM23">
        <f t="shared" si="74"/>
        <v>113.5</v>
      </c>
      <c r="EN23">
        <f t="shared" si="42"/>
        <v>83.640383198231405</v>
      </c>
      <c r="EO23">
        <f t="shared" si="43"/>
        <v>54.54545454545454</v>
      </c>
      <c r="EP23">
        <f t="shared" si="44"/>
        <v>1.3677675800004478</v>
      </c>
      <c r="EU23">
        <v>1.5</v>
      </c>
      <c r="EV23">
        <v>18</v>
      </c>
      <c r="EW23">
        <f t="shared" si="75"/>
        <v>84.5</v>
      </c>
      <c r="EX23">
        <f t="shared" si="45"/>
        <v>84.58458458458459</v>
      </c>
      <c r="EY23">
        <f t="shared" si="46"/>
        <v>46.153846153846153</v>
      </c>
      <c r="EZ23">
        <f t="shared" si="47"/>
        <v>0.67375067375067677</v>
      </c>
      <c r="FE23">
        <v>2.5</v>
      </c>
      <c r="FF23">
        <v>18</v>
      </c>
      <c r="FG23">
        <f t="shared" si="76"/>
        <v>88.5</v>
      </c>
      <c r="FH23">
        <f t="shared" si="48"/>
        <v>79.550561797752806</v>
      </c>
      <c r="FI23">
        <f t="shared" si="49"/>
        <v>54.54545454545454</v>
      </c>
      <c r="FJ23">
        <f t="shared" si="50"/>
        <v>1.191692202928158</v>
      </c>
      <c r="FO23">
        <v>5</v>
      </c>
      <c r="FP23">
        <v>18</v>
      </c>
      <c r="FQ23">
        <f t="shared" si="77"/>
        <v>165.5</v>
      </c>
      <c r="FR23">
        <f t="shared" si="51"/>
        <v>83.585858585858588</v>
      </c>
      <c r="FS23">
        <f t="shared" si="52"/>
        <v>47.368421052631575</v>
      </c>
      <c r="FT23">
        <f t="shared" si="53"/>
        <v>1.1629452418926107</v>
      </c>
      <c r="FY23">
        <v>3</v>
      </c>
      <c r="FZ23">
        <v>18</v>
      </c>
      <c r="GA23">
        <f t="shared" si="78"/>
        <v>83.5</v>
      </c>
      <c r="GB23">
        <f t="shared" si="54"/>
        <v>71.428571428571431</v>
      </c>
      <c r="GC23">
        <f t="shared" si="55"/>
        <v>43.902439024390247</v>
      </c>
      <c r="GD23">
        <f t="shared" si="56"/>
        <v>1.0953702351394761</v>
      </c>
      <c r="GI23">
        <v>3</v>
      </c>
      <c r="GJ23">
        <v>18</v>
      </c>
      <c r="GK23">
        <f t="shared" si="79"/>
        <v>98</v>
      </c>
      <c r="GL23">
        <f t="shared" si="57"/>
        <v>83.086053412462903</v>
      </c>
      <c r="GM23">
        <f t="shared" si="58"/>
        <v>52.941176470588239</v>
      </c>
      <c r="GN23">
        <f t="shared" si="59"/>
        <v>1.3091289928434304</v>
      </c>
    </row>
    <row r="24" spans="1:196" x14ac:dyDescent="0.2">
      <c r="A24">
        <v>3</v>
      </c>
      <c r="B24">
        <v>19</v>
      </c>
      <c r="C24">
        <f t="shared" si="60"/>
        <v>148</v>
      </c>
      <c r="D24">
        <f t="shared" si="0"/>
        <v>91.868404717566733</v>
      </c>
      <c r="E24">
        <f t="shared" si="1"/>
        <v>61.29032258064516</v>
      </c>
      <c r="F24">
        <f t="shared" si="2"/>
        <v>1.1113113473899188</v>
      </c>
      <c r="K24">
        <v>9</v>
      </c>
      <c r="L24">
        <v>19</v>
      </c>
      <c r="M24">
        <f t="shared" si="61"/>
        <v>407</v>
      </c>
      <c r="N24">
        <f t="shared" si="3"/>
        <v>88.893742492082552</v>
      </c>
      <c r="O24">
        <f t="shared" si="4"/>
        <v>50</v>
      </c>
      <c r="P24">
        <f t="shared" si="5"/>
        <v>0.95699005075208587</v>
      </c>
      <c r="U24">
        <v>7.5</v>
      </c>
      <c r="V24">
        <v>19</v>
      </c>
      <c r="W24">
        <f t="shared" si="62"/>
        <v>342.5</v>
      </c>
      <c r="X24">
        <f t="shared" si="6"/>
        <v>93.362409704238786</v>
      </c>
      <c r="Y24">
        <f t="shared" si="7"/>
        <v>73.076923076923066</v>
      </c>
      <c r="Z24">
        <f t="shared" si="8"/>
        <v>1.4546922343024216</v>
      </c>
      <c r="AE24">
        <v>7</v>
      </c>
      <c r="AF24">
        <v>19</v>
      </c>
      <c r="AG24">
        <f t="shared" si="63"/>
        <v>479</v>
      </c>
      <c r="AH24">
        <f t="shared" si="9"/>
        <v>95.924702112746559</v>
      </c>
      <c r="AI24">
        <f t="shared" si="10"/>
        <v>67.857142857142861</v>
      </c>
      <c r="AJ24">
        <f t="shared" si="11"/>
        <v>0.92620406528486499</v>
      </c>
      <c r="AO24">
        <v>7</v>
      </c>
      <c r="AP24">
        <v>19</v>
      </c>
      <c r="AQ24">
        <f t="shared" si="64"/>
        <v>402</v>
      </c>
      <c r="AR24">
        <f t="shared" si="12"/>
        <v>91.812264474134977</v>
      </c>
      <c r="AS24">
        <f t="shared" si="13"/>
        <v>57.575757575757578</v>
      </c>
      <c r="AT24">
        <f t="shared" si="14"/>
        <v>0.89625269481385361</v>
      </c>
      <c r="AY24">
        <v>5</v>
      </c>
      <c r="AZ24">
        <v>19</v>
      </c>
      <c r="BA24">
        <f t="shared" si="65"/>
        <v>206.5</v>
      </c>
      <c r="BB24">
        <f t="shared" si="15"/>
        <v>91.982182628062361</v>
      </c>
      <c r="BC24">
        <f t="shared" si="16"/>
        <v>63.333333333333329</v>
      </c>
      <c r="BD24">
        <f t="shared" si="17"/>
        <v>1.3734224201930147</v>
      </c>
      <c r="BI24">
        <v>4.5</v>
      </c>
      <c r="BJ24">
        <v>19</v>
      </c>
      <c r="BK24">
        <f t="shared" si="66"/>
        <v>178</v>
      </c>
      <c r="BL24">
        <f t="shared" si="18"/>
        <v>88.414255556935302</v>
      </c>
      <c r="BM24">
        <f t="shared" si="19"/>
        <v>51.351351351351347</v>
      </c>
      <c r="BN24">
        <f t="shared" si="20"/>
        <v>1.1175959269837321</v>
      </c>
      <c r="BS24">
        <v>7</v>
      </c>
      <c r="BT24">
        <v>19</v>
      </c>
      <c r="BU24">
        <f t="shared" si="67"/>
        <v>327.5</v>
      </c>
      <c r="BV24">
        <f t="shared" si="21"/>
        <v>91.672498250524811</v>
      </c>
      <c r="BW24">
        <f t="shared" si="22"/>
        <v>50</v>
      </c>
      <c r="BX24">
        <f t="shared" si="23"/>
        <v>0.95392434901108858</v>
      </c>
      <c r="CC24">
        <v>3</v>
      </c>
      <c r="CD24">
        <v>19</v>
      </c>
      <c r="CE24">
        <f t="shared" si="68"/>
        <v>137.5</v>
      </c>
      <c r="CF24">
        <f t="shared" si="24"/>
        <v>93.5374149659864</v>
      </c>
      <c r="CG24">
        <f t="shared" si="25"/>
        <v>67.857142857142861</v>
      </c>
      <c r="CH24">
        <f t="shared" si="26"/>
        <v>1.3483965014577293</v>
      </c>
      <c r="CM24">
        <v>10</v>
      </c>
      <c r="CN24">
        <v>19</v>
      </c>
      <c r="CO24">
        <f t="shared" si="69"/>
        <v>491</v>
      </c>
      <c r="CP24">
        <f t="shared" si="27"/>
        <v>88.708220415537482</v>
      </c>
      <c r="CQ24">
        <f t="shared" si="28"/>
        <v>55.882352941176471</v>
      </c>
      <c r="CR24">
        <f t="shared" si="29"/>
        <v>0.98304904617672972</v>
      </c>
      <c r="CW24">
        <v>3</v>
      </c>
      <c r="CX24">
        <v>19</v>
      </c>
      <c r="CY24">
        <f t="shared" si="70"/>
        <v>231</v>
      </c>
      <c r="CZ24">
        <f t="shared" si="30"/>
        <v>92.455473283970377</v>
      </c>
      <c r="DA24">
        <f t="shared" si="31"/>
        <v>57.575757575757578</v>
      </c>
      <c r="DB24">
        <f t="shared" si="32"/>
        <v>0.67313115141811775</v>
      </c>
      <c r="DG24">
        <v>3</v>
      </c>
      <c r="DH24">
        <v>19</v>
      </c>
      <c r="DI24">
        <f t="shared" si="71"/>
        <v>132.5</v>
      </c>
      <c r="DJ24">
        <f t="shared" si="33"/>
        <v>90.877914951989041</v>
      </c>
      <c r="DK24">
        <f t="shared" si="34"/>
        <v>63.333333333333329</v>
      </c>
      <c r="DL24">
        <f t="shared" si="35"/>
        <v>1.2688614540466441</v>
      </c>
      <c r="DQ24">
        <v>3.5</v>
      </c>
      <c r="DR24">
        <v>19</v>
      </c>
      <c r="DS24">
        <f t="shared" si="72"/>
        <v>112</v>
      </c>
      <c r="DT24">
        <f t="shared" si="36"/>
        <v>81.751824817518255</v>
      </c>
      <c r="DU24">
        <f t="shared" si="37"/>
        <v>50</v>
      </c>
      <c r="DV24">
        <f t="shared" si="38"/>
        <v>1.2437572032270472</v>
      </c>
      <c r="EA24">
        <v>2</v>
      </c>
      <c r="EB24">
        <v>19</v>
      </c>
      <c r="EC24">
        <f t="shared" si="73"/>
        <v>100</v>
      </c>
      <c r="ED24">
        <f t="shared" si="39"/>
        <v>88.417329796640146</v>
      </c>
      <c r="EE24">
        <f t="shared" si="40"/>
        <v>67.857142857142861</v>
      </c>
      <c r="EF24">
        <f t="shared" si="41"/>
        <v>1.1683718580270366</v>
      </c>
      <c r="EK24">
        <v>3</v>
      </c>
      <c r="EL24">
        <v>19</v>
      </c>
      <c r="EM24">
        <f t="shared" si="74"/>
        <v>116.5</v>
      </c>
      <c r="EN24">
        <f t="shared" si="42"/>
        <v>85.851142225497426</v>
      </c>
      <c r="EO24">
        <f t="shared" si="43"/>
        <v>57.575757575757578</v>
      </c>
      <c r="EP24">
        <f t="shared" si="44"/>
        <v>1.2393649092248911</v>
      </c>
      <c r="EU24">
        <v>1.5</v>
      </c>
      <c r="EV24">
        <v>19</v>
      </c>
      <c r="EW24">
        <f t="shared" si="75"/>
        <v>86</v>
      </c>
      <c r="EX24">
        <f t="shared" si="45"/>
        <v>86.086086086086084</v>
      </c>
      <c r="EY24">
        <f t="shared" si="46"/>
        <v>48.717948717948715</v>
      </c>
      <c r="EZ24">
        <f t="shared" si="47"/>
        <v>0.71225071225070846</v>
      </c>
      <c r="FE24">
        <v>2.5</v>
      </c>
      <c r="FF24">
        <v>19</v>
      </c>
      <c r="FG24">
        <f t="shared" si="76"/>
        <v>91</v>
      </c>
      <c r="FH24">
        <f t="shared" si="48"/>
        <v>81.797752808988761</v>
      </c>
      <c r="FI24">
        <f t="shared" si="49"/>
        <v>57.575757575757578</v>
      </c>
      <c r="FJ24">
        <f t="shared" si="50"/>
        <v>1.2597889002383384</v>
      </c>
      <c r="FO24">
        <v>4</v>
      </c>
      <c r="FP24">
        <v>19</v>
      </c>
      <c r="FQ24">
        <f t="shared" si="77"/>
        <v>169.5</v>
      </c>
      <c r="FR24">
        <f t="shared" si="51"/>
        <v>85.606060606060609</v>
      </c>
      <c r="FS24">
        <f t="shared" si="52"/>
        <v>50</v>
      </c>
      <c r="FT24">
        <f t="shared" si="53"/>
        <v>0.98351940457203635</v>
      </c>
      <c r="FY24">
        <v>3</v>
      </c>
      <c r="FZ24">
        <v>19</v>
      </c>
      <c r="GA24">
        <f t="shared" si="78"/>
        <v>86.5</v>
      </c>
      <c r="GB24">
        <f t="shared" si="54"/>
        <v>73.99486740804106</v>
      </c>
      <c r="GC24">
        <f t="shared" si="55"/>
        <v>46.341463414634148</v>
      </c>
      <c r="GD24">
        <f t="shared" si="56"/>
        <v>1.1579628200045888</v>
      </c>
      <c r="GI24">
        <v>2.5</v>
      </c>
      <c r="GJ24">
        <v>19</v>
      </c>
      <c r="GK24">
        <f t="shared" si="79"/>
        <v>100.5</v>
      </c>
      <c r="GL24">
        <f t="shared" si="57"/>
        <v>85.205595591352264</v>
      </c>
      <c r="GM24">
        <f t="shared" si="58"/>
        <v>55.882352941176471</v>
      </c>
      <c r="GN24">
        <f t="shared" si="59"/>
        <v>1.1532803032192112</v>
      </c>
    </row>
    <row r="25" spans="1:196" x14ac:dyDescent="0.2">
      <c r="A25">
        <v>2.5</v>
      </c>
      <c r="B25">
        <v>20</v>
      </c>
      <c r="C25">
        <f t="shared" si="60"/>
        <v>150.5</v>
      </c>
      <c r="D25">
        <f t="shared" si="0"/>
        <v>93.420235878336442</v>
      </c>
      <c r="E25">
        <f t="shared" si="1"/>
        <v>64.516129032258064</v>
      </c>
      <c r="F25">
        <f t="shared" si="2"/>
        <v>0.97615185919384895</v>
      </c>
      <c r="K25">
        <v>8</v>
      </c>
      <c r="L25">
        <v>20</v>
      </c>
      <c r="M25">
        <f t="shared" si="61"/>
        <v>415</v>
      </c>
      <c r="N25">
        <f t="shared" si="3"/>
        <v>90.64103964180407</v>
      </c>
      <c r="O25">
        <f t="shared" si="4"/>
        <v>52.631578947368418</v>
      </c>
      <c r="P25">
        <f t="shared" si="5"/>
        <v>0.89663932683077907</v>
      </c>
      <c r="U25">
        <v>7</v>
      </c>
      <c r="V25">
        <v>20</v>
      </c>
      <c r="W25">
        <f t="shared" si="62"/>
        <v>349.5</v>
      </c>
      <c r="X25">
        <f t="shared" si="6"/>
        <v>95.270546544909365</v>
      </c>
      <c r="Y25">
        <f t="shared" si="7"/>
        <v>76.923076923076934</v>
      </c>
      <c r="Z25">
        <f t="shared" si="8"/>
        <v>1.4311026305029344</v>
      </c>
      <c r="AE25">
        <v>5</v>
      </c>
      <c r="AF25">
        <v>20</v>
      </c>
      <c r="AG25">
        <f t="shared" si="63"/>
        <v>484</v>
      </c>
      <c r="AH25">
        <f t="shared" si="9"/>
        <v>96.926003804946419</v>
      </c>
      <c r="AI25">
        <f t="shared" si="10"/>
        <v>71.428571428571431</v>
      </c>
      <c r="AJ25">
        <f t="shared" si="11"/>
        <v>0.69733510706775947</v>
      </c>
      <c r="AO25">
        <v>6</v>
      </c>
      <c r="AP25">
        <v>20</v>
      </c>
      <c r="AQ25">
        <f t="shared" si="64"/>
        <v>408</v>
      </c>
      <c r="AR25">
        <f t="shared" si="12"/>
        <v>93.182596779719077</v>
      </c>
      <c r="AS25">
        <f t="shared" si="13"/>
        <v>60.606060606060609</v>
      </c>
      <c r="AT25">
        <f t="shared" si="14"/>
        <v>0.80974181693605896</v>
      </c>
      <c r="AY25">
        <v>5</v>
      </c>
      <c r="AZ25">
        <v>20</v>
      </c>
      <c r="BA25">
        <f t="shared" si="65"/>
        <v>211.5</v>
      </c>
      <c r="BB25">
        <f t="shared" si="15"/>
        <v>94.209354120267264</v>
      </c>
      <c r="BC25">
        <f t="shared" si="16"/>
        <v>66.666666666666657</v>
      </c>
      <c r="BD25">
        <f t="shared" si="17"/>
        <v>1.4476614699331867</v>
      </c>
      <c r="BI25">
        <v>3</v>
      </c>
      <c r="BJ25">
        <v>20</v>
      </c>
      <c r="BK25">
        <f t="shared" si="66"/>
        <v>181</v>
      </c>
      <c r="BL25">
        <f t="shared" si="18"/>
        <v>89.904383459580288</v>
      </c>
      <c r="BM25">
        <f t="shared" si="19"/>
        <v>54.054054054054056</v>
      </c>
      <c r="BN25">
        <f t="shared" si="20"/>
        <v>0.78533767842100588</v>
      </c>
      <c r="BS25">
        <v>7</v>
      </c>
      <c r="BT25">
        <v>20</v>
      </c>
      <c r="BU25">
        <f t="shared" si="67"/>
        <v>334.5</v>
      </c>
      <c r="BV25">
        <f t="shared" si="21"/>
        <v>93.631910426871912</v>
      </c>
      <c r="BW25">
        <f t="shared" si="22"/>
        <v>52.631578947368418</v>
      </c>
      <c r="BX25">
        <f t="shared" si="23"/>
        <v>1.0054878273360122</v>
      </c>
      <c r="CC25">
        <v>2</v>
      </c>
      <c r="CD25">
        <v>20</v>
      </c>
      <c r="CE25">
        <f t="shared" si="68"/>
        <v>139.5</v>
      </c>
      <c r="CF25">
        <f t="shared" si="24"/>
        <v>94.897959183673478</v>
      </c>
      <c r="CG25">
        <f t="shared" si="25"/>
        <v>71.428571428571431</v>
      </c>
      <c r="CH25">
        <f t="shared" si="26"/>
        <v>0.94752186588921505</v>
      </c>
      <c r="CM25">
        <v>10</v>
      </c>
      <c r="CN25">
        <v>20</v>
      </c>
      <c r="CO25">
        <f t="shared" si="69"/>
        <v>501</v>
      </c>
      <c r="CP25">
        <f t="shared" si="27"/>
        <v>90.514905149051501</v>
      </c>
      <c r="CQ25">
        <f t="shared" si="28"/>
        <v>58.82352941176471</v>
      </c>
      <c r="CR25">
        <f t="shared" si="29"/>
        <v>1.0361868324565693</v>
      </c>
      <c r="CW25">
        <v>2.5</v>
      </c>
      <c r="CX25">
        <v>20</v>
      </c>
      <c r="CY25">
        <f t="shared" si="70"/>
        <v>233.5</v>
      </c>
      <c r="CZ25">
        <f t="shared" si="30"/>
        <v>93.456073644186517</v>
      </c>
      <c r="DA25">
        <f t="shared" si="31"/>
        <v>60.606060606060609</v>
      </c>
      <c r="DB25">
        <f t="shared" si="32"/>
        <v>0.59126384921862818</v>
      </c>
      <c r="DG25">
        <v>2.5</v>
      </c>
      <c r="DH25">
        <v>20</v>
      </c>
      <c r="DI25">
        <f t="shared" si="71"/>
        <v>135</v>
      </c>
      <c r="DJ25">
        <f t="shared" si="33"/>
        <v>92.592592592592609</v>
      </c>
      <c r="DK25">
        <f t="shared" si="34"/>
        <v>66.666666666666657</v>
      </c>
      <c r="DL25">
        <f t="shared" si="35"/>
        <v>1.1145404663923195</v>
      </c>
      <c r="DQ25">
        <v>3</v>
      </c>
      <c r="DR25">
        <v>20</v>
      </c>
      <c r="DS25">
        <f t="shared" si="72"/>
        <v>115</v>
      </c>
      <c r="DT25">
        <f t="shared" si="36"/>
        <v>83.941605839416056</v>
      </c>
      <c r="DU25">
        <f t="shared" si="37"/>
        <v>52.631578947368418</v>
      </c>
      <c r="DV25">
        <f t="shared" si="38"/>
        <v>1.1237034191317661</v>
      </c>
      <c r="EA25">
        <v>2</v>
      </c>
      <c r="EB25">
        <v>20</v>
      </c>
      <c r="EC25">
        <f t="shared" si="73"/>
        <v>102</v>
      </c>
      <c r="ED25">
        <f t="shared" si="39"/>
        <v>90.185676392572944</v>
      </c>
      <c r="EE25">
        <f t="shared" si="40"/>
        <v>71.428571428571431</v>
      </c>
      <c r="EF25">
        <f t="shared" si="41"/>
        <v>1.2315270935960554</v>
      </c>
      <c r="EK25">
        <v>3</v>
      </c>
      <c r="EL25">
        <v>20</v>
      </c>
      <c r="EM25">
        <f t="shared" si="74"/>
        <v>119.5</v>
      </c>
      <c r="EN25">
        <f t="shared" si="42"/>
        <v>88.061901252763448</v>
      </c>
      <c r="EO25">
        <f t="shared" si="43"/>
        <v>60.606060606060609</v>
      </c>
      <c r="EP25">
        <f t="shared" si="44"/>
        <v>1.3063576070208311</v>
      </c>
      <c r="EU25">
        <v>1.5</v>
      </c>
      <c r="EV25">
        <v>20</v>
      </c>
      <c r="EW25">
        <f t="shared" si="75"/>
        <v>87.5</v>
      </c>
      <c r="EX25">
        <f t="shared" si="45"/>
        <v>87.587587587587592</v>
      </c>
      <c r="EY25">
        <f t="shared" si="46"/>
        <v>51.282051282051277</v>
      </c>
      <c r="EZ25">
        <f t="shared" si="47"/>
        <v>0.75075075075075404</v>
      </c>
      <c r="FE25">
        <v>2.5</v>
      </c>
      <c r="FF25">
        <v>20</v>
      </c>
      <c r="FG25">
        <f t="shared" si="76"/>
        <v>93.5</v>
      </c>
      <c r="FH25">
        <f t="shared" si="48"/>
        <v>84.044943820224717</v>
      </c>
      <c r="FI25">
        <f t="shared" si="49"/>
        <v>60.606060606060609</v>
      </c>
      <c r="FJ25">
        <f t="shared" si="50"/>
        <v>1.3278855975485191</v>
      </c>
      <c r="FO25">
        <v>4</v>
      </c>
      <c r="FP25">
        <v>20</v>
      </c>
      <c r="FQ25">
        <f t="shared" si="77"/>
        <v>173.5</v>
      </c>
      <c r="FR25">
        <f t="shared" si="51"/>
        <v>87.62626262626263</v>
      </c>
      <c r="FS25">
        <f t="shared" si="52"/>
        <v>52.631578947368418</v>
      </c>
      <c r="FT25">
        <f t="shared" si="53"/>
        <v>1.0366826156299842</v>
      </c>
      <c r="FY25">
        <v>3</v>
      </c>
      <c r="FZ25">
        <v>20</v>
      </c>
      <c r="GA25">
        <f t="shared" si="78"/>
        <v>89.5</v>
      </c>
      <c r="GB25">
        <f t="shared" si="54"/>
        <v>76.561163387510703</v>
      </c>
      <c r="GC25">
        <f t="shared" si="55"/>
        <v>48.780487804878049</v>
      </c>
      <c r="GD25">
        <f t="shared" si="56"/>
        <v>1.2205554048697085</v>
      </c>
      <c r="GI25">
        <v>2</v>
      </c>
      <c r="GJ25">
        <v>20</v>
      </c>
      <c r="GK25">
        <f t="shared" si="79"/>
        <v>102.5</v>
      </c>
      <c r="GL25">
        <f t="shared" si="57"/>
        <v>86.901229334463764</v>
      </c>
      <c r="GM25">
        <f t="shared" si="58"/>
        <v>58.82352941176471</v>
      </c>
      <c r="GN25">
        <f t="shared" si="59"/>
        <v>0.97249582325512518</v>
      </c>
    </row>
    <row r="26" spans="1:196" x14ac:dyDescent="0.2">
      <c r="A26">
        <v>2.5</v>
      </c>
      <c r="B26">
        <v>21</v>
      </c>
      <c r="C26">
        <f t="shared" si="60"/>
        <v>153</v>
      </c>
      <c r="D26">
        <f t="shared" si="0"/>
        <v>94.97206703910615</v>
      </c>
      <c r="E26">
        <f t="shared" si="1"/>
        <v>67.741935483870961</v>
      </c>
      <c r="F26">
        <f t="shared" si="2"/>
        <v>1.0262109288960977</v>
      </c>
      <c r="K26">
        <v>8</v>
      </c>
      <c r="L26">
        <v>21</v>
      </c>
      <c r="M26">
        <f t="shared" si="61"/>
        <v>423</v>
      </c>
      <c r="N26">
        <f t="shared" si="3"/>
        <v>92.388336791525603</v>
      </c>
      <c r="O26">
        <f t="shared" si="4"/>
        <v>55.26315789473685</v>
      </c>
      <c r="P26">
        <f t="shared" si="5"/>
        <v>0.94262083077082681</v>
      </c>
      <c r="U26">
        <v>6</v>
      </c>
      <c r="V26">
        <v>21</v>
      </c>
      <c r="W26">
        <f t="shared" si="62"/>
        <v>355.5</v>
      </c>
      <c r="X26">
        <f t="shared" si="6"/>
        <v>96.90609240834128</v>
      </c>
      <c r="Y26">
        <f t="shared" si="7"/>
        <v>80.769230769230774</v>
      </c>
      <c r="Z26">
        <f t="shared" si="8"/>
        <v>1.2895650077059329</v>
      </c>
      <c r="AE26">
        <v>5</v>
      </c>
      <c r="AF26">
        <v>21</v>
      </c>
      <c r="AG26">
        <f t="shared" si="63"/>
        <v>489</v>
      </c>
      <c r="AH26">
        <f t="shared" si="9"/>
        <v>97.927305497146293</v>
      </c>
      <c r="AI26">
        <f t="shared" si="10"/>
        <v>75</v>
      </c>
      <c r="AJ26">
        <f t="shared" si="11"/>
        <v>0.7330958817891936</v>
      </c>
      <c r="AO26">
        <v>5</v>
      </c>
      <c r="AP26">
        <v>21</v>
      </c>
      <c r="AQ26">
        <f t="shared" si="64"/>
        <v>413</v>
      </c>
      <c r="AR26">
        <f t="shared" si="12"/>
        <v>94.324540367705836</v>
      </c>
      <c r="AS26">
        <f t="shared" si="13"/>
        <v>63.636363636363633</v>
      </c>
      <c r="AT26">
        <f t="shared" si="14"/>
        <v>0.70938919859783522</v>
      </c>
      <c r="AY26">
        <v>4</v>
      </c>
      <c r="AZ26">
        <v>21</v>
      </c>
      <c r="BA26">
        <f t="shared" si="65"/>
        <v>215.5</v>
      </c>
      <c r="BB26">
        <f t="shared" si="15"/>
        <v>95.991091314031181</v>
      </c>
      <c r="BC26">
        <f t="shared" si="16"/>
        <v>70</v>
      </c>
      <c r="BD26">
        <f t="shared" si="17"/>
        <v>1.2175204157386763</v>
      </c>
      <c r="BI26">
        <v>2.5</v>
      </c>
      <c r="BJ26">
        <v>21</v>
      </c>
      <c r="BK26">
        <f t="shared" si="66"/>
        <v>183.5</v>
      </c>
      <c r="BL26">
        <f t="shared" si="18"/>
        <v>91.146156711784428</v>
      </c>
      <c r="BM26">
        <f t="shared" si="19"/>
        <v>56.756756756756758</v>
      </c>
      <c r="BN26">
        <f t="shared" si="20"/>
        <v>0.6880095045995912</v>
      </c>
      <c r="BS26">
        <v>4</v>
      </c>
      <c r="BT26">
        <v>21</v>
      </c>
      <c r="BU26">
        <f t="shared" si="67"/>
        <v>338.5</v>
      </c>
      <c r="BV26">
        <f t="shared" si="21"/>
        <v>94.751574527641679</v>
      </c>
      <c r="BW26">
        <f t="shared" si="22"/>
        <v>55.26315789473685</v>
      </c>
      <c r="BX26">
        <f t="shared" si="23"/>
        <v>0.60402931752053268</v>
      </c>
      <c r="CC26">
        <v>1.5</v>
      </c>
      <c r="CD26">
        <v>21</v>
      </c>
      <c r="CE26">
        <f t="shared" si="68"/>
        <v>141</v>
      </c>
      <c r="CF26">
        <f t="shared" si="24"/>
        <v>95.918367346938766</v>
      </c>
      <c r="CG26">
        <f t="shared" si="25"/>
        <v>75</v>
      </c>
      <c r="CH26">
        <f t="shared" si="26"/>
        <v>0.74708454810494263</v>
      </c>
      <c r="CM26">
        <v>8</v>
      </c>
      <c r="CN26">
        <v>21</v>
      </c>
      <c r="CO26">
        <f t="shared" si="69"/>
        <v>509</v>
      </c>
      <c r="CP26">
        <f t="shared" si="27"/>
        <v>91.960252935862698</v>
      </c>
      <c r="CQ26">
        <f t="shared" si="28"/>
        <v>61.764705882352942</v>
      </c>
      <c r="CR26">
        <f t="shared" si="29"/>
        <v>0.87145969498910436</v>
      </c>
      <c r="CW26">
        <v>2.5</v>
      </c>
      <c r="CX26">
        <v>21</v>
      </c>
      <c r="CY26">
        <f t="shared" si="70"/>
        <v>236</v>
      </c>
      <c r="CZ26">
        <f t="shared" si="30"/>
        <v>94.456674004402643</v>
      </c>
      <c r="DA26">
        <f t="shared" si="31"/>
        <v>63.636363636363633</v>
      </c>
      <c r="DB26">
        <f t="shared" si="32"/>
        <v>0.6215850722554721</v>
      </c>
      <c r="DG26">
        <v>2.5</v>
      </c>
      <c r="DH26">
        <v>21</v>
      </c>
      <c r="DI26">
        <f t="shared" si="71"/>
        <v>137.5</v>
      </c>
      <c r="DJ26">
        <f t="shared" si="33"/>
        <v>94.307270233196178</v>
      </c>
      <c r="DK26">
        <f t="shared" si="34"/>
        <v>70</v>
      </c>
      <c r="DL26">
        <f t="shared" si="35"/>
        <v>1.1716963877457716</v>
      </c>
      <c r="DQ26">
        <v>2.5</v>
      </c>
      <c r="DR26">
        <v>21</v>
      </c>
      <c r="DS26">
        <f t="shared" si="72"/>
        <v>117.5</v>
      </c>
      <c r="DT26">
        <f t="shared" si="36"/>
        <v>85.766423357664237</v>
      </c>
      <c r="DU26">
        <f t="shared" si="37"/>
        <v>55.26315789473685</v>
      </c>
      <c r="DV26">
        <f t="shared" si="38"/>
        <v>0.98444102958125579</v>
      </c>
      <c r="EA26">
        <v>2</v>
      </c>
      <c r="EB26">
        <v>21</v>
      </c>
      <c r="EC26">
        <f t="shared" si="73"/>
        <v>104</v>
      </c>
      <c r="ED26">
        <f t="shared" si="39"/>
        <v>91.954022988505756</v>
      </c>
      <c r="EE26">
        <f t="shared" si="40"/>
        <v>75</v>
      </c>
      <c r="EF26">
        <f t="shared" si="41"/>
        <v>1.2946823291650944</v>
      </c>
      <c r="EK26">
        <v>2.5</v>
      </c>
      <c r="EL26">
        <v>21</v>
      </c>
      <c r="EM26">
        <f t="shared" si="74"/>
        <v>122</v>
      </c>
      <c r="EN26">
        <f t="shared" si="42"/>
        <v>89.904200442151819</v>
      </c>
      <c r="EO26">
        <f t="shared" si="43"/>
        <v>63.636363636363633</v>
      </c>
      <c r="EP26">
        <f t="shared" si="44"/>
        <v>1.1444585873473212</v>
      </c>
      <c r="EU26">
        <v>1.5</v>
      </c>
      <c r="EV26">
        <v>21</v>
      </c>
      <c r="EW26">
        <f t="shared" si="75"/>
        <v>89</v>
      </c>
      <c r="EX26">
        <f t="shared" si="45"/>
        <v>89.0890890890891</v>
      </c>
      <c r="EY26">
        <f t="shared" si="46"/>
        <v>53.846153846153847</v>
      </c>
      <c r="EZ26">
        <f t="shared" si="47"/>
        <v>0.78925078925079262</v>
      </c>
      <c r="FE26">
        <v>2.5</v>
      </c>
      <c r="FF26">
        <v>21</v>
      </c>
      <c r="FG26">
        <f t="shared" si="76"/>
        <v>96</v>
      </c>
      <c r="FH26">
        <f t="shared" si="48"/>
        <v>86.292134831460672</v>
      </c>
      <c r="FI26">
        <f t="shared" si="49"/>
        <v>63.636363636363633</v>
      </c>
      <c r="FJ26">
        <f t="shared" si="50"/>
        <v>1.3959822948586995</v>
      </c>
      <c r="FO26">
        <v>3.5</v>
      </c>
      <c r="FP26">
        <v>21</v>
      </c>
      <c r="FQ26">
        <f t="shared" si="77"/>
        <v>177</v>
      </c>
      <c r="FR26">
        <f t="shared" si="51"/>
        <v>89.393939393939391</v>
      </c>
      <c r="FS26">
        <f t="shared" si="52"/>
        <v>55.26315789473685</v>
      </c>
      <c r="FT26">
        <f t="shared" si="53"/>
        <v>0.95361509835193692</v>
      </c>
      <c r="FY26">
        <v>3</v>
      </c>
      <c r="FZ26">
        <v>21</v>
      </c>
      <c r="GA26">
        <f t="shared" si="78"/>
        <v>92.5</v>
      </c>
      <c r="GB26">
        <f t="shared" si="54"/>
        <v>79.127459366980332</v>
      </c>
      <c r="GC26">
        <f t="shared" si="55"/>
        <v>51.219512195121951</v>
      </c>
      <c r="GD26">
        <f t="shared" si="56"/>
        <v>1.2831479897348146</v>
      </c>
      <c r="GI26">
        <v>2</v>
      </c>
      <c r="GJ26">
        <v>21</v>
      </c>
      <c r="GK26">
        <f t="shared" si="79"/>
        <v>104.5</v>
      </c>
      <c r="GL26">
        <f t="shared" si="57"/>
        <v>88.596863077575236</v>
      </c>
      <c r="GM26">
        <f t="shared" si="58"/>
        <v>61.764705882352942</v>
      </c>
      <c r="GN26">
        <f t="shared" si="59"/>
        <v>1.022367403934858</v>
      </c>
    </row>
    <row r="27" spans="1:196" x14ac:dyDescent="0.2">
      <c r="A27">
        <v>2</v>
      </c>
      <c r="B27">
        <v>22</v>
      </c>
      <c r="C27">
        <f t="shared" si="60"/>
        <v>155</v>
      </c>
      <c r="D27">
        <f t="shared" si="0"/>
        <v>96.213531967721906</v>
      </c>
      <c r="E27">
        <f t="shared" si="1"/>
        <v>70.967741935483872</v>
      </c>
      <c r="F27">
        <f t="shared" si="2"/>
        <v>0.86101599887866898</v>
      </c>
      <c r="K27">
        <v>7.5</v>
      </c>
      <c r="L27">
        <v>22</v>
      </c>
      <c r="M27">
        <f t="shared" si="61"/>
        <v>430.5</v>
      </c>
      <c r="N27">
        <f t="shared" si="3"/>
        <v>94.026427869389522</v>
      </c>
      <c r="O27">
        <f t="shared" si="4"/>
        <v>57.894736842105267</v>
      </c>
      <c r="P27">
        <f t="shared" si="5"/>
        <v>0.92681468879142803</v>
      </c>
      <c r="U27">
        <v>5</v>
      </c>
      <c r="V27">
        <v>22</v>
      </c>
      <c r="W27">
        <f t="shared" si="62"/>
        <v>360.5</v>
      </c>
      <c r="X27">
        <f t="shared" si="6"/>
        <v>98.269047294534545</v>
      </c>
      <c r="Y27">
        <f t="shared" si="7"/>
        <v>84.615384615384613</v>
      </c>
      <c r="Z27">
        <f t="shared" si="8"/>
        <v>1.1270588481982766</v>
      </c>
      <c r="AE27">
        <v>4</v>
      </c>
      <c r="AF27">
        <v>22</v>
      </c>
      <c r="AG27">
        <f t="shared" si="63"/>
        <v>493</v>
      </c>
      <c r="AH27">
        <f t="shared" si="9"/>
        <v>98.728346850906178</v>
      </c>
      <c r="AI27">
        <f t="shared" si="10"/>
        <v>78.571428571428569</v>
      </c>
      <c r="AJ27">
        <f t="shared" si="11"/>
        <v>0.61508532520848314</v>
      </c>
      <c r="AO27">
        <v>5</v>
      </c>
      <c r="AP27">
        <v>22</v>
      </c>
      <c r="AQ27">
        <f t="shared" si="64"/>
        <v>418</v>
      </c>
      <c r="AR27">
        <f t="shared" si="12"/>
        <v>95.466483955692581</v>
      </c>
      <c r="AS27">
        <f t="shared" si="13"/>
        <v>66.666666666666657</v>
      </c>
      <c r="AT27">
        <f t="shared" si="14"/>
        <v>0.74399354974893983</v>
      </c>
      <c r="AY27">
        <v>3</v>
      </c>
      <c r="AZ27">
        <v>22</v>
      </c>
      <c r="BA27">
        <f t="shared" si="65"/>
        <v>218.5</v>
      </c>
      <c r="BB27">
        <f t="shared" si="15"/>
        <v>97.327394209354125</v>
      </c>
      <c r="BC27">
        <f t="shared" si="16"/>
        <v>73.333333333333329</v>
      </c>
      <c r="BD27">
        <f t="shared" si="17"/>
        <v>0.9576837416481101</v>
      </c>
      <c r="BI27">
        <v>2.5</v>
      </c>
      <c r="BJ27">
        <v>22</v>
      </c>
      <c r="BK27">
        <f t="shared" si="66"/>
        <v>186</v>
      </c>
      <c r="BL27">
        <f t="shared" si="18"/>
        <v>92.387929963988583</v>
      </c>
      <c r="BM27">
        <f t="shared" si="19"/>
        <v>59.45945945945946</v>
      </c>
      <c r="BN27">
        <f t="shared" si="20"/>
        <v>0.72157094384836018</v>
      </c>
      <c r="BS27">
        <v>4</v>
      </c>
      <c r="BT27">
        <v>22</v>
      </c>
      <c r="BU27">
        <f t="shared" si="67"/>
        <v>342.5</v>
      </c>
      <c r="BV27">
        <f t="shared" si="21"/>
        <v>95.871238628411447</v>
      </c>
      <c r="BW27">
        <f t="shared" si="22"/>
        <v>57.894736842105267</v>
      </c>
      <c r="BX27">
        <f t="shared" si="23"/>
        <v>0.63349416227763189</v>
      </c>
      <c r="CC27">
        <v>1.5</v>
      </c>
      <c r="CD27">
        <v>22</v>
      </c>
      <c r="CE27">
        <f t="shared" si="68"/>
        <v>142.5</v>
      </c>
      <c r="CF27">
        <f t="shared" si="24"/>
        <v>96.938775510204081</v>
      </c>
      <c r="CG27">
        <f t="shared" si="25"/>
        <v>78.571428571428569</v>
      </c>
      <c r="CH27">
        <f t="shared" si="26"/>
        <v>0.78352769679301015</v>
      </c>
      <c r="CM27">
        <v>7.5</v>
      </c>
      <c r="CN27">
        <v>22</v>
      </c>
      <c r="CO27">
        <f t="shared" si="69"/>
        <v>516.5</v>
      </c>
      <c r="CP27">
        <f t="shared" si="27"/>
        <v>93.315266485998194</v>
      </c>
      <c r="CQ27">
        <f t="shared" si="28"/>
        <v>64.705882352941174</v>
      </c>
      <c r="CR27">
        <f t="shared" si="29"/>
        <v>0.85684680376215183</v>
      </c>
      <c r="CW27">
        <v>2.5</v>
      </c>
      <c r="CX27">
        <v>22</v>
      </c>
      <c r="CY27">
        <f t="shared" si="70"/>
        <v>238.5</v>
      </c>
      <c r="CZ27">
        <f t="shared" si="30"/>
        <v>95.457274364618769</v>
      </c>
      <c r="DA27">
        <f t="shared" si="31"/>
        <v>66.666666666666657</v>
      </c>
      <c r="DB27">
        <f t="shared" si="32"/>
        <v>0.65190629529232424</v>
      </c>
      <c r="DG27">
        <v>2</v>
      </c>
      <c r="DH27">
        <v>22</v>
      </c>
      <c r="DI27">
        <f t="shared" si="71"/>
        <v>139.5</v>
      </c>
      <c r="DJ27">
        <f t="shared" si="33"/>
        <v>95.679012345679027</v>
      </c>
      <c r="DK27">
        <f t="shared" si="34"/>
        <v>73.333333333333329</v>
      </c>
      <c r="DL27">
        <f t="shared" si="35"/>
        <v>0.98308184727937498</v>
      </c>
      <c r="DQ27">
        <v>2</v>
      </c>
      <c r="DR27">
        <v>22</v>
      </c>
      <c r="DS27">
        <f t="shared" si="72"/>
        <v>119.5</v>
      </c>
      <c r="DT27">
        <f t="shared" si="36"/>
        <v>87.226277372262771</v>
      </c>
      <c r="DU27">
        <f t="shared" si="37"/>
        <v>57.894736842105267</v>
      </c>
      <c r="DV27">
        <f t="shared" si="38"/>
        <v>0.82597003457548634</v>
      </c>
      <c r="EA27">
        <v>2</v>
      </c>
      <c r="EB27">
        <v>22</v>
      </c>
      <c r="EC27">
        <f t="shared" si="73"/>
        <v>106</v>
      </c>
      <c r="ED27">
        <f t="shared" si="39"/>
        <v>93.722369584438553</v>
      </c>
      <c r="EE27">
        <f t="shared" si="40"/>
        <v>78.571428571428569</v>
      </c>
      <c r="EF27">
        <f t="shared" si="41"/>
        <v>1.3578375647341121</v>
      </c>
      <c r="EK27">
        <v>2.5</v>
      </c>
      <c r="EL27">
        <v>22</v>
      </c>
      <c r="EM27">
        <f t="shared" si="74"/>
        <v>124.5</v>
      </c>
      <c r="EN27">
        <f t="shared" si="42"/>
        <v>91.746499631540175</v>
      </c>
      <c r="EO27">
        <f t="shared" si="43"/>
        <v>66.666666666666657</v>
      </c>
      <c r="EP27">
        <f t="shared" si="44"/>
        <v>1.2002858355105956</v>
      </c>
      <c r="EU27">
        <v>1.5</v>
      </c>
      <c r="EV27">
        <v>22</v>
      </c>
      <c r="EW27">
        <f t="shared" si="75"/>
        <v>90.5</v>
      </c>
      <c r="EX27">
        <f t="shared" si="45"/>
        <v>90.590590590590608</v>
      </c>
      <c r="EY27">
        <f t="shared" si="46"/>
        <v>56.410256410256409</v>
      </c>
      <c r="EZ27">
        <f t="shared" si="47"/>
        <v>0.82775082775083131</v>
      </c>
      <c r="FE27">
        <v>2</v>
      </c>
      <c r="FF27">
        <v>22</v>
      </c>
      <c r="FG27">
        <f t="shared" si="76"/>
        <v>98</v>
      </c>
      <c r="FH27">
        <f t="shared" si="48"/>
        <v>88.089887640449433</v>
      </c>
      <c r="FI27">
        <f t="shared" si="49"/>
        <v>66.666666666666657</v>
      </c>
      <c r="FJ27">
        <f t="shared" si="50"/>
        <v>1.1712631937351019</v>
      </c>
      <c r="FO27">
        <v>3</v>
      </c>
      <c r="FP27">
        <v>22</v>
      </c>
      <c r="FQ27">
        <f t="shared" si="77"/>
        <v>180</v>
      </c>
      <c r="FR27">
        <f t="shared" si="51"/>
        <v>90.909090909090907</v>
      </c>
      <c r="FS27">
        <f t="shared" si="52"/>
        <v>57.894736842105267</v>
      </c>
      <c r="FT27">
        <f t="shared" si="53"/>
        <v>0.85725677830941027</v>
      </c>
      <c r="FY27">
        <v>3</v>
      </c>
      <c r="FZ27">
        <v>22</v>
      </c>
      <c r="GA27">
        <f t="shared" si="78"/>
        <v>95.5</v>
      </c>
      <c r="GB27">
        <f t="shared" si="54"/>
        <v>81.693755346449962</v>
      </c>
      <c r="GC27">
        <f t="shared" si="55"/>
        <v>53.658536585365859</v>
      </c>
      <c r="GD27">
        <f t="shared" si="56"/>
        <v>1.3457405745999276</v>
      </c>
      <c r="GI27">
        <v>2</v>
      </c>
      <c r="GJ27">
        <v>22</v>
      </c>
      <c r="GK27">
        <f t="shared" si="79"/>
        <v>106.5</v>
      </c>
      <c r="GL27">
        <f t="shared" si="57"/>
        <v>90.292496820686736</v>
      </c>
      <c r="GM27">
        <f t="shared" si="58"/>
        <v>64.705882352941174</v>
      </c>
      <c r="GN27">
        <f t="shared" si="59"/>
        <v>1.0722389846146252</v>
      </c>
    </row>
    <row r="28" spans="1:196" x14ac:dyDescent="0.2">
      <c r="A28">
        <v>1.5</v>
      </c>
      <c r="B28">
        <v>23</v>
      </c>
      <c r="C28">
        <f t="shared" si="60"/>
        <v>156.5</v>
      </c>
      <c r="D28">
        <f t="shared" si="0"/>
        <v>97.144630664183737</v>
      </c>
      <c r="E28">
        <f t="shared" si="1"/>
        <v>74.193548387096769</v>
      </c>
      <c r="F28">
        <f t="shared" si="2"/>
        <v>0.67579744098036099</v>
      </c>
      <c r="K28">
        <v>6</v>
      </c>
      <c r="L28">
        <v>23</v>
      </c>
      <c r="M28">
        <f t="shared" si="61"/>
        <v>436.5</v>
      </c>
      <c r="N28">
        <f t="shared" si="3"/>
        <v>95.336900731680672</v>
      </c>
      <c r="O28">
        <f t="shared" si="4"/>
        <v>60.526315789473685</v>
      </c>
      <c r="P28">
        <f t="shared" si="5"/>
        <v>0.77593787898818067</v>
      </c>
      <c r="U28">
        <v>3</v>
      </c>
      <c r="V28">
        <v>23</v>
      </c>
      <c r="W28">
        <f t="shared" si="62"/>
        <v>363.5</v>
      </c>
      <c r="X28">
        <f t="shared" si="6"/>
        <v>99.086820226250509</v>
      </c>
      <c r="Y28">
        <f t="shared" si="7"/>
        <v>88.461538461538453</v>
      </c>
      <c r="Z28">
        <f t="shared" si="8"/>
        <v>0.70768811398496922</v>
      </c>
      <c r="AE28">
        <v>3</v>
      </c>
      <c r="AF28">
        <v>23</v>
      </c>
      <c r="AG28">
        <f t="shared" si="63"/>
        <v>496</v>
      </c>
      <c r="AH28">
        <f t="shared" si="9"/>
        <v>99.329127866226088</v>
      </c>
      <c r="AI28">
        <f t="shared" si="10"/>
        <v>82.142857142857139</v>
      </c>
      <c r="AJ28">
        <f t="shared" si="11"/>
        <v>0.48277045873921359</v>
      </c>
      <c r="AO28">
        <v>4.5</v>
      </c>
      <c r="AP28">
        <v>23</v>
      </c>
      <c r="AQ28">
        <f t="shared" si="64"/>
        <v>422.5</v>
      </c>
      <c r="AR28">
        <f t="shared" si="12"/>
        <v>96.494233184880656</v>
      </c>
      <c r="AS28">
        <f t="shared" si="13"/>
        <v>69.696969696969703</v>
      </c>
      <c r="AT28">
        <f t="shared" si="14"/>
        <v>0.700738110810051</v>
      </c>
      <c r="AY28">
        <v>2</v>
      </c>
      <c r="AZ28">
        <v>23</v>
      </c>
      <c r="BA28">
        <f t="shared" si="65"/>
        <v>220.5</v>
      </c>
      <c r="BB28">
        <f t="shared" si="15"/>
        <v>98.218262806236083</v>
      </c>
      <c r="BC28">
        <f t="shared" si="16"/>
        <v>76.666666666666671</v>
      </c>
      <c r="BD28">
        <f t="shared" si="17"/>
        <v>0.66815144766146872</v>
      </c>
      <c r="BI28">
        <v>2</v>
      </c>
      <c r="BJ28">
        <v>23</v>
      </c>
      <c r="BK28">
        <f t="shared" si="66"/>
        <v>188</v>
      </c>
      <c r="BL28">
        <f t="shared" si="18"/>
        <v>93.381348565751892</v>
      </c>
      <c r="BM28">
        <f t="shared" si="19"/>
        <v>62.162162162162161</v>
      </c>
      <c r="BN28">
        <f t="shared" si="20"/>
        <v>0.60410590647768825</v>
      </c>
      <c r="BS28">
        <v>3.5</v>
      </c>
      <c r="BT28">
        <v>23</v>
      </c>
      <c r="BU28">
        <f t="shared" si="67"/>
        <v>346</v>
      </c>
      <c r="BV28">
        <f t="shared" si="21"/>
        <v>96.850944716584991</v>
      </c>
      <c r="BW28">
        <f t="shared" si="22"/>
        <v>60.526315789473685</v>
      </c>
      <c r="BX28">
        <f t="shared" si="23"/>
        <v>0.58008913115538752</v>
      </c>
      <c r="CC28">
        <v>1.5</v>
      </c>
      <c r="CD28">
        <v>23</v>
      </c>
      <c r="CE28">
        <f t="shared" si="68"/>
        <v>144</v>
      </c>
      <c r="CF28">
        <f t="shared" si="24"/>
        <v>97.959183673469383</v>
      </c>
      <c r="CG28">
        <f t="shared" si="25"/>
        <v>82.142857142857139</v>
      </c>
      <c r="CH28">
        <f t="shared" si="26"/>
        <v>0.81997084548104582</v>
      </c>
      <c r="CM28">
        <v>5</v>
      </c>
      <c r="CN28">
        <v>23</v>
      </c>
      <c r="CO28">
        <f t="shared" si="69"/>
        <v>521.5</v>
      </c>
      <c r="CP28">
        <f t="shared" si="27"/>
        <v>94.218608852755196</v>
      </c>
      <c r="CQ28">
        <f t="shared" si="28"/>
        <v>67.64705882352942</v>
      </c>
      <c r="CR28">
        <f t="shared" si="29"/>
        <v>0.59780009564801606</v>
      </c>
      <c r="CW28">
        <v>2</v>
      </c>
      <c r="CX28">
        <v>23</v>
      </c>
      <c r="CY28">
        <f t="shared" si="70"/>
        <v>240.5</v>
      </c>
      <c r="CZ28">
        <f t="shared" si="30"/>
        <v>96.257754652791675</v>
      </c>
      <c r="DA28">
        <f t="shared" si="31"/>
        <v>69.696969696969703</v>
      </c>
      <c r="DB28">
        <f t="shared" si="32"/>
        <v>0.54578201466334531</v>
      </c>
      <c r="DG28">
        <v>1.5</v>
      </c>
      <c r="DH28">
        <v>23</v>
      </c>
      <c r="DI28">
        <f t="shared" si="71"/>
        <v>141</v>
      </c>
      <c r="DJ28">
        <f t="shared" si="33"/>
        <v>96.707818930041171</v>
      </c>
      <c r="DK28">
        <f t="shared" si="34"/>
        <v>76.666666666666671</v>
      </c>
      <c r="DL28">
        <f t="shared" si="35"/>
        <v>0.77160493827160792</v>
      </c>
      <c r="DQ28">
        <v>2</v>
      </c>
      <c r="DR28">
        <v>23</v>
      </c>
      <c r="DS28">
        <f t="shared" si="72"/>
        <v>121.5</v>
      </c>
      <c r="DT28">
        <f t="shared" si="36"/>
        <v>88.686131386861305</v>
      </c>
      <c r="DU28">
        <f t="shared" si="37"/>
        <v>60.526315789473685</v>
      </c>
      <c r="DV28">
        <f t="shared" si="38"/>
        <v>0.86438724548597401</v>
      </c>
      <c r="EA28">
        <v>2</v>
      </c>
      <c r="EB28">
        <v>23</v>
      </c>
      <c r="EC28">
        <f t="shared" si="73"/>
        <v>108</v>
      </c>
      <c r="ED28">
        <f t="shared" si="39"/>
        <v>95.490716180371365</v>
      </c>
      <c r="EE28">
        <f t="shared" si="40"/>
        <v>82.142857142857139</v>
      </c>
      <c r="EF28">
        <f t="shared" si="41"/>
        <v>1.4209928003031524</v>
      </c>
      <c r="EK28">
        <v>2</v>
      </c>
      <c r="EL28">
        <v>23</v>
      </c>
      <c r="EM28">
        <f t="shared" si="74"/>
        <v>126.5</v>
      </c>
      <c r="EN28">
        <f t="shared" si="42"/>
        <v>93.220338983050851</v>
      </c>
      <c r="EO28">
        <f t="shared" si="43"/>
        <v>69.696969696969703</v>
      </c>
      <c r="EP28">
        <f t="shared" si="44"/>
        <v>1.0048904669390977</v>
      </c>
      <c r="EU28">
        <v>1.5</v>
      </c>
      <c r="EV28">
        <v>23</v>
      </c>
      <c r="EW28">
        <f t="shared" si="75"/>
        <v>92</v>
      </c>
      <c r="EX28">
        <f t="shared" si="45"/>
        <v>92.092092092092102</v>
      </c>
      <c r="EY28">
        <f t="shared" si="46"/>
        <v>58.974358974358978</v>
      </c>
      <c r="EZ28">
        <f t="shared" si="47"/>
        <v>0.86625086625086178</v>
      </c>
      <c r="FE28">
        <v>2</v>
      </c>
      <c r="FF28">
        <v>23</v>
      </c>
      <c r="FG28">
        <f t="shared" si="76"/>
        <v>100</v>
      </c>
      <c r="FH28">
        <f t="shared" si="48"/>
        <v>89.887640449438194</v>
      </c>
      <c r="FI28">
        <f t="shared" si="49"/>
        <v>69.696969696969703</v>
      </c>
      <c r="FJ28">
        <f t="shared" si="50"/>
        <v>1.2257405515832465</v>
      </c>
      <c r="FO28">
        <v>2.5</v>
      </c>
      <c r="FP28">
        <v>23</v>
      </c>
      <c r="FQ28">
        <f t="shared" si="77"/>
        <v>182.5</v>
      </c>
      <c r="FR28">
        <f t="shared" si="51"/>
        <v>92.171717171717177</v>
      </c>
      <c r="FS28">
        <f t="shared" si="52"/>
        <v>60.526315789473685</v>
      </c>
      <c r="FT28">
        <f t="shared" si="53"/>
        <v>0.74760765550239683</v>
      </c>
      <c r="FY28">
        <v>2.5</v>
      </c>
      <c r="FZ28">
        <v>23</v>
      </c>
      <c r="GA28">
        <f t="shared" si="78"/>
        <v>98</v>
      </c>
      <c r="GB28">
        <f t="shared" si="54"/>
        <v>83.832335329341319</v>
      </c>
      <c r="GC28">
        <f t="shared" si="55"/>
        <v>56.09756097560976</v>
      </c>
      <c r="GD28">
        <f t="shared" si="56"/>
        <v>1.1736109662208671</v>
      </c>
      <c r="GI28">
        <v>2</v>
      </c>
      <c r="GJ28">
        <v>23</v>
      </c>
      <c r="GK28">
        <f t="shared" si="79"/>
        <v>108.5</v>
      </c>
      <c r="GL28">
        <f t="shared" si="57"/>
        <v>91.988130563798222</v>
      </c>
      <c r="GM28">
        <f t="shared" si="58"/>
        <v>67.64705882352942</v>
      </c>
      <c r="GN28">
        <f t="shared" si="59"/>
        <v>1.1221105652943659</v>
      </c>
    </row>
    <row r="29" spans="1:196" x14ac:dyDescent="0.2">
      <c r="A29">
        <v>1</v>
      </c>
      <c r="B29">
        <v>24</v>
      </c>
      <c r="C29">
        <f t="shared" si="60"/>
        <v>157.5</v>
      </c>
      <c r="D29">
        <f t="shared" si="0"/>
        <v>97.765363128491629</v>
      </c>
      <c r="E29">
        <f t="shared" si="1"/>
        <v>77.41935483870968</v>
      </c>
      <c r="F29">
        <f t="shared" si="2"/>
        <v>0.47055525520114394</v>
      </c>
      <c r="K29">
        <v>4</v>
      </c>
      <c r="L29">
        <v>24</v>
      </c>
      <c r="M29">
        <f t="shared" si="61"/>
        <v>440.5</v>
      </c>
      <c r="N29">
        <f t="shared" si="3"/>
        <v>96.210549306541438</v>
      </c>
      <c r="O29">
        <f t="shared" si="4"/>
        <v>63.157894736842103</v>
      </c>
      <c r="P29">
        <f t="shared" si="5"/>
        <v>0.54028267129547392</v>
      </c>
      <c r="U29">
        <v>1.5</v>
      </c>
      <c r="V29">
        <v>24</v>
      </c>
      <c r="W29">
        <f t="shared" si="62"/>
        <v>365</v>
      </c>
      <c r="X29">
        <f t="shared" si="6"/>
        <v>99.495706692108485</v>
      </c>
      <c r="Y29">
        <f t="shared" si="7"/>
        <v>92.307692307692307</v>
      </c>
      <c r="Z29">
        <f t="shared" si="8"/>
        <v>0.36957045952547757</v>
      </c>
      <c r="AE29">
        <v>2</v>
      </c>
      <c r="AF29">
        <v>24</v>
      </c>
      <c r="AG29">
        <f t="shared" si="63"/>
        <v>498</v>
      </c>
      <c r="AH29">
        <f t="shared" si="9"/>
        <v>99.729648543106038</v>
      </c>
      <c r="AI29">
        <f t="shared" si="10"/>
        <v>85.714285714285708</v>
      </c>
      <c r="AJ29">
        <f t="shared" si="11"/>
        <v>0.33615128238138625</v>
      </c>
      <c r="AO29">
        <v>4</v>
      </c>
      <c r="AP29">
        <v>24</v>
      </c>
      <c r="AQ29">
        <f t="shared" si="64"/>
        <v>426.5</v>
      </c>
      <c r="AR29">
        <f t="shared" si="12"/>
        <v>97.407788055270061</v>
      </c>
      <c r="AS29">
        <f t="shared" si="13"/>
        <v>72.727272727272734</v>
      </c>
      <c r="AT29">
        <f t="shared" si="14"/>
        <v>0.65056180164093957</v>
      </c>
      <c r="AY29">
        <v>1.5</v>
      </c>
      <c r="AZ29">
        <v>24</v>
      </c>
      <c r="BA29">
        <f t="shared" si="65"/>
        <v>222</v>
      </c>
      <c r="BB29">
        <f t="shared" si="15"/>
        <v>98.886414253897541</v>
      </c>
      <c r="BC29">
        <f t="shared" si="16"/>
        <v>80</v>
      </c>
      <c r="BD29">
        <f t="shared" si="17"/>
        <v>0.52338530066814226</v>
      </c>
      <c r="BI29">
        <v>2</v>
      </c>
      <c r="BJ29">
        <v>24</v>
      </c>
      <c r="BK29">
        <f t="shared" si="66"/>
        <v>190</v>
      </c>
      <c r="BL29">
        <f t="shared" si="18"/>
        <v>94.374767167515216</v>
      </c>
      <c r="BM29">
        <f t="shared" si="19"/>
        <v>64.86486486486487</v>
      </c>
      <c r="BN29">
        <f t="shared" si="20"/>
        <v>0.63095505787670569</v>
      </c>
      <c r="BS29">
        <v>2</v>
      </c>
      <c r="BT29">
        <v>24</v>
      </c>
      <c r="BU29">
        <f t="shared" si="67"/>
        <v>348</v>
      </c>
      <c r="BV29">
        <f t="shared" si="21"/>
        <v>97.410776766969875</v>
      </c>
      <c r="BW29">
        <f t="shared" si="22"/>
        <v>63.157894736842103</v>
      </c>
      <c r="BX29">
        <f t="shared" si="23"/>
        <v>0.34621192589591504</v>
      </c>
      <c r="CC29">
        <v>1</v>
      </c>
      <c r="CD29">
        <v>24</v>
      </c>
      <c r="CE29">
        <f t="shared" si="68"/>
        <v>145</v>
      </c>
      <c r="CF29">
        <f t="shared" si="24"/>
        <v>98.639455782312922</v>
      </c>
      <c r="CG29">
        <f t="shared" si="25"/>
        <v>85.714285714285708</v>
      </c>
      <c r="CH29">
        <f t="shared" si="26"/>
        <v>0.57094266277939876</v>
      </c>
      <c r="CM29">
        <v>5</v>
      </c>
      <c r="CN29">
        <v>24</v>
      </c>
      <c r="CO29">
        <f t="shared" si="69"/>
        <v>526.5</v>
      </c>
      <c r="CP29">
        <f t="shared" si="27"/>
        <v>95.121951219512198</v>
      </c>
      <c r="CQ29">
        <f t="shared" si="28"/>
        <v>70.588235294117652</v>
      </c>
      <c r="CR29">
        <f t="shared" si="29"/>
        <v>0.6243689887879279</v>
      </c>
      <c r="CW29">
        <v>2</v>
      </c>
      <c r="CX29">
        <v>24</v>
      </c>
      <c r="CY29">
        <f t="shared" si="70"/>
        <v>242.5</v>
      </c>
      <c r="CZ29">
        <f t="shared" si="30"/>
        <v>97.058234940964581</v>
      </c>
      <c r="DA29">
        <f t="shared" si="31"/>
        <v>72.727272727272734</v>
      </c>
      <c r="DB29">
        <f t="shared" si="32"/>
        <v>0.57003899309282724</v>
      </c>
      <c r="DG29">
        <v>1.5</v>
      </c>
      <c r="DH29">
        <v>24</v>
      </c>
      <c r="DI29">
        <f t="shared" si="71"/>
        <v>142.5</v>
      </c>
      <c r="DJ29">
        <f t="shared" si="33"/>
        <v>97.736625514403315</v>
      </c>
      <c r="DK29">
        <f t="shared" si="34"/>
        <v>80</v>
      </c>
      <c r="DL29">
        <f t="shared" si="35"/>
        <v>0.80589849108367939</v>
      </c>
      <c r="DQ29">
        <v>2</v>
      </c>
      <c r="DR29">
        <v>24</v>
      </c>
      <c r="DS29">
        <f t="shared" si="72"/>
        <v>123.5</v>
      </c>
      <c r="DT29">
        <f t="shared" si="36"/>
        <v>90.145985401459853</v>
      </c>
      <c r="DU29">
        <f t="shared" si="37"/>
        <v>63.157894736842103</v>
      </c>
      <c r="DV29">
        <f t="shared" si="38"/>
        <v>0.90280445639647056</v>
      </c>
      <c r="EA29">
        <v>1.5</v>
      </c>
      <c r="EB29">
        <v>24</v>
      </c>
      <c r="EC29">
        <f t="shared" si="73"/>
        <v>109.5</v>
      </c>
      <c r="ED29">
        <f t="shared" si="39"/>
        <v>96.81697612732097</v>
      </c>
      <c r="EE29">
        <f t="shared" si="40"/>
        <v>85.714285714285708</v>
      </c>
      <c r="EF29">
        <f t="shared" si="41"/>
        <v>1.1131110269041329</v>
      </c>
      <c r="EK29">
        <v>2</v>
      </c>
      <c r="EL29">
        <v>24</v>
      </c>
      <c r="EM29">
        <f t="shared" si="74"/>
        <v>128.5</v>
      </c>
      <c r="EN29">
        <f t="shared" si="42"/>
        <v>94.694178334561542</v>
      </c>
      <c r="EO29">
        <f t="shared" si="43"/>
        <v>72.727272727272734</v>
      </c>
      <c r="EP29">
        <f t="shared" si="44"/>
        <v>1.0495522654697345</v>
      </c>
      <c r="EU29">
        <v>1</v>
      </c>
      <c r="EV29">
        <v>24</v>
      </c>
      <c r="EW29">
        <f t="shared" si="75"/>
        <v>93</v>
      </c>
      <c r="EX29">
        <f t="shared" si="45"/>
        <v>93.093093093093103</v>
      </c>
      <c r="EY29">
        <f t="shared" si="46"/>
        <v>61.53846153846154</v>
      </c>
      <c r="EZ29">
        <f t="shared" si="47"/>
        <v>0.60316726983393631</v>
      </c>
      <c r="FE29">
        <v>1.5</v>
      </c>
      <c r="FF29">
        <v>24</v>
      </c>
      <c r="FG29">
        <f t="shared" si="76"/>
        <v>101.5</v>
      </c>
      <c r="FH29">
        <f t="shared" si="48"/>
        <v>91.235955056179776</v>
      </c>
      <c r="FI29">
        <f t="shared" si="49"/>
        <v>72.727272727272734</v>
      </c>
      <c r="FJ29">
        <f t="shared" si="50"/>
        <v>0.96016343207355059</v>
      </c>
      <c r="FO29">
        <v>2</v>
      </c>
      <c r="FP29">
        <v>24</v>
      </c>
      <c r="FQ29">
        <f t="shared" si="77"/>
        <v>184.5</v>
      </c>
      <c r="FR29">
        <f t="shared" si="51"/>
        <v>93.181818181818173</v>
      </c>
      <c r="FS29">
        <f t="shared" si="52"/>
        <v>63.157894736842103</v>
      </c>
      <c r="FT29">
        <f t="shared" si="53"/>
        <v>0.62466772993087916</v>
      </c>
      <c r="FY29">
        <v>2</v>
      </c>
      <c r="FZ29">
        <v>24</v>
      </c>
      <c r="GA29">
        <f t="shared" si="78"/>
        <v>100</v>
      </c>
      <c r="GB29">
        <f t="shared" si="54"/>
        <v>85.543199315654419</v>
      </c>
      <c r="GC29">
        <f t="shared" si="55"/>
        <v>58.536585365853654</v>
      </c>
      <c r="GD29">
        <f t="shared" si="56"/>
        <v>0.98061716288677703</v>
      </c>
      <c r="GI29">
        <v>2</v>
      </c>
      <c r="GJ29">
        <v>24</v>
      </c>
      <c r="GK29">
        <f t="shared" si="79"/>
        <v>110.5</v>
      </c>
      <c r="GL29">
        <f t="shared" si="57"/>
        <v>93.683764306909694</v>
      </c>
      <c r="GM29">
        <f t="shared" si="58"/>
        <v>70.588235294117652</v>
      </c>
      <c r="GN29">
        <f t="shared" si="59"/>
        <v>1.1719821459741058</v>
      </c>
    </row>
    <row r="30" spans="1:196" x14ac:dyDescent="0.2">
      <c r="A30">
        <v>1</v>
      </c>
      <c r="B30">
        <v>25</v>
      </c>
      <c r="C30">
        <f t="shared" si="60"/>
        <v>158.5</v>
      </c>
      <c r="D30">
        <f t="shared" si="0"/>
        <v>98.386095592799506</v>
      </c>
      <c r="E30">
        <f t="shared" si="1"/>
        <v>80.645161290322577</v>
      </c>
      <c r="F30">
        <f t="shared" si="2"/>
        <v>0.4905788830820324</v>
      </c>
      <c r="K30">
        <v>3</v>
      </c>
      <c r="L30">
        <v>25</v>
      </c>
      <c r="M30">
        <f t="shared" si="61"/>
        <v>443.5</v>
      </c>
      <c r="N30">
        <f t="shared" si="3"/>
        <v>96.86578573768702</v>
      </c>
      <c r="O30">
        <f t="shared" si="4"/>
        <v>65.789473684210535</v>
      </c>
      <c r="P30">
        <f t="shared" si="5"/>
        <v>0.42245506744912509</v>
      </c>
      <c r="U30">
        <v>1.5</v>
      </c>
      <c r="V30">
        <v>25</v>
      </c>
      <c r="W30">
        <f t="shared" si="62"/>
        <v>366.5</v>
      </c>
      <c r="X30">
        <f t="shared" si="6"/>
        <v>99.904593157966474</v>
      </c>
      <c r="Y30">
        <f t="shared" si="7"/>
        <v>96.15384615384616</v>
      </c>
      <c r="Z30">
        <f t="shared" si="8"/>
        <v>0.38529686205848995</v>
      </c>
      <c r="AE30">
        <v>0.5</v>
      </c>
      <c r="AF30">
        <v>25</v>
      </c>
      <c r="AG30">
        <f t="shared" si="63"/>
        <v>498.5</v>
      </c>
      <c r="AH30">
        <f t="shared" si="9"/>
        <v>99.829778712326018</v>
      </c>
      <c r="AI30">
        <f t="shared" si="10"/>
        <v>89.285714285714292</v>
      </c>
      <c r="AJ30">
        <f t="shared" si="11"/>
        <v>8.7613898067482765E-2</v>
      </c>
      <c r="AO30">
        <v>3.5</v>
      </c>
      <c r="AP30">
        <v>25</v>
      </c>
      <c r="AQ30">
        <f t="shared" si="64"/>
        <v>430</v>
      </c>
      <c r="AR30">
        <f t="shared" si="12"/>
        <v>98.207148566860795</v>
      </c>
      <c r="AS30">
        <f t="shared" si="13"/>
        <v>75.757575757575751</v>
      </c>
      <c r="AT30">
        <f t="shared" si="14"/>
        <v>0.59346462224160579</v>
      </c>
      <c r="AY30">
        <v>1</v>
      </c>
      <c r="AZ30">
        <v>25</v>
      </c>
      <c r="BA30">
        <f t="shared" si="65"/>
        <v>223</v>
      </c>
      <c r="BB30">
        <f t="shared" si="15"/>
        <v>99.331848552338528</v>
      </c>
      <c r="BC30">
        <f t="shared" si="16"/>
        <v>83.333333333333343</v>
      </c>
      <c r="BD30">
        <f t="shared" si="17"/>
        <v>0.36377134372680542</v>
      </c>
      <c r="BI30">
        <v>2</v>
      </c>
      <c r="BJ30">
        <v>25</v>
      </c>
      <c r="BK30">
        <f t="shared" si="66"/>
        <v>192</v>
      </c>
      <c r="BL30">
        <f t="shared" si="18"/>
        <v>95.36818576927854</v>
      </c>
      <c r="BM30">
        <f t="shared" si="19"/>
        <v>67.567567567567565</v>
      </c>
      <c r="BN30">
        <f t="shared" si="20"/>
        <v>0.65780420927571437</v>
      </c>
      <c r="BS30">
        <v>2</v>
      </c>
      <c r="BT30">
        <v>25</v>
      </c>
      <c r="BU30">
        <f t="shared" si="67"/>
        <v>350</v>
      </c>
      <c r="BV30">
        <f t="shared" si="21"/>
        <v>97.970608817354758</v>
      </c>
      <c r="BW30">
        <f t="shared" si="22"/>
        <v>65.789473684210535</v>
      </c>
      <c r="BX30">
        <f t="shared" si="23"/>
        <v>0.36094434827446464</v>
      </c>
      <c r="CC30">
        <v>0.75</v>
      </c>
      <c r="CD30">
        <v>25</v>
      </c>
      <c r="CE30">
        <f t="shared" si="68"/>
        <v>145.75</v>
      </c>
      <c r="CF30">
        <f t="shared" si="24"/>
        <v>99.149659863945587</v>
      </c>
      <c r="CG30">
        <f t="shared" si="25"/>
        <v>89.285714285714292</v>
      </c>
      <c r="CH30">
        <f t="shared" si="26"/>
        <v>0.44642857142858183</v>
      </c>
      <c r="CM30">
        <v>4.5</v>
      </c>
      <c r="CN30">
        <v>25</v>
      </c>
      <c r="CO30">
        <f t="shared" si="69"/>
        <v>531</v>
      </c>
      <c r="CP30">
        <f t="shared" si="27"/>
        <v>95.934959349593498</v>
      </c>
      <c r="CQ30">
        <f t="shared" si="28"/>
        <v>73.529411764705884</v>
      </c>
      <c r="CR30">
        <f t="shared" si="29"/>
        <v>0.58584409373505475</v>
      </c>
      <c r="CW30">
        <v>1.5</v>
      </c>
      <c r="CX30">
        <v>25</v>
      </c>
      <c r="CY30">
        <f t="shared" si="70"/>
        <v>244</v>
      </c>
      <c r="CZ30">
        <f t="shared" si="30"/>
        <v>97.658595157094268</v>
      </c>
      <c r="DA30">
        <f t="shared" si="31"/>
        <v>75.757575757575751</v>
      </c>
      <c r="DB30">
        <f t="shared" si="32"/>
        <v>0.44572197864173724</v>
      </c>
      <c r="DG30">
        <v>1</v>
      </c>
      <c r="DH30">
        <v>25</v>
      </c>
      <c r="DI30">
        <f t="shared" si="71"/>
        <v>143.5</v>
      </c>
      <c r="DJ30">
        <f t="shared" si="33"/>
        <v>98.422496570644739</v>
      </c>
      <c r="DK30">
        <f t="shared" si="34"/>
        <v>83.333333333333343</v>
      </c>
      <c r="DL30">
        <f t="shared" si="35"/>
        <v>0.56012802926382999</v>
      </c>
      <c r="DQ30">
        <v>1.5</v>
      </c>
      <c r="DR30">
        <v>25</v>
      </c>
      <c r="DS30">
        <f t="shared" si="72"/>
        <v>125</v>
      </c>
      <c r="DT30">
        <f t="shared" si="36"/>
        <v>91.240875912408754</v>
      </c>
      <c r="DU30">
        <f t="shared" si="37"/>
        <v>65.789473684210535</v>
      </c>
      <c r="DV30">
        <f t="shared" si="38"/>
        <v>0.70591625048021212</v>
      </c>
      <c r="EA30">
        <v>1.5</v>
      </c>
      <c r="EB30">
        <v>25</v>
      </c>
      <c r="EC30">
        <f t="shared" si="73"/>
        <v>111</v>
      </c>
      <c r="ED30">
        <f t="shared" si="39"/>
        <v>98.143236074270561</v>
      </c>
      <c r="EE30">
        <f t="shared" si="40"/>
        <v>89.285714285714292</v>
      </c>
      <c r="EF30">
        <f t="shared" si="41"/>
        <v>1.1604774535808922</v>
      </c>
      <c r="EK30">
        <v>2</v>
      </c>
      <c r="EL30">
        <v>25</v>
      </c>
      <c r="EM30">
        <f t="shared" si="74"/>
        <v>130.5</v>
      </c>
      <c r="EN30">
        <f t="shared" si="42"/>
        <v>96.168017686072233</v>
      </c>
      <c r="EO30">
        <f t="shared" si="43"/>
        <v>75.757575757575751</v>
      </c>
      <c r="EP30">
        <f t="shared" si="44"/>
        <v>1.0942140640003613</v>
      </c>
      <c r="EU30">
        <v>1</v>
      </c>
      <c r="EV30">
        <v>25</v>
      </c>
      <c r="EW30">
        <f t="shared" si="75"/>
        <v>94</v>
      </c>
      <c r="EX30">
        <f t="shared" si="45"/>
        <v>94.094094094094103</v>
      </c>
      <c r="EY30">
        <f t="shared" si="46"/>
        <v>64.102564102564102</v>
      </c>
      <c r="EZ30">
        <f t="shared" si="47"/>
        <v>0.62883396216729526</v>
      </c>
      <c r="FE30">
        <v>1.5</v>
      </c>
      <c r="FF30">
        <v>25</v>
      </c>
      <c r="FG30">
        <f t="shared" si="76"/>
        <v>103</v>
      </c>
      <c r="FH30">
        <f t="shared" si="48"/>
        <v>92.584269662921344</v>
      </c>
      <c r="FI30">
        <f t="shared" si="49"/>
        <v>75.757575757575751</v>
      </c>
      <c r="FJ30">
        <f t="shared" si="50"/>
        <v>1.0010214504596486</v>
      </c>
      <c r="FO30">
        <v>1.5</v>
      </c>
      <c r="FP30">
        <v>25</v>
      </c>
      <c r="FQ30">
        <f t="shared" si="77"/>
        <v>186</v>
      </c>
      <c r="FR30">
        <f t="shared" si="51"/>
        <v>93.939393939393938</v>
      </c>
      <c r="FS30">
        <f t="shared" si="52"/>
        <v>65.789473684210535</v>
      </c>
      <c r="FT30">
        <f t="shared" si="53"/>
        <v>0.48843700159490105</v>
      </c>
      <c r="FY30">
        <v>2</v>
      </c>
      <c r="FZ30">
        <v>25</v>
      </c>
      <c r="GA30">
        <f t="shared" si="78"/>
        <v>102</v>
      </c>
      <c r="GB30">
        <f t="shared" si="54"/>
        <v>87.254063301967506</v>
      </c>
      <c r="GC30">
        <f t="shared" si="55"/>
        <v>60.975609756097562</v>
      </c>
      <c r="GD30">
        <f t="shared" si="56"/>
        <v>1.0223455527968439</v>
      </c>
      <c r="GI30">
        <v>1.5</v>
      </c>
      <c r="GJ30">
        <v>25</v>
      </c>
      <c r="GK30">
        <f t="shared" si="79"/>
        <v>112</v>
      </c>
      <c r="GL30">
        <f t="shared" si="57"/>
        <v>94.955489614243319</v>
      </c>
      <c r="GM30">
        <f t="shared" si="58"/>
        <v>73.529411764705884</v>
      </c>
      <c r="GN30">
        <f t="shared" si="59"/>
        <v>0.91639029499040647</v>
      </c>
    </row>
    <row r="31" spans="1:196" x14ac:dyDescent="0.2">
      <c r="A31">
        <v>0.5</v>
      </c>
      <c r="B31">
        <v>26</v>
      </c>
      <c r="C31">
        <f t="shared" si="60"/>
        <v>159</v>
      </c>
      <c r="D31">
        <f t="shared" si="0"/>
        <v>98.696461824953445</v>
      </c>
      <c r="E31">
        <f t="shared" si="1"/>
        <v>83.870967741935488</v>
      </c>
      <c r="F31">
        <f t="shared" si="2"/>
        <v>0.25530125548146582</v>
      </c>
      <c r="K31">
        <v>2</v>
      </c>
      <c r="L31">
        <v>26</v>
      </c>
      <c r="M31">
        <f t="shared" si="61"/>
        <v>445.5</v>
      </c>
      <c r="N31">
        <f t="shared" si="3"/>
        <v>97.302610025117389</v>
      </c>
      <c r="O31">
        <f t="shared" si="4"/>
        <v>68.421052631578945</v>
      </c>
      <c r="P31">
        <f t="shared" si="5"/>
        <v>0.29313208761774762</v>
      </c>
      <c r="U31">
        <v>0.35</v>
      </c>
      <c r="V31">
        <v>26</v>
      </c>
      <c r="W31">
        <f t="shared" si="62"/>
        <v>366.85</v>
      </c>
      <c r="X31">
        <f t="shared" si="6"/>
        <v>100</v>
      </c>
      <c r="Y31">
        <f t="shared" si="7"/>
        <v>100</v>
      </c>
      <c r="Z31">
        <f t="shared" si="8"/>
        <v>9.3572095071342926E-2</v>
      </c>
      <c r="AE31">
        <v>0.5</v>
      </c>
      <c r="AF31">
        <v>26</v>
      </c>
      <c r="AG31">
        <f t="shared" si="63"/>
        <v>499</v>
      </c>
      <c r="AH31">
        <f t="shared" si="9"/>
        <v>99.929908881545998</v>
      </c>
      <c r="AI31">
        <f t="shared" si="10"/>
        <v>92.857142857142861</v>
      </c>
      <c r="AJ31">
        <f t="shared" si="11"/>
        <v>9.1189975539624935E-2</v>
      </c>
      <c r="AO31">
        <v>2</v>
      </c>
      <c r="AP31">
        <v>26</v>
      </c>
      <c r="AQ31">
        <f t="shared" si="64"/>
        <v>432</v>
      </c>
      <c r="AR31">
        <f t="shared" si="12"/>
        <v>98.66392600205549</v>
      </c>
      <c r="AS31">
        <f t="shared" si="13"/>
        <v>78.787878787878782</v>
      </c>
      <c r="AT31">
        <f t="shared" si="14"/>
        <v>0.3529643817413553</v>
      </c>
      <c r="AY31">
        <v>0.5</v>
      </c>
      <c r="AZ31">
        <v>26</v>
      </c>
      <c r="BA31">
        <f t="shared" si="65"/>
        <v>223.5</v>
      </c>
      <c r="BB31">
        <f t="shared" si="15"/>
        <v>99.554565701559014</v>
      </c>
      <c r="BC31">
        <f t="shared" si="16"/>
        <v>86.666666666666671</v>
      </c>
      <c r="BD31">
        <f t="shared" si="17"/>
        <v>0.18930957683741312</v>
      </c>
      <c r="BI31">
        <v>1.5</v>
      </c>
      <c r="BJ31">
        <v>26</v>
      </c>
      <c r="BK31">
        <f t="shared" si="66"/>
        <v>193.5</v>
      </c>
      <c r="BL31">
        <f t="shared" si="18"/>
        <v>96.113249720601019</v>
      </c>
      <c r="BM31">
        <f t="shared" si="19"/>
        <v>70.270270270270274</v>
      </c>
      <c r="BN31">
        <f t="shared" si="20"/>
        <v>0.51349002050603254</v>
      </c>
      <c r="BS31">
        <v>1.5</v>
      </c>
      <c r="BT31">
        <v>26</v>
      </c>
      <c r="BU31">
        <f t="shared" si="67"/>
        <v>351.5</v>
      </c>
      <c r="BV31">
        <f t="shared" si="21"/>
        <v>98.390482855143418</v>
      </c>
      <c r="BW31">
        <f t="shared" si="22"/>
        <v>68.421052631578945</v>
      </c>
      <c r="BX31">
        <f t="shared" si="23"/>
        <v>0.28175757798975831</v>
      </c>
      <c r="CC31">
        <v>0.5</v>
      </c>
      <c r="CD31">
        <v>26</v>
      </c>
      <c r="CE31">
        <f t="shared" si="68"/>
        <v>146.25</v>
      </c>
      <c r="CF31">
        <f t="shared" si="24"/>
        <v>99.489795918367349</v>
      </c>
      <c r="CG31">
        <f t="shared" si="25"/>
        <v>92.857142857142861</v>
      </c>
      <c r="CH31">
        <f t="shared" si="26"/>
        <v>0.3097667638483908</v>
      </c>
      <c r="CM31">
        <v>4</v>
      </c>
      <c r="CN31">
        <v>26</v>
      </c>
      <c r="CO31">
        <f t="shared" si="69"/>
        <v>535</v>
      </c>
      <c r="CP31">
        <f t="shared" si="27"/>
        <v>96.657633242999097</v>
      </c>
      <c r="CQ31">
        <f t="shared" si="28"/>
        <v>76.470588235294116</v>
      </c>
      <c r="CR31">
        <f t="shared" si="29"/>
        <v>0.54200542005419905</v>
      </c>
      <c r="CW31">
        <v>1.5</v>
      </c>
      <c r="CX31">
        <v>26</v>
      </c>
      <c r="CY31">
        <f t="shared" si="70"/>
        <v>245.5</v>
      </c>
      <c r="CZ31">
        <f t="shared" si="30"/>
        <v>98.258955373223927</v>
      </c>
      <c r="DA31">
        <f t="shared" si="31"/>
        <v>78.787878787878782</v>
      </c>
      <c r="DB31">
        <f t="shared" si="32"/>
        <v>0.46391471246382693</v>
      </c>
      <c r="DG31">
        <v>1</v>
      </c>
      <c r="DH31">
        <v>26</v>
      </c>
      <c r="DI31">
        <f t="shared" si="71"/>
        <v>144.5</v>
      </c>
      <c r="DJ31">
        <f t="shared" si="33"/>
        <v>99.108367626886164</v>
      </c>
      <c r="DK31">
        <f t="shared" si="34"/>
        <v>86.666666666666671</v>
      </c>
      <c r="DL31">
        <f t="shared" si="35"/>
        <v>0.58299039780521089</v>
      </c>
      <c r="DQ31">
        <v>1.5</v>
      </c>
      <c r="DR31">
        <v>26</v>
      </c>
      <c r="DS31">
        <f t="shared" si="72"/>
        <v>126.5</v>
      </c>
      <c r="DT31">
        <f t="shared" si="36"/>
        <v>92.335766423357668</v>
      </c>
      <c r="DU31">
        <f t="shared" si="37"/>
        <v>68.421052631578945</v>
      </c>
      <c r="DV31">
        <f t="shared" si="38"/>
        <v>0.73472915866308752</v>
      </c>
      <c r="EA31">
        <v>1</v>
      </c>
      <c r="EB31">
        <v>26</v>
      </c>
      <c r="EC31">
        <f t="shared" si="73"/>
        <v>112</v>
      </c>
      <c r="ED31">
        <f t="shared" si="39"/>
        <v>99.02740937223696</v>
      </c>
      <c r="EE31">
        <f t="shared" si="40"/>
        <v>92.857142857142861</v>
      </c>
      <c r="EF31">
        <f t="shared" si="41"/>
        <v>0.80522925350511332</v>
      </c>
      <c r="EK31">
        <v>2</v>
      </c>
      <c r="EL31">
        <v>26</v>
      </c>
      <c r="EM31">
        <f t="shared" si="74"/>
        <v>132.5</v>
      </c>
      <c r="EN31">
        <f t="shared" si="42"/>
        <v>97.641857037582909</v>
      </c>
      <c r="EO31">
        <f t="shared" si="43"/>
        <v>78.787878787878782</v>
      </c>
      <c r="EP31">
        <f t="shared" si="44"/>
        <v>1.1388758625309772</v>
      </c>
      <c r="EU31">
        <v>1</v>
      </c>
      <c r="EV31">
        <v>26</v>
      </c>
      <c r="EW31">
        <f t="shared" si="75"/>
        <v>95</v>
      </c>
      <c r="EX31">
        <f t="shared" si="45"/>
        <v>95.095095095095104</v>
      </c>
      <c r="EY31">
        <f t="shared" si="46"/>
        <v>66.666666666666657</v>
      </c>
      <c r="EZ31">
        <f t="shared" si="47"/>
        <v>0.6545006545006542</v>
      </c>
      <c r="FE31">
        <v>1.5</v>
      </c>
      <c r="FF31">
        <v>26</v>
      </c>
      <c r="FG31">
        <f t="shared" si="76"/>
        <v>104.5</v>
      </c>
      <c r="FH31">
        <f t="shared" si="48"/>
        <v>93.932584269662925</v>
      </c>
      <c r="FI31">
        <f t="shared" si="49"/>
        <v>78.787878787878782</v>
      </c>
      <c r="FJ31">
        <f t="shared" si="50"/>
        <v>1.0418794688457675</v>
      </c>
      <c r="FO31">
        <v>1.5</v>
      </c>
      <c r="FP31">
        <v>26</v>
      </c>
      <c r="FQ31">
        <f t="shared" si="77"/>
        <v>187.5</v>
      </c>
      <c r="FR31">
        <f t="shared" si="51"/>
        <v>94.696969696969703</v>
      </c>
      <c r="FS31">
        <f t="shared" si="52"/>
        <v>68.421052631578945</v>
      </c>
      <c r="FT31">
        <f t="shared" si="53"/>
        <v>0.5083732057416317</v>
      </c>
      <c r="FY31">
        <v>2</v>
      </c>
      <c r="FZ31">
        <v>26</v>
      </c>
      <c r="GA31">
        <f t="shared" si="78"/>
        <v>104</v>
      </c>
      <c r="GB31">
        <f t="shared" si="54"/>
        <v>88.964927288280592</v>
      </c>
      <c r="GC31">
        <f t="shared" si="55"/>
        <v>63.414634146341463</v>
      </c>
      <c r="GD31">
        <f t="shared" si="56"/>
        <v>1.0640739427069195</v>
      </c>
      <c r="GI31">
        <v>1.5</v>
      </c>
      <c r="GJ31">
        <v>26</v>
      </c>
      <c r="GK31">
        <f t="shared" si="79"/>
        <v>113.5</v>
      </c>
      <c r="GL31">
        <f t="shared" si="57"/>
        <v>96.227214921576945</v>
      </c>
      <c r="GM31">
        <f t="shared" si="58"/>
        <v>76.470588235294116</v>
      </c>
      <c r="GN31">
        <f t="shared" si="59"/>
        <v>0.95379398050021891</v>
      </c>
    </row>
    <row r="32" spans="1:196" x14ac:dyDescent="0.2">
      <c r="A32">
        <v>0.5</v>
      </c>
      <c r="B32">
        <v>27</v>
      </c>
      <c r="C32">
        <f t="shared" si="60"/>
        <v>159.5</v>
      </c>
      <c r="D32">
        <f t="shared" si="0"/>
        <v>99.006828057107384</v>
      </c>
      <c r="E32">
        <f t="shared" si="1"/>
        <v>87.096774193548384</v>
      </c>
      <c r="F32">
        <f t="shared" si="2"/>
        <v>0.26531306942191546</v>
      </c>
      <c r="K32">
        <v>2</v>
      </c>
      <c r="L32">
        <v>27</v>
      </c>
      <c r="M32">
        <f t="shared" si="61"/>
        <v>447.5</v>
      </c>
      <c r="N32">
        <f t="shared" si="3"/>
        <v>97.739434312547772</v>
      </c>
      <c r="O32">
        <f t="shared" si="4"/>
        <v>71.05263157894737</v>
      </c>
      <c r="P32">
        <f t="shared" si="5"/>
        <v>0.30462746360276716</v>
      </c>
      <c r="AE32">
        <v>0.25</v>
      </c>
      <c r="AF32">
        <v>27</v>
      </c>
      <c r="AG32">
        <f t="shared" si="63"/>
        <v>499.25</v>
      </c>
      <c r="AH32">
        <f t="shared" si="9"/>
        <v>99.979973966155995</v>
      </c>
      <c r="AI32">
        <f t="shared" si="10"/>
        <v>96.428571428571431</v>
      </c>
      <c r="AJ32">
        <f t="shared" si="11"/>
        <v>4.7383026505890262E-2</v>
      </c>
      <c r="AO32">
        <v>1.5</v>
      </c>
      <c r="AP32">
        <v>27</v>
      </c>
      <c r="AQ32">
        <f t="shared" si="64"/>
        <v>433.5</v>
      </c>
      <c r="AR32">
        <f t="shared" si="12"/>
        <v>99.006509078451515</v>
      </c>
      <c r="AS32">
        <f t="shared" si="13"/>
        <v>81.818181818181827</v>
      </c>
      <c r="AT32">
        <f t="shared" si="14"/>
        <v>0.27510459165135337</v>
      </c>
      <c r="AY32">
        <v>0.25</v>
      </c>
      <c r="AZ32">
        <v>27</v>
      </c>
      <c r="BA32">
        <f t="shared" si="65"/>
        <v>223.75</v>
      </c>
      <c r="BB32">
        <f t="shared" si="15"/>
        <v>99.665924276169264</v>
      </c>
      <c r="BC32">
        <f t="shared" si="16"/>
        <v>90</v>
      </c>
      <c r="BD32">
        <f t="shared" si="17"/>
        <v>9.8366740905720937E-2</v>
      </c>
      <c r="BI32">
        <v>1.5</v>
      </c>
      <c r="BJ32">
        <v>27</v>
      </c>
      <c r="BK32">
        <f t="shared" si="66"/>
        <v>195</v>
      </c>
      <c r="BL32">
        <f t="shared" si="18"/>
        <v>96.858313671923511</v>
      </c>
      <c r="BM32">
        <f t="shared" si="19"/>
        <v>72.972972972972968</v>
      </c>
      <c r="BN32">
        <f t="shared" si="20"/>
        <v>0.5336268840552989</v>
      </c>
      <c r="BS32">
        <v>1.5</v>
      </c>
      <c r="BT32">
        <v>27</v>
      </c>
      <c r="BU32">
        <f t="shared" si="67"/>
        <v>353</v>
      </c>
      <c r="BV32">
        <f t="shared" si="21"/>
        <v>98.810356892932091</v>
      </c>
      <c r="BW32">
        <f t="shared" si="22"/>
        <v>71.05263157894737</v>
      </c>
      <c r="BX32">
        <f t="shared" si="23"/>
        <v>0.29280689477368027</v>
      </c>
      <c r="CC32">
        <v>0.5</v>
      </c>
      <c r="CD32">
        <v>27</v>
      </c>
      <c r="CE32">
        <f t="shared" si="68"/>
        <v>146.75</v>
      </c>
      <c r="CF32">
        <f t="shared" si="24"/>
        <v>99.829931972789126</v>
      </c>
      <c r="CG32">
        <f t="shared" si="25"/>
        <v>96.428571428571431</v>
      </c>
      <c r="CH32">
        <f t="shared" si="26"/>
        <v>0.32191448007775286</v>
      </c>
      <c r="CM32">
        <v>3.5</v>
      </c>
      <c r="CN32">
        <v>27</v>
      </c>
      <c r="CO32">
        <f t="shared" si="69"/>
        <v>538.5</v>
      </c>
      <c r="CP32">
        <f t="shared" si="27"/>
        <v>97.289972899728994</v>
      </c>
      <c r="CQ32">
        <f t="shared" si="28"/>
        <v>79.411764705882348</v>
      </c>
      <c r="CR32">
        <f t="shared" si="29"/>
        <v>0.49285296774536103</v>
      </c>
      <c r="CW32">
        <v>1</v>
      </c>
      <c r="CX32">
        <v>27</v>
      </c>
      <c r="CY32">
        <f t="shared" si="70"/>
        <v>246.5</v>
      </c>
      <c r="CZ32">
        <f t="shared" si="30"/>
        <v>98.65919551731038</v>
      </c>
      <c r="DA32">
        <f t="shared" si="31"/>
        <v>81.818181818181827</v>
      </c>
      <c r="DB32">
        <f t="shared" si="32"/>
        <v>0.32140496419063669</v>
      </c>
      <c r="DG32">
        <v>0.5</v>
      </c>
      <c r="DH32">
        <v>27</v>
      </c>
      <c r="DI32">
        <f t="shared" si="71"/>
        <v>145</v>
      </c>
      <c r="DJ32">
        <f t="shared" si="33"/>
        <v>99.451303155006869</v>
      </c>
      <c r="DK32">
        <f t="shared" si="34"/>
        <v>90</v>
      </c>
      <c r="DL32">
        <f t="shared" si="35"/>
        <v>0.30292638317328957</v>
      </c>
      <c r="DQ32">
        <v>1.5</v>
      </c>
      <c r="DR32">
        <v>27</v>
      </c>
      <c r="DS32">
        <f t="shared" si="72"/>
        <v>128</v>
      </c>
      <c r="DT32">
        <f t="shared" si="36"/>
        <v>93.430656934306569</v>
      </c>
      <c r="DU32">
        <f t="shared" si="37"/>
        <v>71.05263157894737</v>
      </c>
      <c r="DV32">
        <f t="shared" si="38"/>
        <v>0.76354206684594361</v>
      </c>
      <c r="EA32">
        <v>1</v>
      </c>
      <c r="EB32">
        <v>27</v>
      </c>
      <c r="EC32">
        <f t="shared" si="73"/>
        <v>113</v>
      </c>
      <c r="ED32">
        <f t="shared" si="39"/>
        <v>99.911582670203373</v>
      </c>
      <c r="EE32">
        <f t="shared" si="40"/>
        <v>96.428571428571431</v>
      </c>
      <c r="EF32">
        <f t="shared" si="41"/>
        <v>0.83680687128964082</v>
      </c>
      <c r="EK32">
        <v>1</v>
      </c>
      <c r="EL32">
        <v>27</v>
      </c>
      <c r="EM32">
        <f t="shared" si="74"/>
        <v>133.5</v>
      </c>
      <c r="EN32">
        <f t="shared" si="42"/>
        <v>98.378776713338254</v>
      </c>
      <c r="EO32">
        <f t="shared" si="43"/>
        <v>81.818181818181827</v>
      </c>
      <c r="EP32">
        <f t="shared" si="44"/>
        <v>0.59176883053080764</v>
      </c>
      <c r="EU32">
        <v>0.75</v>
      </c>
      <c r="EV32">
        <v>27</v>
      </c>
      <c r="EW32">
        <f t="shared" si="75"/>
        <v>95.75</v>
      </c>
      <c r="EX32">
        <f t="shared" si="45"/>
        <v>95.845845845845858</v>
      </c>
      <c r="EY32">
        <f t="shared" si="46"/>
        <v>69.230769230769226</v>
      </c>
      <c r="EZ32">
        <f t="shared" si="47"/>
        <v>0.51012551012551233</v>
      </c>
      <c r="FE32">
        <v>1.5</v>
      </c>
      <c r="FF32">
        <v>27</v>
      </c>
      <c r="FG32">
        <f t="shared" si="76"/>
        <v>106</v>
      </c>
      <c r="FH32">
        <f t="shared" si="48"/>
        <v>95.280898876404493</v>
      </c>
      <c r="FI32">
        <f t="shared" si="49"/>
        <v>81.818181818181827</v>
      </c>
      <c r="FJ32">
        <f t="shared" si="50"/>
        <v>1.0827374872318649</v>
      </c>
      <c r="FO32">
        <v>1.5</v>
      </c>
      <c r="FP32">
        <v>27</v>
      </c>
      <c r="FQ32">
        <f t="shared" si="77"/>
        <v>189</v>
      </c>
      <c r="FR32">
        <f t="shared" si="51"/>
        <v>95.454545454545453</v>
      </c>
      <c r="FS32">
        <f t="shared" si="52"/>
        <v>71.05263157894737</v>
      </c>
      <c r="FT32">
        <f t="shared" si="53"/>
        <v>0.5283094098883524</v>
      </c>
      <c r="FY32">
        <v>2</v>
      </c>
      <c r="FZ32">
        <v>27</v>
      </c>
      <c r="GA32">
        <f t="shared" si="78"/>
        <v>106</v>
      </c>
      <c r="GB32">
        <f t="shared" si="54"/>
        <v>90.675791274593678</v>
      </c>
      <c r="GC32">
        <f t="shared" si="55"/>
        <v>65.853658536585371</v>
      </c>
      <c r="GD32">
        <f t="shared" si="56"/>
        <v>1.1058023326169948</v>
      </c>
      <c r="GI32">
        <v>1</v>
      </c>
      <c r="GJ32">
        <v>27</v>
      </c>
      <c r="GK32">
        <f t="shared" si="79"/>
        <v>114.5</v>
      </c>
      <c r="GL32">
        <f t="shared" si="57"/>
        <v>97.07503179313268</v>
      </c>
      <c r="GM32">
        <f t="shared" si="58"/>
        <v>79.411764705882348</v>
      </c>
      <c r="GN32">
        <f t="shared" si="59"/>
        <v>0.66079844400667653</v>
      </c>
    </row>
    <row r="33" spans="1:196" x14ac:dyDescent="0.2">
      <c r="A33">
        <v>0.5</v>
      </c>
      <c r="B33">
        <v>28</v>
      </c>
      <c r="C33">
        <f t="shared" si="60"/>
        <v>160</v>
      </c>
      <c r="D33">
        <f t="shared" si="0"/>
        <v>99.317194289261337</v>
      </c>
      <c r="E33">
        <f t="shared" si="1"/>
        <v>90.322580645161281</v>
      </c>
      <c r="F33">
        <f t="shared" si="2"/>
        <v>0.2753248833623777</v>
      </c>
      <c r="K33">
        <v>1.5</v>
      </c>
      <c r="L33">
        <v>28</v>
      </c>
      <c r="M33">
        <f t="shared" si="61"/>
        <v>449</v>
      </c>
      <c r="N33">
        <f t="shared" si="3"/>
        <v>98.067052528120556</v>
      </c>
      <c r="O33">
        <f t="shared" si="4"/>
        <v>73.68421052631578</v>
      </c>
      <c r="P33">
        <f t="shared" si="5"/>
        <v>0.23709212969083038</v>
      </c>
      <c r="AE33">
        <v>0.1</v>
      </c>
      <c r="AF33">
        <v>28</v>
      </c>
      <c r="AG33">
        <f t="shared" si="63"/>
        <v>499.35</v>
      </c>
      <c r="AH33">
        <f t="shared" si="9"/>
        <v>100</v>
      </c>
      <c r="AI33">
        <f t="shared" si="10"/>
        <v>100</v>
      </c>
      <c r="AJ33">
        <f t="shared" si="11"/>
        <v>1.9668426096790221E-2</v>
      </c>
      <c r="AO33">
        <v>1.5</v>
      </c>
      <c r="AP33">
        <v>28</v>
      </c>
      <c r="AQ33">
        <f t="shared" si="64"/>
        <v>435</v>
      </c>
      <c r="AR33">
        <f t="shared" si="12"/>
        <v>99.34909215484754</v>
      </c>
      <c r="AS33">
        <f t="shared" si="13"/>
        <v>84.848484848484844</v>
      </c>
      <c r="AT33">
        <f t="shared" si="14"/>
        <v>0.28548589699668747</v>
      </c>
      <c r="AY33">
        <v>0.25</v>
      </c>
      <c r="AZ33">
        <v>28</v>
      </c>
      <c r="BA33">
        <f t="shared" si="65"/>
        <v>224</v>
      </c>
      <c r="BB33">
        <f t="shared" si="15"/>
        <v>99.777282850779514</v>
      </c>
      <c r="BC33">
        <f t="shared" si="16"/>
        <v>93.333333333333329</v>
      </c>
      <c r="BD33">
        <f t="shared" si="17"/>
        <v>0.10207869339272926</v>
      </c>
      <c r="BI33">
        <v>1.2</v>
      </c>
      <c r="BJ33">
        <v>28</v>
      </c>
      <c r="BK33">
        <f t="shared" si="66"/>
        <v>196.2</v>
      </c>
      <c r="BL33">
        <f t="shared" si="18"/>
        <v>97.454364832981497</v>
      </c>
      <c r="BM33">
        <f t="shared" si="19"/>
        <v>75.675675675675677</v>
      </c>
      <c r="BN33">
        <f t="shared" si="20"/>
        <v>0.44301099808363803</v>
      </c>
      <c r="BS33">
        <v>1</v>
      </c>
      <c r="BT33">
        <v>28</v>
      </c>
      <c r="BU33">
        <f t="shared" si="67"/>
        <v>354</v>
      </c>
      <c r="BV33">
        <f t="shared" si="21"/>
        <v>99.090272918124526</v>
      </c>
      <c r="BW33">
        <f t="shared" si="22"/>
        <v>73.68421052631578</v>
      </c>
      <c r="BX33">
        <f t="shared" si="23"/>
        <v>0.20257080770505151</v>
      </c>
      <c r="CC33">
        <v>0.25</v>
      </c>
      <c r="CD33">
        <v>28</v>
      </c>
      <c r="CE33">
        <f t="shared" si="68"/>
        <v>147</v>
      </c>
      <c r="CF33">
        <f t="shared" si="24"/>
        <v>100</v>
      </c>
      <c r="CG33">
        <f t="shared" si="25"/>
        <v>100</v>
      </c>
      <c r="CH33">
        <f t="shared" si="26"/>
        <v>0.16703109815353709</v>
      </c>
      <c r="CM33">
        <v>3</v>
      </c>
      <c r="CN33">
        <v>28</v>
      </c>
      <c r="CO33">
        <f t="shared" si="69"/>
        <v>541.5</v>
      </c>
      <c r="CP33">
        <f t="shared" si="27"/>
        <v>97.831978319783204</v>
      </c>
      <c r="CQ33">
        <f t="shared" si="28"/>
        <v>82.35294117647058</v>
      </c>
      <c r="CR33">
        <f t="shared" si="29"/>
        <v>0.43838673680855195</v>
      </c>
      <c r="CW33">
        <v>1</v>
      </c>
      <c r="CX33">
        <v>28</v>
      </c>
      <c r="CY33">
        <f t="shared" si="70"/>
        <v>247.5</v>
      </c>
      <c r="CZ33">
        <f t="shared" si="30"/>
        <v>99.059435661396847</v>
      </c>
      <c r="DA33">
        <f t="shared" si="31"/>
        <v>84.848484848484844</v>
      </c>
      <c r="DB33">
        <f t="shared" si="32"/>
        <v>0.33353345340538954</v>
      </c>
      <c r="DG33">
        <v>0.5</v>
      </c>
      <c r="DH33">
        <v>28</v>
      </c>
      <c r="DI33">
        <f t="shared" si="71"/>
        <v>145.5</v>
      </c>
      <c r="DJ33">
        <f t="shared" si="33"/>
        <v>99.794238683127574</v>
      </c>
      <c r="DK33">
        <f t="shared" si="34"/>
        <v>93.333333333333329</v>
      </c>
      <c r="DL33">
        <f t="shared" si="35"/>
        <v>0.31435756744397969</v>
      </c>
      <c r="DQ33">
        <v>1.5</v>
      </c>
      <c r="DR33">
        <v>28</v>
      </c>
      <c r="DS33">
        <f t="shared" si="72"/>
        <v>129.5</v>
      </c>
      <c r="DT33">
        <f t="shared" si="36"/>
        <v>94.525547445255469</v>
      </c>
      <c r="DU33">
        <f t="shared" si="37"/>
        <v>73.68421052631578</v>
      </c>
      <c r="DV33">
        <f t="shared" si="38"/>
        <v>0.79235497502880947</v>
      </c>
      <c r="EA33">
        <v>0.1</v>
      </c>
      <c r="EB33">
        <v>28</v>
      </c>
      <c r="EC33">
        <f t="shared" si="73"/>
        <v>113.1</v>
      </c>
      <c r="ED33">
        <f t="shared" si="39"/>
        <v>100</v>
      </c>
      <c r="EE33">
        <f t="shared" si="40"/>
        <v>100</v>
      </c>
      <c r="EF33">
        <f t="shared" si="41"/>
        <v>8.6838448907401611E-2</v>
      </c>
      <c r="EK33">
        <v>0.75</v>
      </c>
      <c r="EL33">
        <v>28</v>
      </c>
      <c r="EM33">
        <f t="shared" si="74"/>
        <v>134.25</v>
      </c>
      <c r="EN33">
        <f t="shared" si="42"/>
        <v>98.93146647015476</v>
      </c>
      <c r="EO33">
        <f t="shared" si="43"/>
        <v>84.848484848484844</v>
      </c>
      <c r="EP33">
        <f t="shared" si="44"/>
        <v>0.46057479734708795</v>
      </c>
      <c r="EU33">
        <v>0.75</v>
      </c>
      <c r="EV33">
        <v>28</v>
      </c>
      <c r="EW33">
        <f t="shared" si="75"/>
        <v>96.5</v>
      </c>
      <c r="EX33">
        <f t="shared" si="45"/>
        <v>96.596596596596612</v>
      </c>
      <c r="EY33">
        <f t="shared" si="46"/>
        <v>71.794871794871796</v>
      </c>
      <c r="EZ33">
        <f t="shared" si="47"/>
        <v>0.52937552937553167</v>
      </c>
      <c r="FE33">
        <v>1.5</v>
      </c>
      <c r="FF33">
        <v>28</v>
      </c>
      <c r="FG33">
        <f t="shared" si="76"/>
        <v>107.5</v>
      </c>
      <c r="FH33">
        <f t="shared" si="48"/>
        <v>96.629213483146074</v>
      </c>
      <c r="FI33">
        <f t="shared" si="49"/>
        <v>84.848484848484844</v>
      </c>
      <c r="FJ33">
        <f t="shared" si="50"/>
        <v>1.1235955056179849</v>
      </c>
      <c r="FO33">
        <v>1.5</v>
      </c>
      <c r="FP33">
        <v>28</v>
      </c>
      <c r="FQ33">
        <f t="shared" si="77"/>
        <v>190.5</v>
      </c>
      <c r="FR33">
        <f t="shared" si="51"/>
        <v>96.212121212121218</v>
      </c>
      <c r="FS33">
        <f t="shared" si="52"/>
        <v>73.68421052631578</v>
      </c>
      <c r="FT33">
        <f t="shared" si="53"/>
        <v>0.54824561403509298</v>
      </c>
      <c r="FY33">
        <v>2</v>
      </c>
      <c r="FZ33">
        <v>28</v>
      </c>
      <c r="GA33">
        <f t="shared" si="78"/>
        <v>108</v>
      </c>
      <c r="GB33">
        <f t="shared" si="54"/>
        <v>92.386655260906764</v>
      </c>
      <c r="GC33">
        <f t="shared" si="55"/>
        <v>68.292682926829272</v>
      </c>
      <c r="GD33">
        <f t="shared" si="56"/>
        <v>1.1475307225270699</v>
      </c>
      <c r="GI33">
        <v>0.75</v>
      </c>
      <c r="GJ33">
        <v>28</v>
      </c>
      <c r="GK33">
        <f t="shared" si="79"/>
        <v>115.25</v>
      </c>
      <c r="GL33">
        <f t="shared" si="57"/>
        <v>97.710894446799486</v>
      </c>
      <c r="GM33">
        <f t="shared" si="58"/>
        <v>82.35294117647058</v>
      </c>
      <c r="GN33">
        <f t="shared" si="59"/>
        <v>0.51430067575991611</v>
      </c>
    </row>
    <row r="34" spans="1:196" x14ac:dyDescent="0.2">
      <c r="A34">
        <v>0.5</v>
      </c>
      <c r="B34">
        <v>29</v>
      </c>
      <c r="C34">
        <f t="shared" si="60"/>
        <v>160.5</v>
      </c>
      <c r="D34">
        <f t="shared" si="0"/>
        <v>99.627560521415276</v>
      </c>
      <c r="E34">
        <f t="shared" si="1"/>
        <v>93.548387096774192</v>
      </c>
      <c r="F34">
        <f t="shared" si="2"/>
        <v>0.2853366973028148</v>
      </c>
      <c r="K34">
        <v>1.5</v>
      </c>
      <c r="L34">
        <v>29</v>
      </c>
      <c r="M34">
        <f t="shared" si="61"/>
        <v>450.5</v>
      </c>
      <c r="N34">
        <f t="shared" si="3"/>
        <v>98.394670743693354</v>
      </c>
      <c r="O34">
        <f t="shared" si="4"/>
        <v>76.31578947368422</v>
      </c>
      <c r="P34">
        <f t="shared" si="5"/>
        <v>0.24571366167959852</v>
      </c>
      <c r="AO34">
        <v>1</v>
      </c>
      <c r="AP34">
        <v>29</v>
      </c>
      <c r="AQ34">
        <f t="shared" si="64"/>
        <v>436</v>
      </c>
      <c r="AR34">
        <f t="shared" si="12"/>
        <v>99.577480872444895</v>
      </c>
      <c r="AS34">
        <f t="shared" si="13"/>
        <v>87.878787878787875</v>
      </c>
      <c r="AT34">
        <f t="shared" si="14"/>
        <v>0.19724480156135177</v>
      </c>
      <c r="AY34">
        <v>0.25</v>
      </c>
      <c r="AZ34">
        <v>29</v>
      </c>
      <c r="BA34">
        <f t="shared" si="65"/>
        <v>224.25</v>
      </c>
      <c r="BB34">
        <f t="shared" si="15"/>
        <v>99.88864142538975</v>
      </c>
      <c r="BC34">
        <f t="shared" si="16"/>
        <v>96.666666666666671</v>
      </c>
      <c r="BD34">
        <f t="shared" si="17"/>
        <v>0.10579064587972412</v>
      </c>
      <c r="BI34">
        <v>1</v>
      </c>
      <c r="BJ34">
        <v>29</v>
      </c>
      <c r="BK34">
        <f t="shared" si="66"/>
        <v>197.2</v>
      </c>
      <c r="BL34">
        <f t="shared" si="18"/>
        <v>97.951074133863159</v>
      </c>
      <c r="BM34">
        <f t="shared" si="19"/>
        <v>78.378378378378372</v>
      </c>
      <c r="BN34">
        <f t="shared" si="20"/>
        <v>0.38260040743587476</v>
      </c>
      <c r="BS34">
        <v>0.75</v>
      </c>
      <c r="BT34">
        <v>29</v>
      </c>
      <c r="BU34">
        <f t="shared" si="67"/>
        <v>354.75</v>
      </c>
      <c r="BV34">
        <f t="shared" si="21"/>
        <v>99.300209937018863</v>
      </c>
      <c r="BW34">
        <f t="shared" si="22"/>
        <v>76.31578947368422</v>
      </c>
      <c r="BX34">
        <f t="shared" si="23"/>
        <v>0.1574527641707526</v>
      </c>
      <c r="CM34">
        <v>3</v>
      </c>
      <c r="CN34">
        <v>29</v>
      </c>
      <c r="CO34">
        <f t="shared" si="69"/>
        <v>544.5</v>
      </c>
      <c r="CP34">
        <f t="shared" si="27"/>
        <v>98.373983739837399</v>
      </c>
      <c r="CQ34">
        <f t="shared" si="28"/>
        <v>85.294117647058826</v>
      </c>
      <c r="CR34">
        <f t="shared" si="29"/>
        <v>0.45432807269248732</v>
      </c>
      <c r="CW34">
        <v>1</v>
      </c>
      <c r="CX34">
        <v>29</v>
      </c>
      <c r="CY34">
        <f t="shared" si="70"/>
        <v>248.5</v>
      </c>
      <c r="CZ34">
        <f t="shared" si="30"/>
        <v>99.4596758054833</v>
      </c>
      <c r="DA34">
        <f t="shared" si="31"/>
        <v>87.878787878787875</v>
      </c>
      <c r="DB34">
        <f t="shared" si="32"/>
        <v>0.34566194262011862</v>
      </c>
      <c r="DG34">
        <v>0.2</v>
      </c>
      <c r="DH34">
        <v>29</v>
      </c>
      <c r="DI34">
        <f t="shared" si="71"/>
        <v>145.69999999999999</v>
      </c>
      <c r="DJ34">
        <f t="shared" si="33"/>
        <v>99.931412894375853</v>
      </c>
      <c r="DK34">
        <f t="shared" si="34"/>
        <v>96.666666666666671</v>
      </c>
      <c r="DL34">
        <f t="shared" si="35"/>
        <v>0.13031550068586525</v>
      </c>
      <c r="DQ34">
        <v>1.5</v>
      </c>
      <c r="DR34">
        <v>29</v>
      </c>
      <c r="DS34">
        <f t="shared" si="72"/>
        <v>131</v>
      </c>
      <c r="DT34">
        <f t="shared" si="36"/>
        <v>95.620437956204384</v>
      </c>
      <c r="DU34">
        <f t="shared" si="37"/>
        <v>76.31578947368422</v>
      </c>
      <c r="DV34">
        <f t="shared" si="38"/>
        <v>0.82116788321168599</v>
      </c>
      <c r="EK34">
        <v>0.5</v>
      </c>
      <c r="EL34">
        <v>29</v>
      </c>
      <c r="EM34">
        <f t="shared" si="74"/>
        <v>134.75</v>
      </c>
      <c r="EN34">
        <f t="shared" si="42"/>
        <v>99.29992630803244</v>
      </c>
      <c r="EO34">
        <f t="shared" si="43"/>
        <v>87.878787878787875</v>
      </c>
      <c r="EP34">
        <f t="shared" si="44"/>
        <v>0.31821531453072344</v>
      </c>
      <c r="EU34">
        <v>0.5</v>
      </c>
      <c r="EV34">
        <v>29</v>
      </c>
      <c r="EW34">
        <f t="shared" si="75"/>
        <v>97</v>
      </c>
      <c r="EX34">
        <f t="shared" si="45"/>
        <v>97.097097097097105</v>
      </c>
      <c r="EY34">
        <f t="shared" si="46"/>
        <v>74.358974358974365</v>
      </c>
      <c r="EZ34">
        <f t="shared" si="47"/>
        <v>0.36575036575036046</v>
      </c>
      <c r="FE34">
        <v>1</v>
      </c>
      <c r="FF34">
        <v>29</v>
      </c>
      <c r="FG34">
        <f t="shared" si="76"/>
        <v>108.5</v>
      </c>
      <c r="FH34">
        <f t="shared" si="48"/>
        <v>97.528089887640448</v>
      </c>
      <c r="FI34">
        <f t="shared" si="49"/>
        <v>87.878787878787875</v>
      </c>
      <c r="FJ34">
        <f t="shared" si="50"/>
        <v>0.7763023493360498</v>
      </c>
      <c r="FO34">
        <v>1.5</v>
      </c>
      <c r="FP34">
        <v>29</v>
      </c>
      <c r="FQ34">
        <f t="shared" si="77"/>
        <v>192</v>
      </c>
      <c r="FR34">
        <f t="shared" si="51"/>
        <v>96.969696969696969</v>
      </c>
      <c r="FS34">
        <f t="shared" si="52"/>
        <v>76.31578947368422</v>
      </c>
      <c r="FT34">
        <f t="shared" si="53"/>
        <v>0.56818181818181301</v>
      </c>
      <c r="FY34">
        <v>1.5</v>
      </c>
      <c r="FZ34">
        <v>29</v>
      </c>
      <c r="GA34">
        <f t="shared" si="78"/>
        <v>109.5</v>
      </c>
      <c r="GB34">
        <f t="shared" si="54"/>
        <v>93.669803250641579</v>
      </c>
      <c r="GC34">
        <f t="shared" si="55"/>
        <v>70.731707317073173</v>
      </c>
      <c r="GD34">
        <f t="shared" si="56"/>
        <v>0.89194433432785902</v>
      </c>
      <c r="GI34">
        <v>0.7</v>
      </c>
      <c r="GJ34">
        <v>29</v>
      </c>
      <c r="GK34">
        <f t="shared" si="79"/>
        <v>115.95</v>
      </c>
      <c r="GL34">
        <f t="shared" si="57"/>
        <v>98.304366256888514</v>
      </c>
      <c r="GM34">
        <f t="shared" si="58"/>
        <v>85.294117647058826</v>
      </c>
      <c r="GN34">
        <f t="shared" si="59"/>
        <v>0.49746901728050863</v>
      </c>
    </row>
    <row r="35" spans="1:196" x14ac:dyDescent="0.2">
      <c r="A35">
        <v>0.5</v>
      </c>
      <c r="B35">
        <v>30</v>
      </c>
      <c r="C35">
        <f t="shared" si="60"/>
        <v>161</v>
      </c>
      <c r="D35">
        <f t="shared" si="0"/>
        <v>99.937926753569215</v>
      </c>
      <c r="E35">
        <f t="shared" si="1"/>
        <v>96.774193548387103</v>
      </c>
      <c r="F35">
        <f>(E35+E34)/2*(D35-D34)/100</f>
        <v>0.29534851124326439</v>
      </c>
      <c r="K35">
        <v>1.5</v>
      </c>
      <c r="L35">
        <v>30</v>
      </c>
      <c r="M35">
        <f t="shared" si="61"/>
        <v>452</v>
      </c>
      <c r="N35">
        <f t="shared" si="3"/>
        <v>98.722288959266137</v>
      </c>
      <c r="O35">
        <f t="shared" si="4"/>
        <v>78.94736842105263</v>
      </c>
      <c r="P35">
        <f>(O35+O34)/2*(N35-N34)/100</f>
        <v>0.25433519366834534</v>
      </c>
      <c r="AO35">
        <v>1</v>
      </c>
      <c r="AP35">
        <v>30</v>
      </c>
      <c r="AQ35">
        <f t="shared" si="64"/>
        <v>437</v>
      </c>
      <c r="AR35">
        <f t="shared" si="12"/>
        <v>99.805869590042249</v>
      </c>
      <c r="AS35">
        <f t="shared" si="13"/>
        <v>90.909090909090907</v>
      </c>
      <c r="AT35">
        <f t="shared" si="14"/>
        <v>0.20416567179157463</v>
      </c>
      <c r="AY35">
        <v>0.25</v>
      </c>
      <c r="AZ35">
        <v>30</v>
      </c>
      <c r="BA35">
        <f t="shared" si="65"/>
        <v>224.5</v>
      </c>
      <c r="BB35">
        <f t="shared" si="15"/>
        <v>100</v>
      </c>
      <c r="BC35">
        <f t="shared" si="16"/>
        <v>100</v>
      </c>
      <c r="BD35">
        <f t="shared" si="17"/>
        <v>0.10950259836674596</v>
      </c>
      <c r="BI35">
        <v>1</v>
      </c>
      <c r="BJ35">
        <v>30</v>
      </c>
      <c r="BK35">
        <f t="shared" si="66"/>
        <v>198.2</v>
      </c>
      <c r="BL35">
        <f t="shared" si="18"/>
        <v>98.447783434744821</v>
      </c>
      <c r="BM35">
        <f t="shared" si="19"/>
        <v>81.081081081081081</v>
      </c>
      <c r="BN35">
        <f t="shared" si="20"/>
        <v>0.39602498313537909</v>
      </c>
      <c r="BS35">
        <v>0.75</v>
      </c>
      <c r="BT35">
        <v>30</v>
      </c>
      <c r="BU35">
        <f t="shared" si="67"/>
        <v>355.5</v>
      </c>
      <c r="BV35">
        <f t="shared" si="21"/>
        <v>99.510146955913186</v>
      </c>
      <c r="BW35">
        <f t="shared" si="22"/>
        <v>78.94736842105263</v>
      </c>
      <c r="BX35">
        <f t="shared" si="23"/>
        <v>0.16297742256269782</v>
      </c>
      <c r="CM35">
        <v>3</v>
      </c>
      <c r="CN35">
        <v>30</v>
      </c>
      <c r="CO35">
        <f t="shared" si="69"/>
        <v>547.5</v>
      </c>
      <c r="CP35">
        <f t="shared" si="27"/>
        <v>98.915989159891609</v>
      </c>
      <c r="CQ35">
        <f t="shared" si="28"/>
        <v>88.235294117647058</v>
      </c>
      <c r="CR35">
        <f t="shared" si="29"/>
        <v>0.47026940857644667</v>
      </c>
      <c r="CW35">
        <v>0.5</v>
      </c>
      <c r="CX35">
        <v>30</v>
      </c>
      <c r="CY35">
        <f t="shared" si="70"/>
        <v>249</v>
      </c>
      <c r="CZ35">
        <f t="shared" si="30"/>
        <v>99.65979587752652</v>
      </c>
      <c r="DA35">
        <f t="shared" si="31"/>
        <v>90.909090909090907</v>
      </c>
      <c r="DB35">
        <f t="shared" si="32"/>
        <v>0.17889521591742344</v>
      </c>
      <c r="DG35">
        <v>0.1</v>
      </c>
      <c r="DH35">
        <v>30</v>
      </c>
      <c r="DI35">
        <f t="shared" si="71"/>
        <v>145.79999999999998</v>
      </c>
      <c r="DJ35">
        <f t="shared" si="33"/>
        <v>100</v>
      </c>
      <c r="DK35">
        <f t="shared" si="34"/>
        <v>100</v>
      </c>
      <c r="DL35">
        <f t="shared" si="35"/>
        <v>6.7443987197077615E-2</v>
      </c>
      <c r="DQ35">
        <v>1</v>
      </c>
      <c r="DR35">
        <v>30</v>
      </c>
      <c r="DS35">
        <f t="shared" si="72"/>
        <v>132</v>
      </c>
      <c r="DT35">
        <f t="shared" si="36"/>
        <v>96.350364963503651</v>
      </c>
      <c r="DU35">
        <f t="shared" si="37"/>
        <v>78.94736842105263</v>
      </c>
      <c r="DV35">
        <f t="shared" si="38"/>
        <v>0.56665386092969416</v>
      </c>
      <c r="EK35">
        <v>0.5</v>
      </c>
      <c r="EL35">
        <v>30</v>
      </c>
      <c r="EM35">
        <f t="shared" si="74"/>
        <v>135.25</v>
      </c>
      <c r="EN35">
        <f t="shared" si="42"/>
        <v>99.668386145910105</v>
      </c>
      <c r="EO35">
        <f t="shared" si="43"/>
        <v>90.909090909090907</v>
      </c>
      <c r="EP35">
        <f t="shared" si="44"/>
        <v>0.3293807641633677</v>
      </c>
      <c r="EU35">
        <v>0.5</v>
      </c>
      <c r="EV35">
        <v>30</v>
      </c>
      <c r="EW35">
        <f t="shared" si="75"/>
        <v>97.5</v>
      </c>
      <c r="EX35">
        <f t="shared" si="45"/>
        <v>97.597597597597613</v>
      </c>
      <c r="EY35">
        <f t="shared" si="46"/>
        <v>76.923076923076934</v>
      </c>
      <c r="EZ35">
        <f t="shared" si="47"/>
        <v>0.37858371191705054</v>
      </c>
      <c r="FE35">
        <v>1</v>
      </c>
      <c r="FF35">
        <v>30</v>
      </c>
      <c r="FG35">
        <f t="shared" si="76"/>
        <v>109.5</v>
      </c>
      <c r="FH35">
        <f t="shared" si="48"/>
        <v>98.426966292134836</v>
      </c>
      <c r="FI35">
        <f t="shared" si="49"/>
        <v>90.909090909090907</v>
      </c>
      <c r="FJ35">
        <f t="shared" si="50"/>
        <v>0.8035410282601344</v>
      </c>
      <c r="FO35">
        <v>1</v>
      </c>
      <c r="FP35">
        <v>30</v>
      </c>
      <c r="FQ35">
        <f t="shared" si="77"/>
        <v>193</v>
      </c>
      <c r="FR35">
        <f t="shared" si="51"/>
        <v>97.474747474747474</v>
      </c>
      <c r="FS35">
        <f t="shared" si="52"/>
        <v>78.94736842105263</v>
      </c>
      <c r="FT35">
        <f t="shared" si="53"/>
        <v>0.39207868155236592</v>
      </c>
      <c r="FY35">
        <v>1.5</v>
      </c>
      <c r="FZ35">
        <v>30</v>
      </c>
      <c r="GA35">
        <f t="shared" si="78"/>
        <v>111</v>
      </c>
      <c r="GB35">
        <f t="shared" si="54"/>
        <v>94.952951240376393</v>
      </c>
      <c r="GC35">
        <f t="shared" si="55"/>
        <v>73.170731707317074</v>
      </c>
      <c r="GD35">
        <f t="shared" si="56"/>
        <v>0.92324062676041541</v>
      </c>
      <c r="GI35">
        <v>0.5</v>
      </c>
      <c r="GJ35">
        <v>30</v>
      </c>
      <c r="GK35">
        <f t="shared" si="79"/>
        <v>116.45</v>
      </c>
      <c r="GL35">
        <f t="shared" si="57"/>
        <v>98.728274692666389</v>
      </c>
      <c r="GM35">
        <f t="shared" si="58"/>
        <v>88.235294117647058</v>
      </c>
      <c r="GN35">
        <f t="shared" si="59"/>
        <v>0.36780290751315631</v>
      </c>
    </row>
    <row r="36" spans="1:196" x14ac:dyDescent="0.2">
      <c r="A36">
        <v>0.1</v>
      </c>
      <c r="B36">
        <v>31</v>
      </c>
      <c r="C36">
        <f t="shared" si="60"/>
        <v>161.1</v>
      </c>
      <c r="D36">
        <f t="shared" si="0"/>
        <v>100</v>
      </c>
      <c r="E36">
        <f t="shared" si="1"/>
        <v>100</v>
      </c>
      <c r="F36">
        <f t="shared" si="2"/>
        <v>6.1072065036740016E-2</v>
      </c>
      <c r="K36">
        <v>1</v>
      </c>
      <c r="L36">
        <v>31</v>
      </c>
      <c r="M36">
        <f t="shared" si="61"/>
        <v>453</v>
      </c>
      <c r="N36">
        <f t="shared" si="3"/>
        <v>98.940701102981322</v>
      </c>
      <c r="O36">
        <f t="shared" si="4"/>
        <v>81.578947368421055</v>
      </c>
      <c r="P36">
        <f t="shared" ref="P36:P43" si="80">(O36+O35)/2*(N36-N35)/100</f>
        <v>0.1753044837713981</v>
      </c>
      <c r="AO36">
        <v>0.5</v>
      </c>
      <c r="AP36">
        <v>31</v>
      </c>
      <c r="AQ36">
        <f t="shared" si="64"/>
        <v>437.5</v>
      </c>
      <c r="AR36">
        <f t="shared" si="12"/>
        <v>99.920063948840919</v>
      </c>
      <c r="AS36">
        <f t="shared" si="13"/>
        <v>93.939393939393938</v>
      </c>
      <c r="AT36">
        <f t="shared" si="14"/>
        <v>0.1055432710108922</v>
      </c>
      <c r="BI36">
        <v>1</v>
      </c>
      <c r="BJ36">
        <v>31</v>
      </c>
      <c r="BK36">
        <f t="shared" si="66"/>
        <v>199.2</v>
      </c>
      <c r="BL36">
        <f t="shared" si="18"/>
        <v>98.944492735626483</v>
      </c>
      <c r="BM36">
        <f t="shared" si="19"/>
        <v>83.78378378378379</v>
      </c>
      <c r="BN36">
        <f t="shared" si="20"/>
        <v>0.40944955883488349</v>
      </c>
      <c r="BS36">
        <v>0.5</v>
      </c>
      <c r="BT36">
        <v>31</v>
      </c>
      <c r="BU36">
        <f t="shared" si="67"/>
        <v>356</v>
      </c>
      <c r="BV36">
        <f t="shared" si="21"/>
        <v>99.65010496850941</v>
      </c>
      <c r="BW36">
        <f t="shared" si="22"/>
        <v>81.578947368421055</v>
      </c>
      <c r="BX36">
        <f t="shared" si="23"/>
        <v>0.11233472063644338</v>
      </c>
      <c r="CM36">
        <v>3</v>
      </c>
      <c r="CN36">
        <v>31</v>
      </c>
      <c r="CO36">
        <f t="shared" si="69"/>
        <v>550.5</v>
      </c>
      <c r="CP36">
        <f t="shared" si="27"/>
        <v>99.45799457994579</v>
      </c>
      <c r="CQ36">
        <f t="shared" si="28"/>
        <v>91.17647058823529</v>
      </c>
      <c r="CR36">
        <f t="shared" si="29"/>
        <v>0.48621074446036849</v>
      </c>
      <c r="CW36">
        <v>0.5</v>
      </c>
      <c r="CX36">
        <v>31</v>
      </c>
      <c r="CY36">
        <f t="shared" si="70"/>
        <v>249.5</v>
      </c>
      <c r="CZ36">
        <f t="shared" si="30"/>
        <v>99.859915949569739</v>
      </c>
      <c r="DA36">
        <f t="shared" si="31"/>
        <v>93.939393939393938</v>
      </c>
      <c r="DB36">
        <f t="shared" si="32"/>
        <v>0.18495946052479376</v>
      </c>
      <c r="DQ36">
        <v>1</v>
      </c>
      <c r="DR36">
        <v>31</v>
      </c>
      <c r="DS36">
        <f t="shared" si="72"/>
        <v>133</v>
      </c>
      <c r="DT36">
        <f t="shared" si="36"/>
        <v>97.080291970802918</v>
      </c>
      <c r="DU36">
        <f t="shared" si="37"/>
        <v>81.578947368421055</v>
      </c>
      <c r="DV36">
        <f t="shared" si="38"/>
        <v>0.585862466384938</v>
      </c>
      <c r="EK36">
        <v>0.25</v>
      </c>
      <c r="EL36">
        <v>31</v>
      </c>
      <c r="EM36">
        <f t="shared" si="74"/>
        <v>135.5</v>
      </c>
      <c r="EN36">
        <f t="shared" si="42"/>
        <v>99.852616064848945</v>
      </c>
      <c r="EO36">
        <f t="shared" si="43"/>
        <v>93.939393939393938</v>
      </c>
      <c r="EP36">
        <f t="shared" si="44"/>
        <v>0.17027310689801869</v>
      </c>
      <c r="EU36">
        <v>0.5</v>
      </c>
      <c r="EV36">
        <v>31</v>
      </c>
      <c r="EW36">
        <f t="shared" si="75"/>
        <v>98</v>
      </c>
      <c r="EX36">
        <f t="shared" si="45"/>
        <v>98.098098098098106</v>
      </c>
      <c r="EY36">
        <f t="shared" si="46"/>
        <v>79.487179487179489</v>
      </c>
      <c r="EZ36">
        <f t="shared" si="47"/>
        <v>0.39141705808371902</v>
      </c>
      <c r="FE36">
        <v>1</v>
      </c>
      <c r="FF36">
        <v>31</v>
      </c>
      <c r="FG36">
        <f t="shared" si="76"/>
        <v>110.5</v>
      </c>
      <c r="FH36">
        <f t="shared" si="48"/>
        <v>99.325842696629223</v>
      </c>
      <c r="FI36">
        <f t="shared" si="49"/>
        <v>93.939393939393938</v>
      </c>
      <c r="FJ36">
        <f t="shared" si="50"/>
        <v>0.83077970718420691</v>
      </c>
      <c r="FO36">
        <v>1</v>
      </c>
      <c r="FP36">
        <v>31</v>
      </c>
      <c r="FQ36">
        <f t="shared" si="77"/>
        <v>194</v>
      </c>
      <c r="FR36">
        <f t="shared" si="51"/>
        <v>97.979797979797979</v>
      </c>
      <c r="FS36">
        <f t="shared" si="52"/>
        <v>81.578947368421055</v>
      </c>
      <c r="FT36">
        <f t="shared" si="53"/>
        <v>0.40536948431685288</v>
      </c>
      <c r="FY36">
        <v>1</v>
      </c>
      <c r="FZ36">
        <v>31</v>
      </c>
      <c r="GA36">
        <f t="shared" si="78"/>
        <v>112</v>
      </c>
      <c r="GB36">
        <f t="shared" si="54"/>
        <v>95.80838323353295</v>
      </c>
      <c r="GC36">
        <f t="shared" si="55"/>
        <v>75.609756097560975</v>
      </c>
      <c r="GD36">
        <f t="shared" si="56"/>
        <v>0.63635794612865848</v>
      </c>
      <c r="GI36">
        <v>0.5</v>
      </c>
      <c r="GJ36">
        <v>31</v>
      </c>
      <c r="GK36">
        <f t="shared" si="79"/>
        <v>116.95</v>
      </c>
      <c r="GL36">
        <f t="shared" si="57"/>
        <v>99.152183128444264</v>
      </c>
      <c r="GM36">
        <f t="shared" si="58"/>
        <v>91.17647058823529</v>
      </c>
      <c r="GN36">
        <f t="shared" si="59"/>
        <v>0.38027080268309382</v>
      </c>
    </row>
    <row r="37" spans="1:196" x14ac:dyDescent="0.2">
      <c r="K37">
        <v>1</v>
      </c>
      <c r="L37">
        <v>32</v>
      </c>
      <c r="M37">
        <f t="shared" si="61"/>
        <v>454</v>
      </c>
      <c r="N37">
        <f t="shared" si="3"/>
        <v>99.159113246696506</v>
      </c>
      <c r="O37">
        <f t="shared" si="4"/>
        <v>84.210526315789465</v>
      </c>
      <c r="P37">
        <f t="shared" si="80"/>
        <v>0.1810521717639029</v>
      </c>
      <c r="AO37">
        <v>0.25</v>
      </c>
      <c r="AP37">
        <v>32</v>
      </c>
      <c r="AQ37">
        <f t="shared" si="64"/>
        <v>437.75</v>
      </c>
      <c r="AR37">
        <f t="shared" si="12"/>
        <v>99.977161128240255</v>
      </c>
      <c r="AS37">
        <f t="shared" si="13"/>
        <v>96.969696969696969</v>
      </c>
      <c r="AT37">
        <f t="shared" si="14"/>
        <v>5.4501853063001704E-2</v>
      </c>
      <c r="BI37">
        <v>0.75</v>
      </c>
      <c r="BJ37">
        <v>32</v>
      </c>
      <c r="BK37">
        <f t="shared" si="66"/>
        <v>199.95</v>
      </c>
      <c r="BL37">
        <f t="shared" si="18"/>
        <v>99.317024711287715</v>
      </c>
      <c r="BM37">
        <f t="shared" si="19"/>
        <v>86.486486486486484</v>
      </c>
      <c r="BN37">
        <f t="shared" si="20"/>
        <v>0.31715560090077877</v>
      </c>
      <c r="BS37">
        <v>0.5</v>
      </c>
      <c r="BT37">
        <v>32</v>
      </c>
      <c r="BU37">
        <f t="shared" si="67"/>
        <v>356.5</v>
      </c>
      <c r="BV37">
        <f t="shared" si="21"/>
        <v>99.790062981105635</v>
      </c>
      <c r="BW37">
        <f t="shared" si="22"/>
        <v>84.210526315789465</v>
      </c>
      <c r="BX37">
        <f t="shared" si="23"/>
        <v>0.11601782623108087</v>
      </c>
      <c r="CM37">
        <v>2.5</v>
      </c>
      <c r="CN37">
        <v>32</v>
      </c>
      <c r="CO37">
        <f t="shared" si="69"/>
        <v>553</v>
      </c>
      <c r="CP37">
        <f t="shared" si="27"/>
        <v>99.909665763324298</v>
      </c>
      <c r="CQ37">
        <f t="shared" si="28"/>
        <v>94.117647058823522</v>
      </c>
      <c r="CR37">
        <f t="shared" si="29"/>
        <v>0.41846006695361782</v>
      </c>
      <c r="CW37">
        <v>0.25</v>
      </c>
      <c r="CX37">
        <v>32</v>
      </c>
      <c r="CY37">
        <f t="shared" si="70"/>
        <v>249.75</v>
      </c>
      <c r="CZ37">
        <f t="shared" si="30"/>
        <v>99.959975985591356</v>
      </c>
      <c r="DA37">
        <f t="shared" si="31"/>
        <v>96.969696969696969</v>
      </c>
      <c r="DB37">
        <f t="shared" si="32"/>
        <v>9.5511852566088795E-2</v>
      </c>
      <c r="DQ37">
        <v>1</v>
      </c>
      <c r="DR37">
        <v>32</v>
      </c>
      <c r="DS37">
        <f t="shared" si="72"/>
        <v>134</v>
      </c>
      <c r="DT37">
        <f t="shared" si="36"/>
        <v>97.810218978102199</v>
      </c>
      <c r="DU37">
        <f t="shared" si="37"/>
        <v>84.210526315789465</v>
      </c>
      <c r="DV37">
        <f t="shared" si="38"/>
        <v>0.6050710718401936</v>
      </c>
      <c r="EK37">
        <v>0.1</v>
      </c>
      <c r="EL37">
        <v>32</v>
      </c>
      <c r="EM37">
        <f t="shared" si="74"/>
        <v>135.6</v>
      </c>
      <c r="EN37">
        <f t="shared" si="42"/>
        <v>99.926308032424473</v>
      </c>
      <c r="EO37">
        <f t="shared" si="43"/>
        <v>96.969696969696969</v>
      </c>
      <c r="EP37">
        <f t="shared" si="44"/>
        <v>7.034233268573073E-2</v>
      </c>
      <c r="EU37">
        <v>0.5</v>
      </c>
      <c r="EV37">
        <v>32</v>
      </c>
      <c r="EW37">
        <f t="shared" si="75"/>
        <v>98.5</v>
      </c>
      <c r="EX37">
        <f t="shared" si="45"/>
        <v>98.598598598598613</v>
      </c>
      <c r="EY37">
        <f t="shared" si="46"/>
        <v>82.051282051282044</v>
      </c>
      <c r="EZ37">
        <f t="shared" si="47"/>
        <v>0.40425040425040992</v>
      </c>
      <c r="FE37">
        <v>0.5</v>
      </c>
      <c r="FF37">
        <v>32</v>
      </c>
      <c r="FG37">
        <f t="shared" si="76"/>
        <v>111</v>
      </c>
      <c r="FH37">
        <f t="shared" si="48"/>
        <v>99.775280898876403</v>
      </c>
      <c r="FI37">
        <f t="shared" si="49"/>
        <v>96.969696969696969</v>
      </c>
      <c r="FJ37">
        <f t="shared" si="50"/>
        <v>0.42900919305412605</v>
      </c>
      <c r="FO37">
        <v>1</v>
      </c>
      <c r="FP37">
        <v>32</v>
      </c>
      <c r="FQ37">
        <f t="shared" si="77"/>
        <v>195</v>
      </c>
      <c r="FR37">
        <f t="shared" si="51"/>
        <v>98.484848484848484</v>
      </c>
      <c r="FS37">
        <f t="shared" si="52"/>
        <v>84.210526315789465</v>
      </c>
      <c r="FT37">
        <f t="shared" si="53"/>
        <v>0.41866028708133984</v>
      </c>
      <c r="FY37">
        <v>1</v>
      </c>
      <c r="FZ37">
        <v>32</v>
      </c>
      <c r="GA37">
        <f t="shared" si="78"/>
        <v>113</v>
      </c>
      <c r="GB37">
        <f t="shared" si="54"/>
        <v>96.663815226689493</v>
      </c>
      <c r="GC37">
        <f t="shared" si="55"/>
        <v>78.048780487804876</v>
      </c>
      <c r="GD37">
        <f t="shared" si="56"/>
        <v>0.65722214108368548</v>
      </c>
      <c r="GI37">
        <v>0.5</v>
      </c>
      <c r="GJ37">
        <v>32</v>
      </c>
      <c r="GK37">
        <f t="shared" si="79"/>
        <v>117.45</v>
      </c>
      <c r="GL37">
        <f t="shared" si="57"/>
        <v>99.576091564222125</v>
      </c>
      <c r="GM37">
        <f t="shared" si="58"/>
        <v>94.117647058823522</v>
      </c>
      <c r="GN37">
        <f t="shared" si="59"/>
        <v>0.39273869785301813</v>
      </c>
    </row>
    <row r="38" spans="1:196" x14ac:dyDescent="0.2">
      <c r="K38">
        <v>1</v>
      </c>
      <c r="L38">
        <v>33</v>
      </c>
      <c r="M38">
        <f t="shared" si="61"/>
        <v>455</v>
      </c>
      <c r="N38">
        <f t="shared" si="3"/>
        <v>99.377525390411705</v>
      </c>
      <c r="O38">
        <f t="shared" si="4"/>
        <v>86.842105263157904</v>
      </c>
      <c r="P38">
        <f t="shared" si="80"/>
        <v>0.18679985975641994</v>
      </c>
      <c r="AO38">
        <v>0.1</v>
      </c>
      <c r="AP38">
        <v>33</v>
      </c>
      <c r="AQ38">
        <f t="shared" si="64"/>
        <v>437.85</v>
      </c>
      <c r="AR38">
        <f t="shared" si="12"/>
        <v>100</v>
      </c>
      <c r="AS38">
        <f t="shared" si="13"/>
        <v>100</v>
      </c>
      <c r="AT38">
        <f t="shared" si="14"/>
        <v>2.2492828248234124E-2</v>
      </c>
      <c r="BI38">
        <v>0.5</v>
      </c>
      <c r="BJ38">
        <v>33</v>
      </c>
      <c r="BK38">
        <f t="shared" si="66"/>
        <v>200.45</v>
      </c>
      <c r="BL38">
        <f t="shared" si="18"/>
        <v>99.565379361728546</v>
      </c>
      <c r="BM38">
        <f t="shared" si="19"/>
        <v>89.189189189189193</v>
      </c>
      <c r="BN38">
        <f t="shared" si="20"/>
        <v>0.21814935511694611</v>
      </c>
      <c r="BS38">
        <v>0.25</v>
      </c>
      <c r="BT38">
        <v>33</v>
      </c>
      <c r="BU38">
        <f t="shared" si="67"/>
        <v>356.75</v>
      </c>
      <c r="BV38">
        <f t="shared" si="21"/>
        <v>99.860041987403747</v>
      </c>
      <c r="BW38">
        <f t="shared" si="22"/>
        <v>86.842105263157904</v>
      </c>
      <c r="BX38">
        <f t="shared" si="23"/>
        <v>5.9850465912859176E-2</v>
      </c>
      <c r="CM38">
        <v>0.25</v>
      </c>
      <c r="CN38">
        <v>33</v>
      </c>
      <c r="CO38">
        <f t="shared" si="69"/>
        <v>553.25</v>
      </c>
      <c r="CP38">
        <f t="shared" si="27"/>
        <v>99.954832881662142</v>
      </c>
      <c r="CQ38">
        <f t="shared" si="28"/>
        <v>97.058823529411768</v>
      </c>
      <c r="CR38">
        <f t="shared" si="29"/>
        <v>4.3174451352350596E-2</v>
      </c>
      <c r="CW38">
        <v>0.1</v>
      </c>
      <c r="CX38">
        <v>33</v>
      </c>
      <c r="CY38">
        <f t="shared" si="70"/>
        <v>249.85</v>
      </c>
      <c r="CZ38">
        <f t="shared" si="30"/>
        <v>100</v>
      </c>
      <c r="DA38">
        <f t="shared" si="31"/>
        <v>100</v>
      </c>
      <c r="DB38">
        <f t="shared" si="32"/>
        <v>3.9417589947906867E-2</v>
      </c>
      <c r="DQ38">
        <v>1</v>
      </c>
      <c r="DR38">
        <v>33</v>
      </c>
      <c r="DS38">
        <f t="shared" si="72"/>
        <v>135</v>
      </c>
      <c r="DT38">
        <f t="shared" si="36"/>
        <v>98.540145985401466</v>
      </c>
      <c r="DU38">
        <f t="shared" si="37"/>
        <v>86.842105263157904</v>
      </c>
      <c r="DV38">
        <f t="shared" si="38"/>
        <v>0.62427967729542577</v>
      </c>
      <c r="EK38">
        <v>0.1</v>
      </c>
      <c r="EL38">
        <v>33</v>
      </c>
      <c r="EM38">
        <f t="shared" si="74"/>
        <v>135.69999999999999</v>
      </c>
      <c r="EN38">
        <f t="shared" si="42"/>
        <v>100</v>
      </c>
      <c r="EO38">
        <f t="shared" si="43"/>
        <v>100</v>
      </c>
      <c r="EP38">
        <f t="shared" si="44"/>
        <v>7.2575422612261867E-2</v>
      </c>
      <c r="EU38">
        <v>0.25</v>
      </c>
      <c r="EV38">
        <v>33</v>
      </c>
      <c r="EW38">
        <f t="shared" si="75"/>
        <v>98.75</v>
      </c>
      <c r="EX38">
        <f t="shared" si="45"/>
        <v>98.84884884884886</v>
      </c>
      <c r="EY38">
        <f t="shared" si="46"/>
        <v>84.615384615384613</v>
      </c>
      <c r="EZ38">
        <f t="shared" si="47"/>
        <v>0.20854187520853884</v>
      </c>
      <c r="FE38">
        <v>0.25</v>
      </c>
      <c r="FF38">
        <v>33</v>
      </c>
      <c r="FG38">
        <f t="shared" si="76"/>
        <v>111.25</v>
      </c>
      <c r="FH38">
        <f t="shared" si="48"/>
        <v>100</v>
      </c>
      <c r="FI38">
        <f t="shared" si="49"/>
        <v>100</v>
      </c>
      <c r="FJ38">
        <f t="shared" si="50"/>
        <v>0.22131426625808789</v>
      </c>
      <c r="FO38">
        <v>0.75</v>
      </c>
      <c r="FP38">
        <v>33</v>
      </c>
      <c r="FQ38">
        <f t="shared" si="77"/>
        <v>195.75</v>
      </c>
      <c r="FR38">
        <f t="shared" si="51"/>
        <v>98.86363636363636</v>
      </c>
      <c r="FS38">
        <f t="shared" si="52"/>
        <v>86.842105263157904</v>
      </c>
      <c r="FT38">
        <f t="shared" si="53"/>
        <v>0.32396331738436707</v>
      </c>
      <c r="FY38">
        <v>1</v>
      </c>
      <c r="FZ38">
        <v>33</v>
      </c>
      <c r="GA38">
        <f t="shared" si="78"/>
        <v>114</v>
      </c>
      <c r="GB38">
        <f t="shared" si="54"/>
        <v>97.519247219846022</v>
      </c>
      <c r="GC38">
        <f t="shared" si="55"/>
        <v>80.487804878048792</v>
      </c>
      <c r="GD38">
        <f t="shared" si="56"/>
        <v>0.67808633603871205</v>
      </c>
      <c r="GI38">
        <v>0.25</v>
      </c>
      <c r="GJ38">
        <v>33</v>
      </c>
      <c r="GK38">
        <f t="shared" si="79"/>
        <v>117.7</v>
      </c>
      <c r="GL38">
        <f t="shared" si="57"/>
        <v>99.78804578211107</v>
      </c>
      <c r="GM38">
        <f t="shared" si="58"/>
        <v>97.058823529411768</v>
      </c>
      <c r="GN38">
        <f t="shared" si="59"/>
        <v>0.2026032965114912</v>
      </c>
    </row>
    <row r="39" spans="1:196" x14ac:dyDescent="0.2">
      <c r="K39">
        <v>1</v>
      </c>
      <c r="L39">
        <v>34</v>
      </c>
      <c r="M39">
        <f t="shared" si="61"/>
        <v>456</v>
      </c>
      <c r="N39">
        <f t="shared" si="3"/>
        <v>99.59593753412689</v>
      </c>
      <c r="O39">
        <f t="shared" si="4"/>
        <v>89.473684210526315</v>
      </c>
      <c r="P39">
        <f t="shared" si="80"/>
        <v>0.19254754774891264</v>
      </c>
      <c r="BI39">
        <v>0.5</v>
      </c>
      <c r="BJ39">
        <v>34</v>
      </c>
      <c r="BK39">
        <f t="shared" si="66"/>
        <v>200.95</v>
      </c>
      <c r="BL39">
        <f t="shared" si="18"/>
        <v>99.813734012169377</v>
      </c>
      <c r="BM39">
        <f t="shared" si="19"/>
        <v>91.891891891891902</v>
      </c>
      <c r="BN39">
        <f t="shared" si="20"/>
        <v>0.22486164296669831</v>
      </c>
      <c r="BS39">
        <v>0.1</v>
      </c>
      <c r="BT39">
        <v>34</v>
      </c>
      <c r="BU39">
        <f t="shared" si="67"/>
        <v>356.85</v>
      </c>
      <c r="BV39">
        <f t="shared" si="21"/>
        <v>99.888033589922998</v>
      </c>
      <c r="BW39">
        <f t="shared" si="22"/>
        <v>89.473684210526315</v>
      </c>
      <c r="BX39">
        <f t="shared" si="23"/>
        <v>2.467680748407618E-2</v>
      </c>
      <c r="CM39">
        <v>0.25</v>
      </c>
      <c r="CN39">
        <v>34</v>
      </c>
      <c r="CO39">
        <f t="shared" si="69"/>
        <v>553.5</v>
      </c>
      <c r="CP39">
        <f t="shared" si="27"/>
        <v>100</v>
      </c>
      <c r="CQ39">
        <f t="shared" si="28"/>
        <v>100</v>
      </c>
      <c r="CR39">
        <f t="shared" si="29"/>
        <v>4.4502896009359999E-2</v>
      </c>
      <c r="DQ39">
        <v>0.75</v>
      </c>
      <c r="DR39">
        <v>34</v>
      </c>
      <c r="DS39">
        <f t="shared" si="72"/>
        <v>135.75</v>
      </c>
      <c r="DT39">
        <f t="shared" si="36"/>
        <v>99.087591240875923</v>
      </c>
      <c r="DU39">
        <f t="shared" si="37"/>
        <v>89.473684210526315</v>
      </c>
      <c r="DV39">
        <f t="shared" si="38"/>
        <v>0.48261621206300842</v>
      </c>
      <c r="EU39">
        <v>0.25</v>
      </c>
      <c r="EV39">
        <v>34</v>
      </c>
      <c r="EW39">
        <f t="shared" si="75"/>
        <v>99</v>
      </c>
      <c r="EX39">
        <f t="shared" si="45"/>
        <v>99.099099099099107</v>
      </c>
      <c r="EY39">
        <f t="shared" si="46"/>
        <v>87.179487179487182</v>
      </c>
      <c r="EZ39">
        <f t="shared" si="47"/>
        <v>0.21495854829187849</v>
      </c>
      <c r="FO39">
        <v>0.75</v>
      </c>
      <c r="FP39">
        <v>34</v>
      </c>
      <c r="FQ39">
        <f t="shared" si="77"/>
        <v>196.5</v>
      </c>
      <c r="FR39">
        <f t="shared" si="51"/>
        <v>99.242424242424249</v>
      </c>
      <c r="FS39">
        <f t="shared" si="52"/>
        <v>89.473684210526315</v>
      </c>
      <c r="FT39">
        <f t="shared" si="53"/>
        <v>0.33393141945774474</v>
      </c>
      <c r="FY39">
        <v>0.75</v>
      </c>
      <c r="FZ39">
        <v>34</v>
      </c>
      <c r="GA39">
        <f t="shared" si="78"/>
        <v>114.75</v>
      </c>
      <c r="GB39">
        <f t="shared" si="54"/>
        <v>98.160821214713437</v>
      </c>
      <c r="GC39">
        <f t="shared" si="55"/>
        <v>82.926829268292678</v>
      </c>
      <c r="GD39">
        <f t="shared" si="56"/>
        <v>0.52421289824532646</v>
      </c>
      <c r="GI39">
        <v>0.25</v>
      </c>
      <c r="GJ39">
        <v>34</v>
      </c>
      <c r="GK39">
        <f t="shared" si="79"/>
        <v>117.95</v>
      </c>
      <c r="GL39">
        <f t="shared" si="57"/>
        <v>100</v>
      </c>
      <c r="GM39">
        <f t="shared" si="58"/>
        <v>100</v>
      </c>
      <c r="GN39">
        <f t="shared" si="59"/>
        <v>0.20883724409644619</v>
      </c>
    </row>
    <row r="40" spans="1:196" x14ac:dyDescent="0.2">
      <c r="K40">
        <v>0.75</v>
      </c>
      <c r="L40">
        <v>35</v>
      </c>
      <c r="M40">
        <f t="shared" si="61"/>
        <v>456.75</v>
      </c>
      <c r="N40">
        <f t="shared" si="3"/>
        <v>99.759746641913281</v>
      </c>
      <c r="O40">
        <f t="shared" si="4"/>
        <v>92.10526315789474</v>
      </c>
      <c r="P40">
        <f t="shared" si="80"/>
        <v>0.14872142680606631</v>
      </c>
      <c r="BI40">
        <v>0.25</v>
      </c>
      <c r="BJ40">
        <v>35</v>
      </c>
      <c r="BK40">
        <f t="shared" si="66"/>
        <v>201.2</v>
      </c>
      <c r="BL40">
        <f t="shared" si="18"/>
        <v>99.937911337389792</v>
      </c>
      <c r="BM40">
        <f t="shared" si="19"/>
        <v>94.594594594594597</v>
      </c>
      <c r="BN40">
        <f t="shared" si="20"/>
        <v>0.11578696540822525</v>
      </c>
      <c r="BS40">
        <v>0.1</v>
      </c>
      <c r="BT40">
        <v>35</v>
      </c>
      <c r="BU40">
        <f t="shared" si="67"/>
        <v>356.95000000000005</v>
      </c>
      <c r="BV40">
        <f t="shared" si="21"/>
        <v>99.916025192442248</v>
      </c>
      <c r="BW40">
        <f t="shared" si="22"/>
        <v>92.10526315789474</v>
      </c>
      <c r="BX40">
        <f t="shared" si="23"/>
        <v>2.5413428603003822E-2</v>
      </c>
      <c r="DQ40">
        <v>0.5</v>
      </c>
      <c r="DR40">
        <v>35</v>
      </c>
      <c r="DS40">
        <f t="shared" si="72"/>
        <v>136.25</v>
      </c>
      <c r="DT40">
        <f t="shared" si="36"/>
        <v>99.452554744525543</v>
      </c>
      <c r="DU40">
        <f t="shared" si="37"/>
        <v>92.10526315789474</v>
      </c>
      <c r="DV40">
        <f t="shared" si="38"/>
        <v>0.33134844410294378</v>
      </c>
      <c r="EU40">
        <v>0.25</v>
      </c>
      <c r="EV40">
        <v>35</v>
      </c>
      <c r="EW40">
        <f t="shared" si="75"/>
        <v>99.25</v>
      </c>
      <c r="EX40">
        <f t="shared" si="45"/>
        <v>99.349349349349353</v>
      </c>
      <c r="EY40">
        <f t="shared" si="46"/>
        <v>89.743589743589752</v>
      </c>
      <c r="EZ40">
        <f t="shared" si="47"/>
        <v>0.22137522137521817</v>
      </c>
      <c r="FO40">
        <v>0.5</v>
      </c>
      <c r="FP40">
        <v>35</v>
      </c>
      <c r="FQ40">
        <f t="shared" si="77"/>
        <v>197</v>
      </c>
      <c r="FR40">
        <f t="shared" si="51"/>
        <v>99.494949494949495</v>
      </c>
      <c r="FS40">
        <f t="shared" si="52"/>
        <v>92.10526315789474</v>
      </c>
      <c r="FT40">
        <f t="shared" si="53"/>
        <v>0.2292663476873939</v>
      </c>
      <c r="FY40">
        <v>0.5</v>
      </c>
      <c r="FZ40">
        <v>35</v>
      </c>
      <c r="GA40">
        <f t="shared" si="78"/>
        <v>115.25</v>
      </c>
      <c r="GB40">
        <f t="shared" si="54"/>
        <v>98.588537211291708</v>
      </c>
      <c r="GC40">
        <f t="shared" si="55"/>
        <v>85.365853658536579</v>
      </c>
      <c r="GD40">
        <f t="shared" si="56"/>
        <v>0.35990736297439918</v>
      </c>
    </row>
    <row r="41" spans="1:196" x14ac:dyDescent="0.2">
      <c r="K41">
        <v>0.5</v>
      </c>
      <c r="L41">
        <v>36</v>
      </c>
      <c r="M41">
        <f t="shared" si="61"/>
        <v>457.25</v>
      </c>
      <c r="N41">
        <f t="shared" si="3"/>
        <v>99.868952713770881</v>
      </c>
      <c r="O41">
        <f t="shared" si="4"/>
        <v>94.73684210526315</v>
      </c>
      <c r="P41">
        <f t="shared" si="80"/>
        <v>0.1020214618669678</v>
      </c>
      <c r="BI41">
        <v>0.1</v>
      </c>
      <c r="BJ41">
        <v>36</v>
      </c>
      <c r="BK41">
        <f t="shared" si="66"/>
        <v>201.29999999999998</v>
      </c>
      <c r="BL41">
        <f t="shared" si="18"/>
        <v>99.987582267477961</v>
      </c>
      <c r="BM41">
        <f t="shared" si="19"/>
        <v>97.297297297297305</v>
      </c>
      <c r="BN41">
        <f t="shared" si="20"/>
        <v>4.765724373324326E-2</v>
      </c>
      <c r="BS41">
        <v>0.1</v>
      </c>
      <c r="BT41">
        <v>36</v>
      </c>
      <c r="BU41">
        <f t="shared" si="67"/>
        <v>357.05000000000007</v>
      </c>
      <c r="BV41">
        <f t="shared" si="21"/>
        <v>99.944016794961499</v>
      </c>
      <c r="BW41">
        <f t="shared" si="22"/>
        <v>94.73684210526315</v>
      </c>
      <c r="BX41">
        <f t="shared" si="23"/>
        <v>2.6150049721931471E-2</v>
      </c>
      <c r="DQ41">
        <v>0.25</v>
      </c>
      <c r="DR41">
        <v>36</v>
      </c>
      <c r="DS41">
        <f t="shared" si="72"/>
        <v>136.5</v>
      </c>
      <c r="DT41">
        <f t="shared" si="36"/>
        <v>99.635036496350367</v>
      </c>
      <c r="DU41">
        <f t="shared" si="37"/>
        <v>94.73684210526315</v>
      </c>
      <c r="DV41">
        <f t="shared" si="38"/>
        <v>0.17047637341529598</v>
      </c>
      <c r="EU41">
        <v>0.25</v>
      </c>
      <c r="EV41">
        <v>36</v>
      </c>
      <c r="EW41">
        <f t="shared" si="75"/>
        <v>99.5</v>
      </c>
      <c r="EX41">
        <f t="shared" si="45"/>
        <v>99.599599599599614</v>
      </c>
      <c r="EY41">
        <f t="shared" si="46"/>
        <v>92.307692307692307</v>
      </c>
      <c r="EZ41">
        <f t="shared" si="47"/>
        <v>0.22779189445857073</v>
      </c>
      <c r="FO41">
        <v>0.5</v>
      </c>
      <c r="FP41">
        <v>36</v>
      </c>
      <c r="FQ41">
        <f t="shared" si="77"/>
        <v>197.5</v>
      </c>
      <c r="FR41">
        <f t="shared" si="51"/>
        <v>99.747474747474755</v>
      </c>
      <c r="FS41">
        <f t="shared" si="52"/>
        <v>94.73684210526315</v>
      </c>
      <c r="FT41">
        <f t="shared" si="53"/>
        <v>0.23591174906965051</v>
      </c>
      <c r="FY41">
        <v>0.5</v>
      </c>
      <c r="FZ41">
        <v>36</v>
      </c>
      <c r="GA41">
        <f t="shared" si="78"/>
        <v>115.75</v>
      </c>
      <c r="GB41">
        <f t="shared" si="54"/>
        <v>99.01625320786998</v>
      </c>
      <c r="GC41">
        <f t="shared" si="55"/>
        <v>87.804878048780495</v>
      </c>
      <c r="GD41">
        <f t="shared" si="56"/>
        <v>0.37033946045191807</v>
      </c>
    </row>
    <row r="42" spans="1:196" x14ac:dyDescent="0.2">
      <c r="K42">
        <v>0.5</v>
      </c>
      <c r="L42">
        <v>37</v>
      </c>
      <c r="M42">
        <f t="shared" si="61"/>
        <v>457.75</v>
      </c>
      <c r="N42">
        <f t="shared" si="3"/>
        <v>99.97815878562848</v>
      </c>
      <c r="O42">
        <f t="shared" si="4"/>
        <v>97.368421052631575</v>
      </c>
      <c r="P42">
        <f t="shared" si="80"/>
        <v>0.10489530586322042</v>
      </c>
      <c r="BI42">
        <v>2.5000000000000001E-2</v>
      </c>
      <c r="BJ42">
        <v>37</v>
      </c>
      <c r="BK42">
        <f t="shared" si="66"/>
        <v>201.32499999999999</v>
      </c>
      <c r="BL42">
        <f t="shared" si="18"/>
        <v>100</v>
      </c>
      <c r="BM42">
        <f t="shared" si="19"/>
        <v>100</v>
      </c>
      <c r="BN42">
        <f t="shared" si="20"/>
        <v>1.2249925325794936E-2</v>
      </c>
      <c r="BS42">
        <v>0.1</v>
      </c>
      <c r="BT42">
        <v>37</v>
      </c>
      <c r="BU42">
        <f t="shared" si="67"/>
        <v>357.15000000000009</v>
      </c>
      <c r="BV42">
        <f t="shared" si="21"/>
        <v>99.972008397480749</v>
      </c>
      <c r="BW42">
        <f t="shared" si="22"/>
        <v>97.368421052631575</v>
      </c>
      <c r="BX42">
        <f t="shared" si="23"/>
        <v>2.688667084085912E-2</v>
      </c>
      <c r="DQ42">
        <v>0.25</v>
      </c>
      <c r="DR42">
        <v>37</v>
      </c>
      <c r="DS42">
        <f t="shared" si="72"/>
        <v>136.75</v>
      </c>
      <c r="DT42">
        <f t="shared" si="36"/>
        <v>99.81751824817519</v>
      </c>
      <c r="DU42">
        <f t="shared" si="37"/>
        <v>97.368421052631575</v>
      </c>
      <c r="DV42">
        <f t="shared" si="38"/>
        <v>0.17527852477910713</v>
      </c>
      <c r="EU42">
        <v>0.25</v>
      </c>
      <c r="EV42">
        <v>37</v>
      </c>
      <c r="EW42">
        <f t="shared" si="75"/>
        <v>99.75</v>
      </c>
      <c r="EX42">
        <f t="shared" si="45"/>
        <v>99.849849849849861</v>
      </c>
      <c r="EY42">
        <f t="shared" si="46"/>
        <v>94.871794871794862</v>
      </c>
      <c r="EZ42">
        <f t="shared" si="47"/>
        <v>0.23420856754189745</v>
      </c>
      <c r="FO42">
        <v>0.25</v>
      </c>
      <c r="FP42">
        <v>37</v>
      </c>
      <c r="FQ42">
        <f t="shared" si="77"/>
        <v>197.75</v>
      </c>
      <c r="FR42">
        <f t="shared" si="51"/>
        <v>99.87373737373737</v>
      </c>
      <c r="FS42">
        <f t="shared" si="52"/>
        <v>97.368421052631575</v>
      </c>
      <c r="FT42">
        <f t="shared" si="53"/>
        <v>0.12127857522593345</v>
      </c>
      <c r="FY42">
        <v>0.3</v>
      </c>
      <c r="FZ42">
        <v>37</v>
      </c>
      <c r="GA42">
        <f t="shared" si="78"/>
        <v>116.05</v>
      </c>
      <c r="GB42">
        <f t="shared" si="54"/>
        <v>99.272882805816948</v>
      </c>
      <c r="GC42">
        <f t="shared" si="55"/>
        <v>90.243902439024396</v>
      </c>
      <c r="GD42">
        <f t="shared" si="56"/>
        <v>0.22846293475766719</v>
      </c>
    </row>
    <row r="43" spans="1:196" x14ac:dyDescent="0.2">
      <c r="K43">
        <v>0.1</v>
      </c>
      <c r="L43">
        <v>38</v>
      </c>
      <c r="M43">
        <f t="shared" si="61"/>
        <v>457.85</v>
      </c>
      <c r="N43">
        <f t="shared" si="3"/>
        <v>100</v>
      </c>
      <c r="O43">
        <f t="shared" si="4"/>
        <v>100</v>
      </c>
      <c r="P43">
        <f t="shared" si="80"/>
        <v>2.1553829971894607E-2</v>
      </c>
      <c r="BS43">
        <v>0.1</v>
      </c>
      <c r="BT43">
        <v>38</v>
      </c>
      <c r="BU43">
        <f t="shared" si="67"/>
        <v>357.25000000000011</v>
      </c>
      <c r="BV43">
        <f t="shared" si="21"/>
        <v>100</v>
      </c>
      <c r="BW43">
        <f t="shared" si="22"/>
        <v>100</v>
      </c>
      <c r="BX43">
        <f t="shared" si="23"/>
        <v>2.7623291959786765E-2</v>
      </c>
      <c r="DQ43">
        <v>0.25</v>
      </c>
      <c r="DR43">
        <v>38</v>
      </c>
      <c r="DS43">
        <f t="shared" si="72"/>
        <v>137</v>
      </c>
      <c r="DT43">
        <f t="shared" si="36"/>
        <v>100</v>
      </c>
      <c r="DU43">
        <f t="shared" si="37"/>
        <v>100</v>
      </c>
      <c r="DV43">
        <f t="shared" si="38"/>
        <v>0.18008067614290421</v>
      </c>
      <c r="EU43">
        <v>0.1</v>
      </c>
      <c r="EV43">
        <v>38</v>
      </c>
      <c r="EW43">
        <f t="shared" si="75"/>
        <v>99.85</v>
      </c>
      <c r="EX43">
        <f t="shared" si="45"/>
        <v>99.949949949949954</v>
      </c>
      <c r="EY43">
        <f t="shared" si="46"/>
        <v>97.435897435897431</v>
      </c>
      <c r="EZ43">
        <f>(EY43+EY42)/2*(EX43-EX42)/100</f>
        <v>9.6250096250089373E-2</v>
      </c>
      <c r="FO43">
        <v>0.25</v>
      </c>
      <c r="FP43">
        <v>38</v>
      </c>
      <c r="FQ43">
        <f t="shared" si="77"/>
        <v>198</v>
      </c>
      <c r="FR43">
        <f t="shared" si="51"/>
        <v>100</v>
      </c>
      <c r="FS43">
        <f t="shared" si="52"/>
        <v>100</v>
      </c>
      <c r="FT43">
        <f t="shared" si="53"/>
        <v>0.12460127591706892</v>
      </c>
      <c r="FY43">
        <v>0.25</v>
      </c>
      <c r="FZ43">
        <v>38</v>
      </c>
      <c r="GA43">
        <f t="shared" si="78"/>
        <v>116.3</v>
      </c>
      <c r="GB43">
        <f t="shared" si="54"/>
        <v>99.486740804106077</v>
      </c>
      <c r="GC43">
        <f t="shared" si="55"/>
        <v>92.682926829268297</v>
      </c>
      <c r="GD43">
        <f t="shared" si="56"/>
        <v>0.19560182770347134</v>
      </c>
    </row>
    <row r="44" spans="1:196" x14ac:dyDescent="0.2">
      <c r="EU44">
        <v>0.05</v>
      </c>
      <c r="EV44">
        <v>39</v>
      </c>
      <c r="EW44">
        <f t="shared" si="75"/>
        <v>99.899999999999991</v>
      </c>
      <c r="EX44">
        <f t="shared" si="45"/>
        <v>100</v>
      </c>
      <c r="EY44">
        <f t="shared" si="46"/>
        <v>100</v>
      </c>
      <c r="EZ44">
        <f t="shared" si="47"/>
        <v>4.9408382741712546E-2</v>
      </c>
      <c r="FY44">
        <v>0.25</v>
      </c>
      <c r="FZ44">
        <v>39</v>
      </c>
      <c r="GA44">
        <f t="shared" si="78"/>
        <v>116.55</v>
      </c>
      <c r="GB44">
        <f t="shared" si="54"/>
        <v>99.700598802395206</v>
      </c>
      <c r="GC44">
        <f t="shared" si="55"/>
        <v>95.121951219512198</v>
      </c>
      <c r="GD44">
        <f t="shared" si="56"/>
        <v>0.20081787644223059</v>
      </c>
    </row>
    <row r="45" spans="1:196" x14ac:dyDescent="0.2">
      <c r="FY45">
        <v>0.25</v>
      </c>
      <c r="FZ45">
        <v>40</v>
      </c>
      <c r="GA45">
        <f t="shared" si="78"/>
        <v>116.8</v>
      </c>
      <c r="GB45">
        <f t="shared" si="54"/>
        <v>99.914456800684349</v>
      </c>
      <c r="GC45">
        <f t="shared" si="55"/>
        <v>97.560975609756099</v>
      </c>
      <c r="GD45">
        <f t="shared" si="56"/>
        <v>0.2060339251810035</v>
      </c>
    </row>
    <row r="46" spans="1:196" x14ac:dyDescent="0.2">
      <c r="FY46">
        <v>0.1</v>
      </c>
      <c r="FZ46">
        <v>41</v>
      </c>
      <c r="GA46">
        <f t="shared" si="78"/>
        <v>116.89999999999999</v>
      </c>
      <c r="GB46">
        <f t="shared" si="54"/>
        <v>100</v>
      </c>
      <c r="GC46">
        <f t="shared" si="55"/>
        <v>100</v>
      </c>
      <c r="GD46">
        <f t="shared" si="56"/>
        <v>8.4499989567899614E-2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D603-0BA2-844D-9F09-7A95DD39F9DF}">
  <dimension ref="A1:GQ54"/>
  <sheetViews>
    <sheetView workbookViewId="0">
      <selection activeCell="B1" sqref="B1"/>
    </sheetView>
  </sheetViews>
  <sheetFormatPr baseColWidth="10" defaultRowHeight="16" x14ac:dyDescent="0.2"/>
  <cols>
    <col min="6" max="6" width="15.1640625" bestFit="1" customWidth="1"/>
    <col min="8" max="8" width="28.1640625" bestFit="1" customWidth="1"/>
    <col min="16" max="16" width="15.1640625" bestFit="1" customWidth="1"/>
    <col min="17" max="17" width="5" bestFit="1" customWidth="1"/>
    <col min="18" max="18" width="28.1640625" bestFit="1" customWidth="1"/>
    <col min="26" max="26" width="15.1640625" bestFit="1" customWidth="1"/>
    <col min="28" max="28" width="28.1640625" bestFit="1" customWidth="1"/>
    <col min="36" max="36" width="15.1640625" bestFit="1" customWidth="1"/>
    <col min="37" max="37" width="12.1640625" bestFit="1" customWidth="1"/>
    <col min="38" max="38" width="28.1640625" bestFit="1" customWidth="1"/>
    <col min="46" max="46" width="15.1640625" bestFit="1" customWidth="1"/>
    <col min="48" max="48" width="28.1640625" bestFit="1" customWidth="1"/>
    <col min="56" max="56" width="15.1640625" bestFit="1" customWidth="1"/>
    <col min="57" max="57" width="12.1640625" bestFit="1" customWidth="1"/>
    <col min="58" max="58" width="28.1640625" bestFit="1" customWidth="1"/>
    <col min="66" max="66" width="15.1640625" bestFit="1" customWidth="1"/>
    <col min="68" max="68" width="28.1640625" bestFit="1" customWidth="1"/>
    <col min="71" max="71" width="12" bestFit="1" customWidth="1"/>
    <col min="76" max="76" width="15.1640625" bestFit="1" customWidth="1"/>
    <col min="78" max="78" width="28.1640625" bestFit="1" customWidth="1"/>
    <col min="81" max="81" width="12.1640625" bestFit="1" customWidth="1"/>
    <col min="86" max="86" width="15.1640625" bestFit="1" customWidth="1"/>
    <col min="88" max="88" width="28.1640625" bestFit="1" customWidth="1"/>
    <col min="91" max="91" width="11.5" bestFit="1" customWidth="1"/>
    <col min="96" max="96" width="15.1640625" bestFit="1" customWidth="1"/>
    <col min="98" max="98" width="28.1640625" bestFit="1" customWidth="1"/>
    <col min="106" max="106" width="15.1640625" bestFit="1" customWidth="1"/>
    <col min="108" max="108" width="28.1640625" bestFit="1" customWidth="1"/>
    <col min="116" max="116" width="15.1640625" bestFit="1" customWidth="1"/>
    <col min="118" max="118" width="28.1640625" bestFit="1" customWidth="1"/>
    <col min="126" max="126" width="15.1640625" bestFit="1" customWidth="1"/>
    <col min="128" max="128" width="28.1640625" bestFit="1" customWidth="1"/>
    <col min="136" max="136" width="15.1640625" bestFit="1" customWidth="1"/>
    <col min="138" max="138" width="28.1640625" bestFit="1" customWidth="1"/>
    <col min="146" max="146" width="15.1640625" bestFit="1" customWidth="1"/>
    <col min="148" max="148" width="28.1640625" bestFit="1" customWidth="1"/>
    <col min="156" max="156" width="15.1640625" bestFit="1" customWidth="1"/>
    <col min="158" max="158" width="28.1640625" bestFit="1" customWidth="1"/>
    <col min="166" max="166" width="15.1640625" bestFit="1" customWidth="1"/>
    <col min="168" max="168" width="28.1640625" bestFit="1" customWidth="1"/>
    <col min="176" max="176" width="15.1640625" bestFit="1" customWidth="1"/>
    <col min="178" max="178" width="28.1640625" bestFit="1" customWidth="1"/>
    <col min="181" max="181" width="13" bestFit="1" customWidth="1"/>
    <col min="186" max="186" width="15.1640625" bestFit="1" customWidth="1"/>
    <col min="188" max="188" width="28.1640625" bestFit="1" customWidth="1"/>
    <col min="196" max="196" width="15.1640625" bestFit="1" customWidth="1"/>
    <col min="198" max="198" width="28.1640625" bestFit="1" customWidth="1"/>
  </cols>
  <sheetData>
    <row r="1" spans="1:199" x14ac:dyDescent="0.2">
      <c r="A1" t="s">
        <v>105</v>
      </c>
    </row>
    <row r="3" spans="1:199" x14ac:dyDescent="0.2">
      <c r="A3" t="s">
        <v>21</v>
      </c>
      <c r="K3" t="s">
        <v>68</v>
      </c>
      <c r="U3" t="s">
        <v>57</v>
      </c>
      <c r="AE3" t="s">
        <v>65</v>
      </c>
      <c r="AO3" t="s">
        <v>69</v>
      </c>
      <c r="AY3" t="s">
        <v>62</v>
      </c>
      <c r="BI3" t="s">
        <v>70</v>
      </c>
      <c r="BS3" t="s">
        <v>72</v>
      </c>
      <c r="CC3" t="s">
        <v>102</v>
      </c>
      <c r="CM3" t="s">
        <v>99</v>
      </c>
      <c r="CW3" t="s">
        <v>95</v>
      </c>
      <c r="DG3" t="s">
        <v>66</v>
      </c>
      <c r="DQ3" t="s">
        <v>93</v>
      </c>
      <c r="EA3" t="s">
        <v>94</v>
      </c>
      <c r="EK3" t="s">
        <v>92</v>
      </c>
      <c r="EU3" t="s">
        <v>74</v>
      </c>
      <c r="FE3" t="s">
        <v>103</v>
      </c>
      <c r="FO3" t="s">
        <v>97</v>
      </c>
      <c r="FY3" t="s">
        <v>106</v>
      </c>
      <c r="GI3" t="s">
        <v>82</v>
      </c>
    </row>
    <row r="4" spans="1:199" x14ac:dyDescent="0.2">
      <c r="A4" t="s">
        <v>48</v>
      </c>
      <c r="B4" t="s">
        <v>52</v>
      </c>
      <c r="C4" t="s">
        <v>53</v>
      </c>
      <c r="D4" t="s">
        <v>51</v>
      </c>
      <c r="E4" t="s">
        <v>50</v>
      </c>
      <c r="F4" t="s">
        <v>54</v>
      </c>
      <c r="G4" t="s">
        <v>63</v>
      </c>
      <c r="H4" t="s">
        <v>89</v>
      </c>
      <c r="I4" t="s">
        <v>49</v>
      </c>
      <c r="K4" t="s">
        <v>48</v>
      </c>
      <c r="L4" t="s">
        <v>52</v>
      </c>
      <c r="M4" t="s">
        <v>53</v>
      </c>
      <c r="N4" t="s">
        <v>51</v>
      </c>
      <c r="O4" t="s">
        <v>50</v>
      </c>
      <c r="P4" t="s">
        <v>54</v>
      </c>
      <c r="Q4" t="s">
        <v>63</v>
      </c>
      <c r="R4" t="s">
        <v>89</v>
      </c>
      <c r="S4" t="s">
        <v>49</v>
      </c>
      <c r="U4" t="s">
        <v>48</v>
      </c>
      <c r="V4" t="s">
        <v>52</v>
      </c>
      <c r="W4" t="s">
        <v>53</v>
      </c>
      <c r="X4" t="s">
        <v>51</v>
      </c>
      <c r="Y4" t="s">
        <v>50</v>
      </c>
      <c r="Z4" t="s">
        <v>54</v>
      </c>
      <c r="AA4" t="s">
        <v>63</v>
      </c>
      <c r="AB4" t="s">
        <v>89</v>
      </c>
      <c r="AC4" t="s">
        <v>49</v>
      </c>
      <c r="AE4" t="s">
        <v>48</v>
      </c>
      <c r="AF4" t="s">
        <v>52</v>
      </c>
      <c r="AG4" t="s">
        <v>53</v>
      </c>
      <c r="AH4" t="s">
        <v>51</v>
      </c>
      <c r="AI4" t="s">
        <v>50</v>
      </c>
      <c r="AJ4" t="s">
        <v>54</v>
      </c>
      <c r="AK4" t="s">
        <v>63</v>
      </c>
      <c r="AL4" t="s">
        <v>89</v>
      </c>
      <c r="AM4" t="s">
        <v>49</v>
      </c>
      <c r="AO4" t="s">
        <v>48</v>
      </c>
      <c r="AP4" t="s">
        <v>52</v>
      </c>
      <c r="AQ4" t="s">
        <v>53</v>
      </c>
      <c r="AR4" t="s">
        <v>51</v>
      </c>
      <c r="AS4" t="s">
        <v>50</v>
      </c>
      <c r="AT4" t="s">
        <v>54</v>
      </c>
      <c r="AU4" t="s">
        <v>63</v>
      </c>
      <c r="AV4" t="s">
        <v>89</v>
      </c>
      <c r="AW4" t="s">
        <v>49</v>
      </c>
      <c r="AY4" t="s">
        <v>48</v>
      </c>
      <c r="AZ4" t="s">
        <v>52</v>
      </c>
      <c r="BA4" t="s">
        <v>53</v>
      </c>
      <c r="BB4" t="s">
        <v>51</v>
      </c>
      <c r="BC4" t="s">
        <v>50</v>
      </c>
      <c r="BD4" t="s">
        <v>54</v>
      </c>
      <c r="BE4" t="s">
        <v>63</v>
      </c>
      <c r="BF4" t="s">
        <v>89</v>
      </c>
      <c r="BG4" t="s">
        <v>49</v>
      </c>
      <c r="BI4" t="s">
        <v>48</v>
      </c>
      <c r="BJ4" t="s">
        <v>52</v>
      </c>
      <c r="BK4" t="s">
        <v>53</v>
      </c>
      <c r="BL4" t="s">
        <v>51</v>
      </c>
      <c r="BM4" t="s">
        <v>50</v>
      </c>
      <c r="BN4" t="s">
        <v>54</v>
      </c>
      <c r="BO4" t="s">
        <v>63</v>
      </c>
      <c r="BP4" t="s">
        <v>89</v>
      </c>
      <c r="BQ4" t="s">
        <v>49</v>
      </c>
      <c r="BS4" t="s">
        <v>48</v>
      </c>
      <c r="BT4" t="s">
        <v>52</v>
      </c>
      <c r="BU4" t="s">
        <v>53</v>
      </c>
      <c r="BV4" t="s">
        <v>51</v>
      </c>
      <c r="BW4" t="s">
        <v>50</v>
      </c>
      <c r="BX4" t="s">
        <v>54</v>
      </c>
      <c r="BY4" t="s">
        <v>63</v>
      </c>
      <c r="BZ4" t="s">
        <v>89</v>
      </c>
      <c r="CA4" t="s">
        <v>49</v>
      </c>
      <c r="CC4" t="s">
        <v>48</v>
      </c>
      <c r="CD4" t="s">
        <v>52</v>
      </c>
      <c r="CE4" t="s">
        <v>53</v>
      </c>
      <c r="CF4" t="s">
        <v>51</v>
      </c>
      <c r="CG4" t="s">
        <v>50</v>
      </c>
      <c r="CH4" t="s">
        <v>54</v>
      </c>
      <c r="CI4" t="s">
        <v>63</v>
      </c>
      <c r="CJ4" t="s">
        <v>89</v>
      </c>
      <c r="CK4" t="s">
        <v>49</v>
      </c>
      <c r="CM4" t="s">
        <v>48</v>
      </c>
      <c r="CN4" t="s">
        <v>52</v>
      </c>
      <c r="CO4" t="s">
        <v>53</v>
      </c>
      <c r="CP4" t="s">
        <v>51</v>
      </c>
      <c r="CQ4" t="s">
        <v>50</v>
      </c>
      <c r="CR4" t="s">
        <v>54</v>
      </c>
      <c r="CS4" t="s">
        <v>63</v>
      </c>
      <c r="CT4" t="s">
        <v>89</v>
      </c>
      <c r="CU4" t="s">
        <v>49</v>
      </c>
      <c r="CW4" t="s">
        <v>48</v>
      </c>
      <c r="CX4" t="s">
        <v>52</v>
      </c>
      <c r="CY4" t="s">
        <v>53</v>
      </c>
      <c r="CZ4" t="s">
        <v>51</v>
      </c>
      <c r="DA4" t="s">
        <v>50</v>
      </c>
      <c r="DB4" t="s">
        <v>54</v>
      </c>
      <c r="DC4" t="s">
        <v>63</v>
      </c>
      <c r="DD4" t="s">
        <v>89</v>
      </c>
      <c r="DE4" t="s">
        <v>49</v>
      </c>
      <c r="DG4" t="s">
        <v>48</v>
      </c>
      <c r="DH4" t="s">
        <v>52</v>
      </c>
      <c r="DI4" t="s">
        <v>53</v>
      </c>
      <c r="DJ4" t="s">
        <v>51</v>
      </c>
      <c r="DK4" t="s">
        <v>50</v>
      </c>
      <c r="DL4" t="s">
        <v>54</v>
      </c>
      <c r="DM4" t="s">
        <v>63</v>
      </c>
      <c r="DN4" t="s">
        <v>89</v>
      </c>
      <c r="DO4" t="s">
        <v>49</v>
      </c>
      <c r="DQ4" t="s">
        <v>48</v>
      </c>
      <c r="DR4" t="s">
        <v>52</v>
      </c>
      <c r="DS4" t="s">
        <v>53</v>
      </c>
      <c r="DT4" t="s">
        <v>51</v>
      </c>
      <c r="DU4" t="s">
        <v>50</v>
      </c>
      <c r="DV4" t="s">
        <v>54</v>
      </c>
      <c r="DW4" t="s">
        <v>63</v>
      </c>
      <c r="DX4" t="s">
        <v>89</v>
      </c>
      <c r="DY4" t="s">
        <v>49</v>
      </c>
      <c r="EA4" t="s">
        <v>48</v>
      </c>
      <c r="EB4" t="s">
        <v>52</v>
      </c>
      <c r="EC4" t="s">
        <v>53</v>
      </c>
      <c r="ED4" t="s">
        <v>51</v>
      </c>
      <c r="EE4" t="s">
        <v>50</v>
      </c>
      <c r="EF4" t="s">
        <v>54</v>
      </c>
      <c r="EG4" t="s">
        <v>63</v>
      </c>
      <c r="EH4" t="s">
        <v>89</v>
      </c>
      <c r="EI4" t="s">
        <v>49</v>
      </c>
      <c r="EK4" t="s">
        <v>48</v>
      </c>
      <c r="EL4" t="s">
        <v>52</v>
      </c>
      <c r="EM4" t="s">
        <v>53</v>
      </c>
      <c r="EN4" t="s">
        <v>51</v>
      </c>
      <c r="EO4" t="s">
        <v>50</v>
      </c>
      <c r="EP4" t="s">
        <v>54</v>
      </c>
      <c r="EQ4" t="s">
        <v>63</v>
      </c>
      <c r="ER4" t="s">
        <v>89</v>
      </c>
      <c r="ES4" t="s">
        <v>49</v>
      </c>
      <c r="EU4" t="s">
        <v>48</v>
      </c>
      <c r="EV4" t="s">
        <v>52</v>
      </c>
      <c r="EW4" t="s">
        <v>53</v>
      </c>
      <c r="EX4" t="s">
        <v>51</v>
      </c>
      <c r="EY4" t="s">
        <v>50</v>
      </c>
      <c r="EZ4" t="s">
        <v>54</v>
      </c>
      <c r="FA4" t="s">
        <v>63</v>
      </c>
      <c r="FB4" t="s">
        <v>89</v>
      </c>
      <c r="FC4" t="s">
        <v>49</v>
      </c>
      <c r="FE4" t="s">
        <v>48</v>
      </c>
      <c r="FF4" t="s">
        <v>52</v>
      </c>
      <c r="FG4" t="s">
        <v>53</v>
      </c>
      <c r="FH4" t="s">
        <v>51</v>
      </c>
      <c r="FI4" t="s">
        <v>50</v>
      </c>
      <c r="FJ4" t="s">
        <v>54</v>
      </c>
      <c r="FK4" t="s">
        <v>63</v>
      </c>
      <c r="FL4" t="s">
        <v>89</v>
      </c>
      <c r="FM4" t="s">
        <v>49</v>
      </c>
      <c r="FO4" t="s">
        <v>48</v>
      </c>
      <c r="FP4" t="s">
        <v>52</v>
      </c>
      <c r="FQ4" t="s">
        <v>53</v>
      </c>
      <c r="FR4" t="s">
        <v>51</v>
      </c>
      <c r="FS4" t="s">
        <v>50</v>
      </c>
      <c r="FT4" t="s">
        <v>54</v>
      </c>
      <c r="FU4" t="s">
        <v>63</v>
      </c>
      <c r="FV4" t="s">
        <v>89</v>
      </c>
      <c r="FW4" t="s">
        <v>49</v>
      </c>
      <c r="FY4" t="s">
        <v>48</v>
      </c>
      <c r="FZ4" t="s">
        <v>52</v>
      </c>
      <c r="GA4" t="s">
        <v>53</v>
      </c>
      <c r="GB4" t="s">
        <v>51</v>
      </c>
      <c r="GC4" t="s">
        <v>50</v>
      </c>
      <c r="GD4" t="s">
        <v>54</v>
      </c>
      <c r="GE4" t="s">
        <v>63</v>
      </c>
      <c r="GF4" t="s">
        <v>89</v>
      </c>
      <c r="GG4" t="s">
        <v>49</v>
      </c>
      <c r="GI4" t="s">
        <v>48</v>
      </c>
      <c r="GJ4" t="s">
        <v>52</v>
      </c>
      <c r="GK4" t="s">
        <v>53</v>
      </c>
      <c r="GL4" t="s">
        <v>51</v>
      </c>
      <c r="GM4" t="s">
        <v>50</v>
      </c>
      <c r="GN4" t="s">
        <v>54</v>
      </c>
      <c r="GO4" t="s">
        <v>63</v>
      </c>
      <c r="GP4" t="s">
        <v>89</v>
      </c>
      <c r="GQ4" t="s">
        <v>49</v>
      </c>
    </row>
    <row r="5" spans="1:199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f>SUM(F6:F54)</f>
        <v>21.065105815152613</v>
      </c>
      <c r="H5">
        <f>50-G5</f>
        <v>28.934894184847387</v>
      </c>
      <c r="I5">
        <f>H5/50</f>
        <v>0.57869788369694775</v>
      </c>
      <c r="K5">
        <v>0</v>
      </c>
      <c r="L5">
        <v>0</v>
      </c>
      <c r="M5">
        <v>0</v>
      </c>
      <c r="N5">
        <v>0</v>
      </c>
      <c r="O5">
        <v>0</v>
      </c>
      <c r="Q5">
        <f>SUM(P6:P38)</f>
        <v>24.454715518160786</v>
      </c>
      <c r="R5">
        <f>50-Q5</f>
        <v>25.545284481839214</v>
      </c>
      <c r="S5">
        <f>R5/50</f>
        <v>0.51090568963678429</v>
      </c>
      <c r="U5">
        <v>0</v>
      </c>
      <c r="V5">
        <v>0</v>
      </c>
      <c r="W5">
        <v>0</v>
      </c>
      <c r="X5">
        <v>0</v>
      </c>
      <c r="Y5">
        <v>0</v>
      </c>
      <c r="AA5">
        <f>SUM(Z6:Z38)</f>
        <v>25.04927856185445</v>
      </c>
      <c r="AB5">
        <f>50-AA5</f>
        <v>24.95072143814555</v>
      </c>
      <c r="AC5">
        <f>AB5/50</f>
        <v>0.49901442876291102</v>
      </c>
      <c r="AE5">
        <v>0</v>
      </c>
      <c r="AF5">
        <v>0</v>
      </c>
      <c r="AG5">
        <v>0</v>
      </c>
      <c r="AH5">
        <v>0</v>
      </c>
      <c r="AI5">
        <v>0</v>
      </c>
      <c r="AK5">
        <f>SUM(AJ6:AJ41)</f>
        <v>22.673329678791916</v>
      </c>
      <c r="AL5">
        <f>50-AK5</f>
        <v>27.326670321208084</v>
      </c>
      <c r="AM5">
        <f>AL5/50</f>
        <v>0.54653340642416171</v>
      </c>
      <c r="AO5">
        <v>0</v>
      </c>
      <c r="AP5">
        <v>0</v>
      </c>
      <c r="AQ5">
        <v>0</v>
      </c>
      <c r="AR5">
        <v>0</v>
      </c>
      <c r="AS5">
        <v>0</v>
      </c>
      <c r="AU5">
        <f>SUM(AT6:AT42)</f>
        <v>25.296698912935071</v>
      </c>
      <c r="AV5">
        <f>50-AU5</f>
        <v>24.703301087064929</v>
      </c>
      <c r="AW5">
        <f>AV5/50</f>
        <v>0.4940660217412986</v>
      </c>
      <c r="AY5">
        <v>0</v>
      </c>
      <c r="AZ5">
        <v>0</v>
      </c>
      <c r="BA5">
        <v>0</v>
      </c>
      <c r="BB5">
        <v>0</v>
      </c>
      <c r="BC5">
        <v>0</v>
      </c>
      <c r="BE5">
        <f>SUM(BD6:BD40)</f>
        <v>24.99321263927531</v>
      </c>
      <c r="BF5">
        <f>50-BE5</f>
        <v>25.00678736072469</v>
      </c>
      <c r="BG5">
        <f>BF5/50</f>
        <v>0.50013574721449383</v>
      </c>
      <c r="BI5">
        <v>0</v>
      </c>
      <c r="BJ5">
        <v>0</v>
      </c>
      <c r="BK5">
        <v>0</v>
      </c>
      <c r="BL5">
        <v>0</v>
      </c>
      <c r="BM5">
        <v>0</v>
      </c>
      <c r="BO5">
        <f>SUM(BN6:BN42)</f>
        <v>23.064148485835233</v>
      </c>
      <c r="BP5">
        <f>50-BO5</f>
        <v>26.935851514164767</v>
      </c>
      <c r="BQ5">
        <f>BP5/50</f>
        <v>0.53871703028329532</v>
      </c>
      <c r="BS5">
        <v>0</v>
      </c>
      <c r="BT5">
        <v>0</v>
      </c>
      <c r="BU5">
        <v>0</v>
      </c>
      <c r="BV5">
        <v>0</v>
      </c>
      <c r="BW5">
        <v>0</v>
      </c>
      <c r="BY5">
        <f>SUM(BX6:BX38)</f>
        <v>26.211403130834412</v>
      </c>
      <c r="BZ5">
        <f>50-BY5</f>
        <v>23.788596869165588</v>
      </c>
      <c r="CA5">
        <f>BZ5/50</f>
        <v>0.47577193738331175</v>
      </c>
      <c r="CC5">
        <v>0</v>
      </c>
      <c r="CD5">
        <v>0</v>
      </c>
      <c r="CE5">
        <v>0</v>
      </c>
      <c r="CF5">
        <v>0</v>
      </c>
      <c r="CG5">
        <v>0</v>
      </c>
      <c r="CI5">
        <f>SUM(CH6:CH37)</f>
        <v>26.385590805471125</v>
      </c>
      <c r="CJ5">
        <f>50-CI5</f>
        <v>23.614409194528875</v>
      </c>
      <c r="CK5">
        <f>CJ5/50</f>
        <v>0.47228818389057747</v>
      </c>
      <c r="CM5">
        <v>0</v>
      </c>
      <c r="CN5">
        <v>0</v>
      </c>
      <c r="CO5">
        <v>0</v>
      </c>
      <c r="CP5">
        <v>0</v>
      </c>
      <c r="CQ5">
        <v>0</v>
      </c>
      <c r="CS5">
        <f>SUM(CR6:CR30)</f>
        <v>25.570409982174684</v>
      </c>
      <c r="CT5">
        <f>50-CS5</f>
        <v>24.429590017825316</v>
      </c>
      <c r="CU5">
        <f>CT5/50</f>
        <v>0.48859180035650629</v>
      </c>
      <c r="CW5">
        <v>0</v>
      </c>
      <c r="CX5">
        <v>0</v>
      </c>
      <c r="CY5">
        <v>0</v>
      </c>
      <c r="CZ5">
        <v>0</v>
      </c>
      <c r="DA5">
        <v>0</v>
      </c>
      <c r="DC5">
        <f>SUM(DB6:DB42)</f>
        <v>27.561777122297173</v>
      </c>
      <c r="DD5">
        <f>50-DC5</f>
        <v>22.438222877702827</v>
      </c>
      <c r="DE5">
        <f>DD5/50</f>
        <v>0.44876445755405653</v>
      </c>
      <c r="DG5">
        <v>0</v>
      </c>
      <c r="DH5">
        <v>0</v>
      </c>
      <c r="DI5">
        <v>0</v>
      </c>
      <c r="DJ5">
        <v>0</v>
      </c>
      <c r="DK5">
        <v>0</v>
      </c>
      <c r="DM5">
        <f>SUM(DL6:DL35)</f>
        <v>26.253144294534643</v>
      </c>
      <c r="DN5">
        <f>50-DM5</f>
        <v>23.746855705465357</v>
      </c>
      <c r="DO5">
        <f>DN5/50</f>
        <v>0.47493711410930717</v>
      </c>
      <c r="DQ5">
        <v>0</v>
      </c>
      <c r="DR5">
        <v>0</v>
      </c>
      <c r="DS5">
        <v>0</v>
      </c>
      <c r="DT5">
        <v>0</v>
      </c>
      <c r="DU5">
        <v>0</v>
      </c>
      <c r="DW5">
        <f>SUM(DV6:DV35)</f>
        <v>25.618279569892472</v>
      </c>
      <c r="DX5">
        <f>50-DW5</f>
        <v>24.381720430107528</v>
      </c>
      <c r="DY5">
        <f>DX5/50</f>
        <v>0.48763440860215057</v>
      </c>
      <c r="EA5">
        <v>0</v>
      </c>
      <c r="EB5">
        <v>0</v>
      </c>
      <c r="EC5">
        <v>0</v>
      </c>
      <c r="ED5">
        <v>0</v>
      </c>
      <c r="EE5">
        <v>0</v>
      </c>
      <c r="EG5">
        <f>SUM(EF6:EF43)</f>
        <v>23.372147946752062</v>
      </c>
      <c r="EH5">
        <f>50-EG5</f>
        <v>26.627852053247938</v>
      </c>
      <c r="EI5">
        <f>EH5/50</f>
        <v>0.53255704106495871</v>
      </c>
      <c r="EK5">
        <v>0</v>
      </c>
      <c r="EL5">
        <v>0</v>
      </c>
      <c r="EM5">
        <v>0</v>
      </c>
      <c r="EN5">
        <v>0</v>
      </c>
      <c r="EO5">
        <v>0</v>
      </c>
      <c r="EQ5">
        <f>SUM(EP6:EP41)</f>
        <v>25.953037697149725</v>
      </c>
      <c r="ER5">
        <f>50-EQ5</f>
        <v>24.046962302850275</v>
      </c>
      <c r="ES5">
        <f>ER5/50</f>
        <v>0.4809392460570055</v>
      </c>
      <c r="EU5">
        <v>0</v>
      </c>
      <c r="EV5">
        <v>0</v>
      </c>
      <c r="EW5">
        <v>0</v>
      </c>
      <c r="EX5">
        <v>0</v>
      </c>
      <c r="EY5">
        <v>0</v>
      </c>
      <c r="FA5">
        <f>SUM(EZ6:EZ38)</f>
        <v>22.94899765364508</v>
      </c>
      <c r="FB5">
        <f>50-FA5</f>
        <v>27.05100234635492</v>
      </c>
      <c r="FC5">
        <f>FB5/50</f>
        <v>0.54102004692709837</v>
      </c>
      <c r="FE5">
        <v>0</v>
      </c>
      <c r="FF5">
        <v>0</v>
      </c>
      <c r="FG5">
        <v>0</v>
      </c>
      <c r="FH5">
        <v>0</v>
      </c>
      <c r="FI5">
        <v>0</v>
      </c>
      <c r="FK5">
        <f>SUM(FJ6:FJ45)</f>
        <v>29.017577569029317</v>
      </c>
      <c r="FL5">
        <f>50-FK5</f>
        <v>20.982422430970683</v>
      </c>
      <c r="FM5">
        <f>FL5/50</f>
        <v>0.41964844861941364</v>
      </c>
      <c r="FO5">
        <v>0</v>
      </c>
      <c r="FP5">
        <v>0</v>
      </c>
      <c r="FQ5">
        <v>0</v>
      </c>
      <c r="FR5">
        <v>0</v>
      </c>
      <c r="FS5">
        <v>0</v>
      </c>
      <c r="FU5">
        <f>SUM(FT6:FT40)</f>
        <v>28.678163941321841</v>
      </c>
      <c r="FV5">
        <f>50-FU5</f>
        <v>21.321836058678159</v>
      </c>
      <c r="FW5">
        <f>FV5/50</f>
        <v>0.42643672117356318</v>
      </c>
      <c r="FY5">
        <v>0</v>
      </c>
      <c r="FZ5">
        <v>0</v>
      </c>
      <c r="GA5">
        <v>0</v>
      </c>
      <c r="GB5">
        <v>0</v>
      </c>
      <c r="GC5">
        <v>0</v>
      </c>
      <c r="GE5">
        <f>SUM(GD6:GD40)</f>
        <v>27.011978704525291</v>
      </c>
      <c r="GF5">
        <f>50-GE5</f>
        <v>22.988021295474709</v>
      </c>
      <c r="GG5">
        <f>GF5/50</f>
        <v>0.45976042590949417</v>
      </c>
      <c r="GI5">
        <v>0</v>
      </c>
      <c r="GJ5">
        <v>0</v>
      </c>
      <c r="GK5">
        <v>0</v>
      </c>
      <c r="GL5">
        <v>0</v>
      </c>
      <c r="GM5">
        <v>0</v>
      </c>
      <c r="GO5">
        <f>SUM(GN6:GN38)</f>
        <v>28.495179063360887</v>
      </c>
      <c r="GP5">
        <f>50-GO5</f>
        <v>21.504820936639113</v>
      </c>
      <c r="GQ5">
        <f>GP5/50</f>
        <v>0.43009641873278226</v>
      </c>
    </row>
    <row r="6" spans="1:199" x14ac:dyDescent="0.2">
      <c r="A6">
        <v>75</v>
      </c>
      <c r="B6">
        <v>1</v>
      </c>
      <c r="C6">
        <f>A6</f>
        <v>75</v>
      </c>
      <c r="D6">
        <f>C6/C$54*100</f>
        <v>10.921799912625602</v>
      </c>
      <c r="E6">
        <f>B6/B$54*100</f>
        <v>2.0408163265306123</v>
      </c>
      <c r="F6">
        <f>(E6+E5)/2*(D6-D5)/100</f>
        <v>0.11144693788393471</v>
      </c>
      <c r="K6">
        <v>60</v>
      </c>
      <c r="L6">
        <v>1</v>
      </c>
      <c r="M6">
        <f>K6</f>
        <v>60</v>
      </c>
      <c r="N6">
        <f>M6/M$38*100</f>
        <v>11.414439265671072</v>
      </c>
      <c r="O6">
        <f>L6/L$38*100</f>
        <v>3.0303030303030303</v>
      </c>
      <c r="P6">
        <f>(O6+O5)/2*(N6-N5)/100</f>
        <v>0.17294604947986475</v>
      </c>
      <c r="U6">
        <v>65</v>
      </c>
      <c r="V6">
        <v>1</v>
      </c>
      <c r="W6">
        <f>U6</f>
        <v>65</v>
      </c>
      <c r="X6">
        <f>W6/W$38*100</f>
        <v>11.274934952298352</v>
      </c>
      <c r="Y6">
        <f>V6/V$38*100</f>
        <v>3.0303030303030303</v>
      </c>
      <c r="Z6">
        <f>(Y6+Y5)/2*(X6-X5)/100</f>
        <v>0.17083234776209624</v>
      </c>
      <c r="AE6">
        <v>45</v>
      </c>
      <c r="AF6">
        <v>1</v>
      </c>
      <c r="AG6">
        <f>AE6</f>
        <v>45</v>
      </c>
      <c r="AH6">
        <f>AG6/AG$41*100</f>
        <v>10.572066251615176</v>
      </c>
      <c r="AI6">
        <f>AF6/AF$41*100</f>
        <v>2.7777777777777777</v>
      </c>
      <c r="AJ6">
        <f>(AI6+AI5)/2*(AH6-AH5)/100</f>
        <v>0.1468342534946552</v>
      </c>
      <c r="AO6">
        <v>65</v>
      </c>
      <c r="AP6">
        <v>1</v>
      </c>
      <c r="AQ6">
        <f>AO6</f>
        <v>65</v>
      </c>
      <c r="AR6">
        <f>AQ6/AQ$42*100</f>
        <v>11.992619926199263</v>
      </c>
      <c r="AS6">
        <f>AP6/AP$42*100</f>
        <v>2.7027027027027026</v>
      </c>
      <c r="AT6">
        <f>(AS6+AS5)/2*(AR6-AR5)/100</f>
        <v>0.16206243143512516</v>
      </c>
      <c r="AY6">
        <v>75</v>
      </c>
      <c r="AZ6">
        <v>1</v>
      </c>
      <c r="BA6">
        <f>AY6</f>
        <v>75</v>
      </c>
      <c r="BB6">
        <f>BA6/BA$40*100</f>
        <v>14.112334180073383</v>
      </c>
      <c r="BC6">
        <f>AZ6/AZ$40*100</f>
        <v>2.8571428571428572</v>
      </c>
      <c r="BD6">
        <f>(BC6+BC5)/2*(BB6-BB5)/100</f>
        <v>0.20160477400104831</v>
      </c>
      <c r="BI6">
        <v>50</v>
      </c>
      <c r="BJ6">
        <v>1</v>
      </c>
      <c r="BK6">
        <f>BI6</f>
        <v>50</v>
      </c>
      <c r="BL6">
        <f>BK6/BK$42*100</f>
        <v>16.064257028112451</v>
      </c>
      <c r="BM6">
        <f>BJ6/BJ$42*100</f>
        <v>2.7027027027027026</v>
      </c>
      <c r="BN6">
        <f>(BM6+BM5)/2*(BL6-BL5)/100</f>
        <v>0.21708455443395203</v>
      </c>
      <c r="BS6">
        <v>30</v>
      </c>
      <c r="BT6">
        <v>1</v>
      </c>
      <c r="BU6">
        <f>BS6</f>
        <v>30</v>
      </c>
      <c r="BV6">
        <f>BU6/BU$38*100</f>
        <v>11.374407582938389</v>
      </c>
      <c r="BW6">
        <f>BT6/BT$38*100</f>
        <v>3.0303030303030303</v>
      </c>
      <c r="BX6">
        <f>(BW6+BW5)/2*(BV6-BV5)/100</f>
        <v>0.17233950883239985</v>
      </c>
      <c r="CC6">
        <v>18</v>
      </c>
      <c r="CD6">
        <v>1</v>
      </c>
      <c r="CE6">
        <f>CC6</f>
        <v>18</v>
      </c>
      <c r="CF6">
        <f>CE6/CE$37*100</f>
        <v>13.677811550151977</v>
      </c>
      <c r="CG6">
        <f>CD6/CD$37*100</f>
        <v>3.125</v>
      </c>
      <c r="CH6">
        <f>(CG6+CG5)/2*(CF6-CF5)/100</f>
        <v>0.21371580547112465</v>
      </c>
      <c r="CM6">
        <v>15</v>
      </c>
      <c r="CN6">
        <v>1</v>
      </c>
      <c r="CO6">
        <f>CM6</f>
        <v>15</v>
      </c>
      <c r="CP6">
        <f>CO6/CO$30*100</f>
        <v>13.368983957219251</v>
      </c>
      <c r="CQ6">
        <f>CN6/CN$30*100</f>
        <v>4</v>
      </c>
      <c r="CR6">
        <f>(CQ6+CQ5)/2*(CP6-CP5)/100</f>
        <v>0.26737967914438504</v>
      </c>
      <c r="CW6">
        <v>26</v>
      </c>
      <c r="CX6">
        <v>1</v>
      </c>
      <c r="CY6">
        <f>CW6</f>
        <v>26</v>
      </c>
      <c r="CZ6">
        <f>CY6/CY$42*100</f>
        <v>9.5220655557590188</v>
      </c>
      <c r="DA6">
        <f>CX6/CX$42*100</f>
        <v>2.7027027027027026</v>
      </c>
      <c r="DB6">
        <f>(DA6+DA5)/2*(CZ6-CZ5)/100</f>
        <v>0.12867656156431106</v>
      </c>
      <c r="DG6">
        <v>30</v>
      </c>
      <c r="DH6">
        <v>1</v>
      </c>
      <c r="DI6">
        <f>DG6</f>
        <v>30</v>
      </c>
      <c r="DJ6">
        <f>DI6/DI$35*100</f>
        <v>13.720557969357419</v>
      </c>
      <c r="DK6">
        <f>DH6/DH$35*100</f>
        <v>3.3333333333333335</v>
      </c>
      <c r="DL6">
        <f>(DK6+DK5)/2*(DJ6-DJ5)/100</f>
        <v>0.22867596615595698</v>
      </c>
      <c r="DQ6">
        <v>18</v>
      </c>
      <c r="DR6">
        <v>1</v>
      </c>
      <c r="DS6">
        <f>DQ6</f>
        <v>18</v>
      </c>
      <c r="DT6">
        <f>DS6/DS$35*100</f>
        <v>9.67741935483871</v>
      </c>
      <c r="DU6">
        <f>DR6/DR$35*100</f>
        <v>3.3333333333333335</v>
      </c>
      <c r="DV6">
        <f>(DU6+DU5)/2*(DT6-DT5)/100</f>
        <v>0.16129032258064516</v>
      </c>
      <c r="EA6">
        <v>28</v>
      </c>
      <c r="EB6">
        <v>1</v>
      </c>
      <c r="EC6">
        <f>EA6</f>
        <v>28</v>
      </c>
      <c r="ED6">
        <f>EC6/EC$43*100</f>
        <v>12.257852686877532</v>
      </c>
      <c r="EE6">
        <f>EB6/EB$43*100</f>
        <v>2.6315789473684208</v>
      </c>
      <c r="EF6">
        <f>(EE6+EE5)/2*(ED6-ED5)/100</f>
        <v>0.16128753535365173</v>
      </c>
      <c r="EK6">
        <v>25</v>
      </c>
      <c r="EL6">
        <v>1</v>
      </c>
      <c r="EM6">
        <f>EK6</f>
        <v>25</v>
      </c>
      <c r="EN6">
        <f>EM6/EM$41*100</f>
        <v>15.913430935709741</v>
      </c>
      <c r="EO6">
        <f>EL6/EL$41*100</f>
        <v>2.7777777777777777</v>
      </c>
      <c r="EP6">
        <f>(EO6+EO5)/2*(EN6-EN5)/100</f>
        <v>0.22101987410707974</v>
      </c>
      <c r="EU6">
        <v>18</v>
      </c>
      <c r="EV6">
        <v>1</v>
      </c>
      <c r="EW6">
        <f>EU6</f>
        <v>18</v>
      </c>
      <c r="EX6">
        <f>EW6/EW$39*100</f>
        <v>16.794961511546536</v>
      </c>
      <c r="EY6">
        <f>EV6/EV$39*100</f>
        <v>2.9411764705882351</v>
      </c>
      <c r="EZ6">
        <f>(EY6+EY5)/2*(EX6-EX5)/100</f>
        <v>0.24698472811097844</v>
      </c>
      <c r="FE6">
        <v>15</v>
      </c>
      <c r="FF6">
        <v>1</v>
      </c>
      <c r="FG6">
        <f>FE6</f>
        <v>15</v>
      </c>
      <c r="FH6">
        <f>FG6/FG$45*100</f>
        <v>8.5397096498719041</v>
      </c>
      <c r="FI6">
        <f>FF6/FF$45*100</f>
        <v>2.5</v>
      </c>
      <c r="FJ6">
        <f>(FI6+FI5)/2*(FH6-FH5)/100</f>
        <v>0.1067463706233988</v>
      </c>
      <c r="FO6">
        <v>10</v>
      </c>
      <c r="FP6">
        <v>1</v>
      </c>
      <c r="FQ6">
        <f>FO6</f>
        <v>10</v>
      </c>
      <c r="FR6">
        <f>FQ6/FQ$40*100</f>
        <v>7.3610599926389408</v>
      </c>
      <c r="FS6">
        <f>FP6/FP$40*100</f>
        <v>2.8571428571428572</v>
      </c>
      <c r="FT6">
        <f>(FS6+FS5)/2*(FR6-FR5)/100</f>
        <v>0.10515799989484201</v>
      </c>
      <c r="FY6">
        <v>14</v>
      </c>
      <c r="FZ6">
        <v>1</v>
      </c>
      <c r="GA6">
        <f>FY6</f>
        <v>14</v>
      </c>
      <c r="GB6">
        <f>GA6/GA$40*100</f>
        <v>10.869565217391305</v>
      </c>
      <c r="GC6">
        <f>FZ6/FZ$40*100</f>
        <v>2.8571428571428572</v>
      </c>
      <c r="GD6">
        <f>(GC6+GC5)/2*(GB6-GB5)/100</f>
        <v>0.15527950310559008</v>
      </c>
      <c r="GI6">
        <v>15</v>
      </c>
      <c r="GJ6">
        <v>1</v>
      </c>
      <c r="GK6">
        <f>GI6</f>
        <v>15</v>
      </c>
      <c r="GL6">
        <f>GK6/GK$38*100</f>
        <v>11.363636363636363</v>
      </c>
      <c r="GM6">
        <f>GJ6/GJ$38*100</f>
        <v>3.0303030303030303</v>
      </c>
      <c r="GN6">
        <f>(GM6+GM5)/2*(GL6-GL5)/100</f>
        <v>0.17217630853994489</v>
      </c>
    </row>
    <row r="7" spans="1:199" x14ac:dyDescent="0.2">
      <c r="A7">
        <v>50</v>
      </c>
      <c r="B7">
        <v>2</v>
      </c>
      <c r="C7">
        <f>C6+A7</f>
        <v>125</v>
      </c>
      <c r="D7">
        <f t="shared" ref="D7:D54" si="0">C7/C$54*100</f>
        <v>18.202999854376003</v>
      </c>
      <c r="E7">
        <f t="shared" ref="E7:E54" si="1">B7/B$54*100</f>
        <v>4.0816326530612246</v>
      </c>
      <c r="F7">
        <f t="shared" ref="F7:F54" si="2">(E7+E6)/2*(D7-D6)/100</f>
        <v>0.22289387576786943</v>
      </c>
      <c r="K7">
        <v>45</v>
      </c>
      <c r="L7">
        <v>2</v>
      </c>
      <c r="M7">
        <f>M6+K7</f>
        <v>105</v>
      </c>
      <c r="N7">
        <f t="shared" ref="N7:N38" si="3">M7/M$38*100</f>
        <v>19.975268714924376</v>
      </c>
      <c r="O7">
        <f t="shared" ref="O7:O38" si="4">L7/L$38*100</f>
        <v>6.0606060606060606</v>
      </c>
      <c r="P7">
        <f t="shared" ref="P7:P38" si="5">(O7+O6)/2*(N7-N6)/100</f>
        <v>0.38912861132969551</v>
      </c>
      <c r="U7">
        <v>65</v>
      </c>
      <c r="V7">
        <v>2</v>
      </c>
      <c r="W7">
        <f>W6+U7</f>
        <v>130</v>
      </c>
      <c r="X7">
        <f t="shared" ref="X7:X38" si="6">W7/W$38*100</f>
        <v>22.549869904596704</v>
      </c>
      <c r="Y7">
        <f t="shared" ref="Y7:Y38" si="7">V7/V$38*100</f>
        <v>6.0606060606060606</v>
      </c>
      <c r="Z7">
        <f t="shared" ref="Z7:Z38" si="8">(Y7+Y6)/2*(X7-X6)/100</f>
        <v>0.51249704328628864</v>
      </c>
      <c r="AE7">
        <v>40</v>
      </c>
      <c r="AF7">
        <v>2</v>
      </c>
      <c r="AG7">
        <f>AG6+AE7</f>
        <v>85</v>
      </c>
      <c r="AH7">
        <f t="shared" ref="AH7:AH41" si="9">AG7/AG$41*100</f>
        <v>19.969458475273111</v>
      </c>
      <c r="AI7">
        <f t="shared" ref="AI7:AI41" si="10">AF7/AF$41*100</f>
        <v>5.5555555555555554</v>
      </c>
      <c r="AJ7">
        <f t="shared" ref="AJ7:AJ41" si="11">(AI7+AI6)/2*(AH7-AH6)/100</f>
        <v>0.39155800931908052</v>
      </c>
      <c r="AO7">
        <v>50</v>
      </c>
      <c r="AP7">
        <v>2</v>
      </c>
      <c r="AQ7">
        <f>AQ6+AO7</f>
        <v>115</v>
      </c>
      <c r="AR7">
        <f t="shared" ref="AR7:AR42" si="12">AQ7/AQ$42*100</f>
        <v>21.217712177121772</v>
      </c>
      <c r="AS7">
        <f t="shared" ref="AS7:AS42" si="13">AP7/AP$42*100</f>
        <v>5.4054054054054053</v>
      </c>
      <c r="AT7">
        <f t="shared" ref="AT7:AT42" si="14">(AS7+AS6)/2*(AR7-AR6)/100</f>
        <v>0.3739902263887504</v>
      </c>
      <c r="AY7">
        <v>40</v>
      </c>
      <c r="AZ7">
        <v>2</v>
      </c>
      <c r="BA7">
        <f>BA6+AY7</f>
        <v>115</v>
      </c>
      <c r="BB7">
        <f t="shared" ref="BB7:BB40" si="15">BA7/BA$40*100</f>
        <v>21.638912409445854</v>
      </c>
      <c r="BC7">
        <f t="shared" ref="BC7:BC40" si="16">AZ7/AZ$40*100</f>
        <v>5.7142857142857144</v>
      </c>
      <c r="BD7">
        <f t="shared" ref="BD7:BD40" si="17">(BC7+BC6)/2*(BB7-BB6)/100</f>
        <v>0.32256763840167735</v>
      </c>
      <c r="BI7">
        <v>25</v>
      </c>
      <c r="BJ7">
        <v>2</v>
      </c>
      <c r="BK7">
        <f>BK6+BI7</f>
        <v>75</v>
      </c>
      <c r="BL7">
        <f t="shared" ref="BL7:BL42" si="18">BK7/BK$42*100</f>
        <v>24.096385542168676</v>
      </c>
      <c r="BM7">
        <f t="shared" ref="BM7:BM42" si="19">BJ7/BJ$42*100</f>
        <v>5.4054054054054053</v>
      </c>
      <c r="BN7">
        <f t="shared" ref="BN7:BN42" si="20">(BM7+BM6)/2*(BL7-BL6)/100</f>
        <v>0.32562683165092809</v>
      </c>
      <c r="BS7">
        <v>20</v>
      </c>
      <c r="BT7">
        <v>2</v>
      </c>
      <c r="BU7">
        <f>BU6+BS7</f>
        <v>50</v>
      </c>
      <c r="BV7">
        <f t="shared" ref="BV7:BV38" si="21">BU7/BU$38*100</f>
        <v>18.957345971563981</v>
      </c>
      <c r="BW7">
        <f t="shared" ref="BW7:BW38" si="22">BT7/BT$38*100</f>
        <v>6.0606060606060606</v>
      </c>
      <c r="BX7">
        <f t="shared" ref="BX7:BX38" si="23">(BW7+BW6)/2*(BV7-BV6)/100</f>
        <v>0.34467901766479964</v>
      </c>
      <c r="CC7">
        <v>10</v>
      </c>
      <c r="CD7">
        <v>2</v>
      </c>
      <c r="CE7">
        <f>CE6+CC7</f>
        <v>28</v>
      </c>
      <c r="CF7">
        <f t="shared" ref="CF7:CF37" si="24">CE7/CE$37*100</f>
        <v>21.276595744680851</v>
      </c>
      <c r="CG7">
        <f t="shared" ref="CG7:CG37" si="25">CD7/CD$37*100</f>
        <v>6.25</v>
      </c>
      <c r="CH7">
        <f t="shared" ref="CH7:CH37" si="26">(CG7+CG6)/2*(CF7-CF6)/100</f>
        <v>0.3561930091185409</v>
      </c>
      <c r="CM7">
        <v>15</v>
      </c>
      <c r="CN7">
        <v>2</v>
      </c>
      <c r="CO7">
        <f>CO6+CM7</f>
        <v>30</v>
      </c>
      <c r="CP7">
        <f t="shared" ref="CP7:CP30" si="27">CO7/CO$30*100</f>
        <v>26.737967914438503</v>
      </c>
      <c r="CQ7">
        <f t="shared" ref="CQ7:CQ30" si="28">CN7/CN$30*100</f>
        <v>8</v>
      </c>
      <c r="CR7">
        <f t="shared" ref="CR7:CR30" si="29">(CQ7+CQ6)/2*(CP7-CP6)/100</f>
        <v>0.80213903743315518</v>
      </c>
      <c r="CW7">
        <v>18</v>
      </c>
      <c r="CX7">
        <v>2</v>
      </c>
      <c r="CY7">
        <f>CY6+CW7</f>
        <v>44</v>
      </c>
      <c r="CZ7">
        <f t="shared" ref="CZ7:CZ42" si="30">CY7/CY$42*100</f>
        <v>16.114264786669107</v>
      </c>
      <c r="DA7">
        <f t="shared" ref="DA7:DA42" si="31">CX7/CX$42*100</f>
        <v>5.4054054054054053</v>
      </c>
      <c r="DB7">
        <f t="shared" ref="DB7:DB42" si="32">(DA7+DA6)/2*(CZ7-CZ6)/100</f>
        <v>0.26725132017203063</v>
      </c>
      <c r="DG7">
        <v>25</v>
      </c>
      <c r="DH7">
        <v>2</v>
      </c>
      <c r="DI7">
        <f>DI6+DG7</f>
        <v>55</v>
      </c>
      <c r="DJ7">
        <f t="shared" ref="DJ7:DJ35" si="33">DI7/DI$35*100</f>
        <v>25.154356277155269</v>
      </c>
      <c r="DK7">
        <f t="shared" ref="DK7:DK35" si="34">DH7/DH$35*100</f>
        <v>6.666666666666667</v>
      </c>
      <c r="DL7">
        <f t="shared" ref="DL7:DL35" si="35">(DK7+DK6)/2*(DJ7-DJ6)/100</f>
        <v>0.57168991538989256</v>
      </c>
      <c r="DQ7">
        <v>15</v>
      </c>
      <c r="DR7">
        <v>2</v>
      </c>
      <c r="DS7">
        <f>DS6+DQ7</f>
        <v>33</v>
      </c>
      <c r="DT7">
        <f t="shared" ref="DT7:DT35" si="36">DS7/DS$35*100</f>
        <v>17.741935483870968</v>
      </c>
      <c r="DU7">
        <f t="shared" ref="DU7:DU35" si="37">DR7/DR$35*100</f>
        <v>6.666666666666667</v>
      </c>
      <c r="DV7">
        <f t="shared" ref="DV7:DV35" si="38">(DU7+DU6)/2*(DT7-DT6)/100</f>
        <v>0.40322580645161288</v>
      </c>
      <c r="EA7">
        <v>20</v>
      </c>
      <c r="EB7">
        <v>2</v>
      </c>
      <c r="EC7">
        <f>EC6+EA7</f>
        <v>48</v>
      </c>
      <c r="ED7">
        <f t="shared" ref="ED7:ED43" si="39">EC7/EC$43*100</f>
        <v>21.013461748932912</v>
      </c>
      <c r="EE7">
        <f t="shared" ref="EE7:EE43" si="40">EB7/EB$43*100</f>
        <v>5.2631578947368416</v>
      </c>
      <c r="EF7">
        <f t="shared" ref="EF7:EF43" si="41">(EE7+EE6)/2*(ED7-ED6)/100</f>
        <v>0.34561614718639655</v>
      </c>
      <c r="EK7">
        <v>10</v>
      </c>
      <c r="EL7">
        <v>2</v>
      </c>
      <c r="EM7">
        <f>EM6+EK7</f>
        <v>35</v>
      </c>
      <c r="EN7">
        <f t="shared" ref="EN7:EN41" si="42">EM7/EM$41*100</f>
        <v>22.278803309993638</v>
      </c>
      <c r="EO7">
        <f t="shared" ref="EO7:EO41" si="43">EL7/EL$41*100</f>
        <v>5.5555555555555554</v>
      </c>
      <c r="EP7">
        <f t="shared" ref="EP7:EP41" si="44">(EO7+EO6)/2*(EN7-EN6)/100</f>
        <v>0.26522384892849565</v>
      </c>
      <c r="EU7">
        <v>10</v>
      </c>
      <c r="EV7">
        <v>2</v>
      </c>
      <c r="EW7">
        <f>EW6+EU7</f>
        <v>28</v>
      </c>
      <c r="EX7">
        <f t="shared" ref="EX7:EX39" si="45">EW7/EW$39*100</f>
        <v>26.125495684627946</v>
      </c>
      <c r="EY7">
        <f t="shared" ref="EY7:EY39" si="46">EV7/EV$39*100</f>
        <v>5.8823529411764701</v>
      </c>
      <c r="EZ7">
        <f t="shared" ref="EZ7:EZ39" si="47">(EY7+EY6)/2*(EX7-EX6)/100</f>
        <v>0.41164121351829747</v>
      </c>
      <c r="FE7">
        <v>15</v>
      </c>
      <c r="FF7">
        <v>2</v>
      </c>
      <c r="FG7">
        <f>FG6+FE7</f>
        <v>30</v>
      </c>
      <c r="FH7">
        <f t="shared" ref="FH7:FH45" si="48">FG7/FG$45*100</f>
        <v>17.079419299743808</v>
      </c>
      <c r="FI7">
        <f t="shared" ref="FI7:FI45" si="49">FF7/FF$45*100</f>
        <v>5</v>
      </c>
      <c r="FJ7">
        <f t="shared" ref="FJ7:FJ45" si="50">(FI7+FI6)/2*(FH7-FH6)/100</f>
        <v>0.32023911187019644</v>
      </c>
      <c r="FO7">
        <v>9</v>
      </c>
      <c r="FP7">
        <v>2</v>
      </c>
      <c r="FQ7">
        <f>FQ6+FO7</f>
        <v>19</v>
      </c>
      <c r="FR7">
        <f t="shared" ref="FR7:FR40" si="51">FQ7/FQ$40*100</f>
        <v>13.986013986013987</v>
      </c>
      <c r="FS7">
        <f t="shared" ref="FS7:FS40" si="52">FP7/FP$40*100</f>
        <v>5.7142857142857144</v>
      </c>
      <c r="FT7">
        <f t="shared" ref="FT7:FT40" si="53">(FS7+FS6)/2*(FR7-FR6)/100</f>
        <v>0.28392659971607337</v>
      </c>
      <c r="FY7">
        <v>10</v>
      </c>
      <c r="FZ7">
        <v>2</v>
      </c>
      <c r="GA7">
        <f>GA6+FY7</f>
        <v>24</v>
      </c>
      <c r="GB7">
        <f t="shared" ref="GB7:GB40" si="54">GA7/GA$40*100</f>
        <v>18.633540372670808</v>
      </c>
      <c r="GC7">
        <f t="shared" ref="GC7:GC40" si="55">FZ7/FZ$40*100</f>
        <v>5.7142857142857144</v>
      </c>
      <c r="GD7">
        <f t="shared" ref="GD7:GD40" si="56">(GC7+GC6)/2*(GB7-GB6)/100</f>
        <v>0.33274179236912155</v>
      </c>
      <c r="GI7">
        <v>11</v>
      </c>
      <c r="GJ7">
        <v>2</v>
      </c>
      <c r="GK7">
        <f>GK6+GI7</f>
        <v>26</v>
      </c>
      <c r="GL7">
        <f t="shared" ref="GL7:GL38" si="57">GK7/GK$38*100</f>
        <v>19.696969696969695</v>
      </c>
      <c r="GM7">
        <f t="shared" ref="GM7:GM38" si="58">GJ7/GJ$38*100</f>
        <v>6.0606060606060606</v>
      </c>
      <c r="GN7">
        <f t="shared" ref="GN7:GN38" si="59">(GM7+GM6)/2*(GL7-GL6)/100</f>
        <v>0.37878787878787867</v>
      </c>
    </row>
    <row r="8" spans="1:199" x14ac:dyDescent="0.2">
      <c r="A8">
        <v>50</v>
      </c>
      <c r="B8">
        <v>3</v>
      </c>
      <c r="C8">
        <f t="shared" ref="C8:C54" si="60">C7+A8</f>
        <v>175</v>
      </c>
      <c r="D8">
        <f t="shared" si="0"/>
        <v>25.484199796126404</v>
      </c>
      <c r="E8">
        <f t="shared" si="1"/>
        <v>6.1224489795918364</v>
      </c>
      <c r="F8">
        <f t="shared" si="2"/>
        <v>0.37148979294644902</v>
      </c>
      <c r="K8">
        <v>40</v>
      </c>
      <c r="L8">
        <v>3</v>
      </c>
      <c r="M8">
        <f t="shared" ref="M8:M38" si="61">M7+K8</f>
        <v>145</v>
      </c>
      <c r="N8">
        <f t="shared" si="3"/>
        <v>27.584894892038424</v>
      </c>
      <c r="O8">
        <f t="shared" si="4"/>
        <v>9.0909090909090917</v>
      </c>
      <c r="P8">
        <f t="shared" si="5"/>
        <v>0.57648683159954917</v>
      </c>
      <c r="U8">
        <v>45</v>
      </c>
      <c r="V8">
        <v>3</v>
      </c>
      <c r="W8">
        <f t="shared" ref="W8:W38" si="62">W7+U8</f>
        <v>175</v>
      </c>
      <c r="X8">
        <f t="shared" si="6"/>
        <v>30.355594102341716</v>
      </c>
      <c r="Y8">
        <f t="shared" si="7"/>
        <v>9.0909090909090917</v>
      </c>
      <c r="Z8">
        <f t="shared" si="8"/>
        <v>0.59134274225340999</v>
      </c>
      <c r="AE8">
        <v>38</v>
      </c>
      <c r="AF8">
        <v>3</v>
      </c>
      <c r="AG8">
        <f t="shared" ref="AG8:AG41" si="63">AG7+AE8</f>
        <v>123</v>
      </c>
      <c r="AH8">
        <f t="shared" si="9"/>
        <v>28.896981087748149</v>
      </c>
      <c r="AI8">
        <f t="shared" si="10"/>
        <v>8.3333333333333321</v>
      </c>
      <c r="AJ8">
        <f t="shared" si="11"/>
        <v>0.61996684808854419</v>
      </c>
      <c r="AO8">
        <v>35</v>
      </c>
      <c r="AP8">
        <v>3</v>
      </c>
      <c r="AQ8">
        <f t="shared" ref="AQ8:AQ42" si="64">AQ7+AO8</f>
        <v>150</v>
      </c>
      <c r="AR8">
        <f t="shared" si="12"/>
        <v>27.67527675276753</v>
      </c>
      <c r="AS8">
        <f t="shared" si="13"/>
        <v>8.1081081081081088</v>
      </c>
      <c r="AT8">
        <f t="shared" si="14"/>
        <v>0.43632193078687559</v>
      </c>
      <c r="AY8">
        <v>35</v>
      </c>
      <c r="AZ8">
        <v>3</v>
      </c>
      <c r="BA8">
        <f t="shared" ref="BA8:BA40" si="65">BA7+AY8</f>
        <v>150</v>
      </c>
      <c r="BB8">
        <f t="shared" si="15"/>
        <v>28.224668360146765</v>
      </c>
      <c r="BC8">
        <f t="shared" si="16"/>
        <v>8.5714285714285712</v>
      </c>
      <c r="BD8">
        <f t="shared" si="17"/>
        <v>0.47041113933577933</v>
      </c>
      <c r="BI8">
        <v>22</v>
      </c>
      <c r="BJ8">
        <v>3</v>
      </c>
      <c r="BK8">
        <f t="shared" ref="BK8:BK42" si="66">BK7+BI8</f>
        <v>97</v>
      </c>
      <c r="BL8">
        <f t="shared" si="18"/>
        <v>31.164658634538149</v>
      </c>
      <c r="BM8">
        <f t="shared" si="19"/>
        <v>8.1081081081081088</v>
      </c>
      <c r="BN8">
        <f t="shared" si="20"/>
        <v>0.47758601975469417</v>
      </c>
      <c r="BS8">
        <v>17</v>
      </c>
      <c r="BT8">
        <v>3</v>
      </c>
      <c r="BU8">
        <f t="shared" ref="BU8:BU38" si="67">BU7+BS8</f>
        <v>67</v>
      </c>
      <c r="BV8">
        <f t="shared" si="21"/>
        <v>25.402843601895736</v>
      </c>
      <c r="BW8">
        <f t="shared" si="22"/>
        <v>9.0909090909090917</v>
      </c>
      <c r="BX8">
        <f t="shared" si="23"/>
        <v>0.48829527502513292</v>
      </c>
      <c r="CC8">
        <v>10</v>
      </c>
      <c r="CD8">
        <v>3</v>
      </c>
      <c r="CE8">
        <f t="shared" ref="CE8:CE37" si="68">CE7+CC8</f>
        <v>38</v>
      </c>
      <c r="CF8">
        <f t="shared" si="24"/>
        <v>28.875379939209729</v>
      </c>
      <c r="CG8">
        <f t="shared" si="25"/>
        <v>9.375</v>
      </c>
      <c r="CH8">
        <f t="shared" si="26"/>
        <v>0.59365501519756858</v>
      </c>
      <c r="CM8">
        <v>15</v>
      </c>
      <c r="CN8">
        <v>3</v>
      </c>
      <c r="CO8">
        <f t="shared" ref="CO8:CO30" si="69">CO7+CM8</f>
        <v>45</v>
      </c>
      <c r="CP8">
        <f t="shared" si="27"/>
        <v>40.106951871657756</v>
      </c>
      <c r="CQ8">
        <f t="shared" si="28"/>
        <v>12</v>
      </c>
      <c r="CR8">
        <f t="shared" si="29"/>
        <v>1.3368983957219254</v>
      </c>
      <c r="CW8">
        <v>18</v>
      </c>
      <c r="CX8">
        <v>3</v>
      </c>
      <c r="CY8">
        <f t="shared" ref="CY8:CY42" si="70">CY7+CW8</f>
        <v>62</v>
      </c>
      <c r="CZ8">
        <f t="shared" si="30"/>
        <v>22.706464017579197</v>
      </c>
      <c r="DA8">
        <f t="shared" si="31"/>
        <v>8.1081081081081088</v>
      </c>
      <c r="DB8">
        <f t="shared" si="32"/>
        <v>0.44541886695338451</v>
      </c>
      <c r="DG8">
        <v>17</v>
      </c>
      <c r="DH8">
        <v>3</v>
      </c>
      <c r="DI8">
        <f t="shared" ref="DI8:DI35" si="71">DI7+DG8</f>
        <v>72</v>
      </c>
      <c r="DJ8">
        <f t="shared" si="33"/>
        <v>32.929339126457805</v>
      </c>
      <c r="DK8">
        <f t="shared" si="34"/>
        <v>10</v>
      </c>
      <c r="DL8">
        <f t="shared" si="35"/>
        <v>0.64791523744187796</v>
      </c>
      <c r="DQ8">
        <v>15</v>
      </c>
      <c r="DR8">
        <v>3</v>
      </c>
      <c r="DS8">
        <f t="shared" ref="DS8:DS35" si="72">DS7+DQ8</f>
        <v>48</v>
      </c>
      <c r="DT8">
        <f t="shared" si="36"/>
        <v>25.806451612903224</v>
      </c>
      <c r="DU8">
        <f t="shared" si="37"/>
        <v>10</v>
      </c>
      <c r="DV8">
        <f t="shared" si="38"/>
        <v>0.67204301075268802</v>
      </c>
      <c r="EA8">
        <v>18</v>
      </c>
      <c r="EB8">
        <v>3</v>
      </c>
      <c r="EC8">
        <f t="shared" ref="EC8:EC43" si="73">EC7+EA8</f>
        <v>66</v>
      </c>
      <c r="ED8">
        <f t="shared" si="39"/>
        <v>28.893509904782753</v>
      </c>
      <c r="EE8">
        <f t="shared" si="40"/>
        <v>7.8947368421052628</v>
      </c>
      <c r="EF8">
        <f t="shared" si="41"/>
        <v>0.51842422077959482</v>
      </c>
      <c r="EK8">
        <v>9</v>
      </c>
      <c r="EL8">
        <v>3</v>
      </c>
      <c r="EM8">
        <f t="shared" ref="EM8:EM41" si="74">EM7+EK8</f>
        <v>44</v>
      </c>
      <c r="EN8">
        <f t="shared" si="42"/>
        <v>28.007638446849143</v>
      </c>
      <c r="EO8">
        <f t="shared" si="43"/>
        <v>8.3333333333333321</v>
      </c>
      <c r="EP8">
        <f t="shared" si="44"/>
        <v>0.3978357733927434</v>
      </c>
      <c r="EU8">
        <v>10</v>
      </c>
      <c r="EV8">
        <v>3</v>
      </c>
      <c r="EW8">
        <f t="shared" ref="EW8:EW39" si="75">EW7+EU8</f>
        <v>38</v>
      </c>
      <c r="EX8">
        <f t="shared" si="45"/>
        <v>35.456029857709353</v>
      </c>
      <c r="EY8">
        <f t="shared" si="46"/>
        <v>8.8235294117647065</v>
      </c>
      <c r="EZ8">
        <f t="shared" si="47"/>
        <v>0.68606868919716235</v>
      </c>
      <c r="FE8">
        <v>11</v>
      </c>
      <c r="FF8">
        <v>3</v>
      </c>
      <c r="FG8">
        <f t="shared" ref="FG8:FG45" si="76">FG7+FE8</f>
        <v>41</v>
      </c>
      <c r="FH8">
        <f t="shared" si="48"/>
        <v>23.341873042983206</v>
      </c>
      <c r="FI8">
        <f t="shared" si="49"/>
        <v>7.5</v>
      </c>
      <c r="FJ8">
        <f t="shared" si="50"/>
        <v>0.39140335895246237</v>
      </c>
      <c r="FO8">
        <v>8.5</v>
      </c>
      <c r="FP8">
        <v>3</v>
      </c>
      <c r="FQ8">
        <f t="shared" ref="FQ8:FQ40" si="77">FQ7+FO8</f>
        <v>27.5</v>
      </c>
      <c r="FR8">
        <f t="shared" si="51"/>
        <v>20.242914979757085</v>
      </c>
      <c r="FS8">
        <f t="shared" si="52"/>
        <v>8.5714285714285712</v>
      </c>
      <c r="FT8">
        <f t="shared" si="53"/>
        <v>0.44692149955307842</v>
      </c>
      <c r="FY8">
        <v>10</v>
      </c>
      <c r="FZ8">
        <v>3</v>
      </c>
      <c r="GA8">
        <f t="shared" ref="GA8:GA40" si="78">GA7+FY8</f>
        <v>34</v>
      </c>
      <c r="GB8">
        <f t="shared" si="54"/>
        <v>26.397515527950311</v>
      </c>
      <c r="GC8">
        <f t="shared" si="55"/>
        <v>8.5714285714285712</v>
      </c>
      <c r="GD8">
        <f t="shared" si="56"/>
        <v>0.55456965394853586</v>
      </c>
      <c r="GI8">
        <v>10</v>
      </c>
      <c r="GJ8">
        <v>3</v>
      </c>
      <c r="GK8">
        <f t="shared" ref="GK8:GK38" si="79">GK7+GI8</f>
        <v>36</v>
      </c>
      <c r="GL8">
        <f t="shared" si="57"/>
        <v>27.27272727272727</v>
      </c>
      <c r="GM8">
        <f t="shared" si="58"/>
        <v>9.0909090909090917</v>
      </c>
      <c r="GN8">
        <f t="shared" si="59"/>
        <v>0.57392102846648296</v>
      </c>
    </row>
    <row r="9" spans="1:199" x14ac:dyDescent="0.2">
      <c r="A9">
        <v>40</v>
      </c>
      <c r="B9">
        <v>4</v>
      </c>
      <c r="C9">
        <f t="shared" si="60"/>
        <v>215</v>
      </c>
      <c r="D9">
        <f t="shared" si="0"/>
        <v>31.309159749526728</v>
      </c>
      <c r="E9">
        <f t="shared" si="1"/>
        <v>8.1632653061224492</v>
      </c>
      <c r="F9">
        <f t="shared" si="2"/>
        <v>0.41606856810002313</v>
      </c>
      <c r="K9">
        <v>35</v>
      </c>
      <c r="L9">
        <v>4</v>
      </c>
      <c r="M9">
        <f t="shared" si="61"/>
        <v>180</v>
      </c>
      <c r="N9">
        <f t="shared" si="3"/>
        <v>34.243317797013219</v>
      </c>
      <c r="O9">
        <f t="shared" si="4"/>
        <v>12.121212121212121</v>
      </c>
      <c r="P9">
        <f t="shared" si="5"/>
        <v>0.70619636870944802</v>
      </c>
      <c r="U9">
        <v>35</v>
      </c>
      <c r="V9">
        <v>4</v>
      </c>
      <c r="W9">
        <f t="shared" si="62"/>
        <v>210</v>
      </c>
      <c r="X9">
        <f t="shared" si="6"/>
        <v>36.426712922810061</v>
      </c>
      <c r="Y9">
        <f t="shared" si="7"/>
        <v>12.121212121212121</v>
      </c>
      <c r="Z9">
        <f t="shared" si="8"/>
        <v>0.64390654156482452</v>
      </c>
      <c r="AE9">
        <v>28</v>
      </c>
      <c r="AF9">
        <v>4</v>
      </c>
      <c r="AG9">
        <f t="shared" si="63"/>
        <v>151</v>
      </c>
      <c r="AH9">
        <f t="shared" si="9"/>
        <v>35.475155644308707</v>
      </c>
      <c r="AI9">
        <f t="shared" si="10"/>
        <v>11.111111111111111</v>
      </c>
      <c r="AJ9">
        <f t="shared" si="11"/>
        <v>0.63954474855449872</v>
      </c>
      <c r="AO9">
        <v>35</v>
      </c>
      <c r="AP9">
        <v>4</v>
      </c>
      <c r="AQ9">
        <f t="shared" si="64"/>
        <v>185</v>
      </c>
      <c r="AR9">
        <f t="shared" si="12"/>
        <v>34.132841328413285</v>
      </c>
      <c r="AS9">
        <f t="shared" si="13"/>
        <v>10.810810810810811</v>
      </c>
      <c r="AT9">
        <f t="shared" si="14"/>
        <v>0.61085070310162548</v>
      </c>
      <c r="AY9">
        <v>30</v>
      </c>
      <c r="AZ9">
        <v>4</v>
      </c>
      <c r="BA9">
        <f t="shared" si="65"/>
        <v>180</v>
      </c>
      <c r="BB9">
        <f t="shared" si="15"/>
        <v>33.869602032176118</v>
      </c>
      <c r="BC9">
        <f t="shared" si="16"/>
        <v>11.428571428571429</v>
      </c>
      <c r="BD9">
        <f t="shared" si="17"/>
        <v>0.5644933672029353</v>
      </c>
      <c r="BI9">
        <v>20</v>
      </c>
      <c r="BJ9">
        <v>4</v>
      </c>
      <c r="BK9">
        <f t="shared" si="66"/>
        <v>117</v>
      </c>
      <c r="BL9">
        <f t="shared" si="18"/>
        <v>37.590361445783131</v>
      </c>
      <c r="BM9">
        <f t="shared" si="19"/>
        <v>10.810810810810811</v>
      </c>
      <c r="BN9">
        <f t="shared" si="20"/>
        <v>0.60783675241506585</v>
      </c>
      <c r="BS9">
        <v>15</v>
      </c>
      <c r="BT9">
        <v>4</v>
      </c>
      <c r="BU9">
        <f t="shared" si="67"/>
        <v>82</v>
      </c>
      <c r="BV9">
        <f t="shared" si="21"/>
        <v>31.090047393364927</v>
      </c>
      <c r="BW9">
        <f t="shared" si="22"/>
        <v>12.121212121212121</v>
      </c>
      <c r="BX9">
        <f t="shared" si="23"/>
        <v>0.60318828091339904</v>
      </c>
      <c r="CC9">
        <v>8</v>
      </c>
      <c r="CD9">
        <v>4</v>
      </c>
      <c r="CE9">
        <f t="shared" si="68"/>
        <v>46</v>
      </c>
      <c r="CF9">
        <f t="shared" si="24"/>
        <v>34.954407294832826</v>
      </c>
      <c r="CG9">
        <f t="shared" si="25"/>
        <v>12.5</v>
      </c>
      <c r="CH9">
        <f t="shared" si="26"/>
        <v>0.66489361702127625</v>
      </c>
      <c r="CM9">
        <v>9</v>
      </c>
      <c r="CN9">
        <v>4</v>
      </c>
      <c r="CO9">
        <f t="shared" si="69"/>
        <v>54</v>
      </c>
      <c r="CP9">
        <f t="shared" si="27"/>
        <v>48.128342245989309</v>
      </c>
      <c r="CQ9">
        <f t="shared" si="28"/>
        <v>16</v>
      </c>
      <c r="CR9">
        <f t="shared" si="29"/>
        <v>1.1229946524064174</v>
      </c>
      <c r="CW9">
        <v>15</v>
      </c>
      <c r="CX9">
        <v>4</v>
      </c>
      <c r="CY9">
        <f t="shared" si="70"/>
        <v>77</v>
      </c>
      <c r="CZ9">
        <f t="shared" si="30"/>
        <v>28.19996337667094</v>
      </c>
      <c r="DA9">
        <f t="shared" si="31"/>
        <v>10.810810810810811</v>
      </c>
      <c r="DB9">
        <f t="shared" si="32"/>
        <v>0.51965534477894859</v>
      </c>
      <c r="DG9">
        <v>15</v>
      </c>
      <c r="DH9">
        <v>4</v>
      </c>
      <c r="DI9">
        <f t="shared" si="71"/>
        <v>87</v>
      </c>
      <c r="DJ9">
        <f t="shared" si="33"/>
        <v>39.789618111136519</v>
      </c>
      <c r="DK9">
        <f t="shared" si="34"/>
        <v>13.333333333333334</v>
      </c>
      <c r="DL9">
        <f t="shared" si="35"/>
        <v>0.8003658815458502</v>
      </c>
      <c r="DQ9">
        <v>15</v>
      </c>
      <c r="DR9">
        <v>4</v>
      </c>
      <c r="DS9">
        <f t="shared" si="72"/>
        <v>63</v>
      </c>
      <c r="DT9">
        <f t="shared" si="36"/>
        <v>33.87096774193548</v>
      </c>
      <c r="DU9">
        <f t="shared" si="37"/>
        <v>13.333333333333334</v>
      </c>
      <c r="DV9">
        <f t="shared" si="38"/>
        <v>0.94086021505376338</v>
      </c>
      <c r="EA9">
        <v>15</v>
      </c>
      <c r="EB9">
        <v>4</v>
      </c>
      <c r="EC9">
        <f t="shared" si="73"/>
        <v>81</v>
      </c>
      <c r="ED9">
        <f t="shared" si="39"/>
        <v>35.460216701324285</v>
      </c>
      <c r="EE9">
        <f t="shared" si="40"/>
        <v>10.526315789473683</v>
      </c>
      <c r="EF9">
        <f t="shared" si="41"/>
        <v>0.60482825757619363</v>
      </c>
      <c r="EK9">
        <v>9</v>
      </c>
      <c r="EL9">
        <v>4</v>
      </c>
      <c r="EM9">
        <f t="shared" si="74"/>
        <v>53</v>
      </c>
      <c r="EN9">
        <f t="shared" si="42"/>
        <v>33.736473583704644</v>
      </c>
      <c r="EO9">
        <f t="shared" si="43"/>
        <v>11.111111111111111</v>
      </c>
      <c r="EP9">
        <f t="shared" si="44"/>
        <v>0.55697008274984039</v>
      </c>
      <c r="EU9">
        <v>6</v>
      </c>
      <c r="EV9">
        <v>4</v>
      </c>
      <c r="EW9">
        <f t="shared" si="75"/>
        <v>44</v>
      </c>
      <c r="EX9">
        <f t="shared" si="45"/>
        <v>41.0543503615582</v>
      </c>
      <c r="EY9">
        <f t="shared" si="46"/>
        <v>11.76470588235294</v>
      </c>
      <c r="EZ9">
        <f t="shared" si="47"/>
        <v>0.57629769892561644</v>
      </c>
      <c r="FE9">
        <v>9</v>
      </c>
      <c r="FF9">
        <v>4</v>
      </c>
      <c r="FG9">
        <f t="shared" si="76"/>
        <v>50</v>
      </c>
      <c r="FH9">
        <f t="shared" si="48"/>
        <v>28.465698832906345</v>
      </c>
      <c r="FI9">
        <f t="shared" si="49"/>
        <v>10</v>
      </c>
      <c r="FJ9">
        <f t="shared" si="50"/>
        <v>0.44833475661827465</v>
      </c>
      <c r="FO9">
        <v>8</v>
      </c>
      <c r="FP9">
        <v>4</v>
      </c>
      <c r="FQ9">
        <f t="shared" si="77"/>
        <v>35.5</v>
      </c>
      <c r="FR9">
        <f t="shared" si="51"/>
        <v>26.131762973868238</v>
      </c>
      <c r="FS9">
        <f t="shared" si="52"/>
        <v>11.428571428571429</v>
      </c>
      <c r="FT9">
        <f t="shared" si="53"/>
        <v>0.58888479941111527</v>
      </c>
      <c r="FY9">
        <v>8</v>
      </c>
      <c r="FZ9">
        <v>4</v>
      </c>
      <c r="GA9">
        <f t="shared" si="78"/>
        <v>42</v>
      </c>
      <c r="GB9">
        <f t="shared" si="54"/>
        <v>32.608695652173907</v>
      </c>
      <c r="GC9">
        <f t="shared" si="55"/>
        <v>11.428571428571429</v>
      </c>
      <c r="GD9">
        <f t="shared" si="56"/>
        <v>0.62111801242235953</v>
      </c>
      <c r="GI9">
        <v>9</v>
      </c>
      <c r="GJ9">
        <v>4</v>
      </c>
      <c r="GK9">
        <f t="shared" si="79"/>
        <v>45</v>
      </c>
      <c r="GL9">
        <f t="shared" si="57"/>
        <v>34.090909090909086</v>
      </c>
      <c r="GM9">
        <f t="shared" si="58"/>
        <v>12.121212121212121</v>
      </c>
      <c r="GN9">
        <f t="shared" si="59"/>
        <v>0.7231404958677683</v>
      </c>
    </row>
    <row r="10" spans="1:199" x14ac:dyDescent="0.2">
      <c r="A10">
        <v>35</v>
      </c>
      <c r="B10">
        <v>5</v>
      </c>
      <c r="C10">
        <f t="shared" si="60"/>
        <v>250</v>
      </c>
      <c r="D10">
        <f t="shared" si="0"/>
        <v>36.405999708752006</v>
      </c>
      <c r="E10">
        <f t="shared" si="1"/>
        <v>10.204081632653061</v>
      </c>
      <c r="F10">
        <f t="shared" si="2"/>
        <v>0.46807713911252558</v>
      </c>
      <c r="K10">
        <v>30</v>
      </c>
      <c r="L10">
        <v>5</v>
      </c>
      <c r="M10">
        <f t="shared" si="61"/>
        <v>210</v>
      </c>
      <c r="N10">
        <f t="shared" si="3"/>
        <v>39.950537429848751</v>
      </c>
      <c r="O10">
        <f t="shared" si="4"/>
        <v>15.151515151515152</v>
      </c>
      <c r="P10">
        <f t="shared" si="5"/>
        <v>0.77825722265939079</v>
      </c>
      <c r="U10">
        <v>35</v>
      </c>
      <c r="V10">
        <v>5</v>
      </c>
      <c r="W10">
        <f t="shared" si="62"/>
        <v>245</v>
      </c>
      <c r="X10">
        <f t="shared" si="6"/>
        <v>42.497831743278404</v>
      </c>
      <c r="Y10">
        <f t="shared" si="7"/>
        <v>15.151515151515152</v>
      </c>
      <c r="Z10">
        <f t="shared" si="8"/>
        <v>0.82787983915477392</v>
      </c>
      <c r="AE10">
        <v>28</v>
      </c>
      <c r="AF10">
        <v>5</v>
      </c>
      <c r="AG10">
        <f t="shared" si="63"/>
        <v>179</v>
      </c>
      <c r="AH10">
        <f t="shared" si="9"/>
        <v>42.053330200869254</v>
      </c>
      <c r="AI10">
        <f t="shared" si="10"/>
        <v>13.888888888888889</v>
      </c>
      <c r="AJ10">
        <f t="shared" si="11"/>
        <v>0.82227181957006845</v>
      </c>
      <c r="AO10">
        <v>30</v>
      </c>
      <c r="AP10">
        <v>5</v>
      </c>
      <c r="AQ10">
        <f t="shared" si="64"/>
        <v>215</v>
      </c>
      <c r="AR10">
        <f t="shared" si="12"/>
        <v>39.667896678966791</v>
      </c>
      <c r="AS10">
        <f t="shared" si="13"/>
        <v>13.513513513513514</v>
      </c>
      <c r="AT10">
        <f t="shared" si="14"/>
        <v>0.67318240749975078</v>
      </c>
      <c r="AY10">
        <v>30</v>
      </c>
      <c r="AZ10">
        <v>5</v>
      </c>
      <c r="BA10">
        <f t="shared" si="65"/>
        <v>210</v>
      </c>
      <c r="BB10">
        <f t="shared" si="15"/>
        <v>39.514535704205471</v>
      </c>
      <c r="BC10">
        <f t="shared" si="16"/>
        <v>14.285714285714285</v>
      </c>
      <c r="BD10">
        <f t="shared" si="17"/>
        <v>0.72577718640377398</v>
      </c>
      <c r="BI10">
        <v>18</v>
      </c>
      <c r="BJ10">
        <v>5</v>
      </c>
      <c r="BK10">
        <f t="shared" si="66"/>
        <v>135</v>
      </c>
      <c r="BL10">
        <f t="shared" si="18"/>
        <v>43.373493975903614</v>
      </c>
      <c r="BM10">
        <f t="shared" si="19"/>
        <v>13.513513513513514</v>
      </c>
      <c r="BN10">
        <f t="shared" si="20"/>
        <v>0.70335395636600462</v>
      </c>
      <c r="BS10">
        <v>15</v>
      </c>
      <c r="BT10">
        <v>5</v>
      </c>
      <c r="BU10">
        <f t="shared" si="67"/>
        <v>97</v>
      </c>
      <c r="BV10">
        <f t="shared" si="21"/>
        <v>36.777251184834128</v>
      </c>
      <c r="BW10">
        <f t="shared" si="22"/>
        <v>15.151515151515152</v>
      </c>
      <c r="BX10">
        <f t="shared" si="23"/>
        <v>0.77552778974580017</v>
      </c>
      <c r="CC10">
        <v>8</v>
      </c>
      <c r="CD10">
        <v>5</v>
      </c>
      <c r="CE10">
        <f t="shared" si="68"/>
        <v>54</v>
      </c>
      <c r="CF10">
        <f t="shared" si="24"/>
        <v>41.033434650455931</v>
      </c>
      <c r="CG10">
        <f t="shared" si="25"/>
        <v>15.625</v>
      </c>
      <c r="CH10">
        <f t="shared" si="26"/>
        <v>0.85486322188449904</v>
      </c>
      <c r="CM10">
        <v>7</v>
      </c>
      <c r="CN10">
        <v>5</v>
      </c>
      <c r="CO10">
        <f t="shared" si="69"/>
        <v>61</v>
      </c>
      <c r="CP10">
        <f t="shared" si="27"/>
        <v>54.367201426024955</v>
      </c>
      <c r="CQ10">
        <f t="shared" si="28"/>
        <v>20</v>
      </c>
      <c r="CR10">
        <f t="shared" si="29"/>
        <v>1.1229946524064163</v>
      </c>
      <c r="CW10">
        <v>15</v>
      </c>
      <c r="CX10">
        <v>5</v>
      </c>
      <c r="CY10">
        <f t="shared" si="70"/>
        <v>92</v>
      </c>
      <c r="CZ10">
        <f t="shared" si="30"/>
        <v>33.693462735762679</v>
      </c>
      <c r="DA10">
        <f t="shared" si="31"/>
        <v>13.513513513513514</v>
      </c>
      <c r="DB10">
        <f t="shared" si="32"/>
        <v>0.66812830043007632</v>
      </c>
      <c r="DG10">
        <v>14</v>
      </c>
      <c r="DH10">
        <v>5</v>
      </c>
      <c r="DI10">
        <f t="shared" si="71"/>
        <v>101</v>
      </c>
      <c r="DJ10">
        <f t="shared" si="33"/>
        <v>46.192545163503311</v>
      </c>
      <c r="DK10">
        <f t="shared" si="34"/>
        <v>16.666666666666664</v>
      </c>
      <c r="DL10">
        <f t="shared" si="35"/>
        <v>0.96043905785501882</v>
      </c>
      <c r="DQ10">
        <v>15</v>
      </c>
      <c r="DR10">
        <v>5</v>
      </c>
      <c r="DS10">
        <f t="shared" si="72"/>
        <v>78</v>
      </c>
      <c r="DT10">
        <f t="shared" si="36"/>
        <v>41.935483870967744</v>
      </c>
      <c r="DU10">
        <f t="shared" si="37"/>
        <v>16.666666666666664</v>
      </c>
      <c r="DV10">
        <f t="shared" si="38"/>
        <v>1.2096774193548396</v>
      </c>
      <c r="EA10">
        <v>15</v>
      </c>
      <c r="EB10">
        <v>5</v>
      </c>
      <c r="EC10">
        <f t="shared" si="73"/>
        <v>96</v>
      </c>
      <c r="ED10">
        <f t="shared" si="39"/>
        <v>42.026923497865823</v>
      </c>
      <c r="EE10">
        <f t="shared" si="40"/>
        <v>13.157894736842104</v>
      </c>
      <c r="EF10">
        <f t="shared" si="41"/>
        <v>0.77763633116939257</v>
      </c>
      <c r="EK10">
        <v>8</v>
      </c>
      <c r="EL10">
        <v>5</v>
      </c>
      <c r="EM10">
        <f t="shared" si="74"/>
        <v>61</v>
      </c>
      <c r="EN10">
        <f t="shared" si="42"/>
        <v>38.82877148313176</v>
      </c>
      <c r="EO10">
        <f t="shared" si="43"/>
        <v>13.888888888888889</v>
      </c>
      <c r="EP10">
        <f t="shared" si="44"/>
        <v>0.63653723742838952</v>
      </c>
      <c r="EU10">
        <v>6</v>
      </c>
      <c r="EV10">
        <v>5</v>
      </c>
      <c r="EW10">
        <f t="shared" si="75"/>
        <v>50</v>
      </c>
      <c r="EX10">
        <f t="shared" si="45"/>
        <v>46.652670865407046</v>
      </c>
      <c r="EY10">
        <f t="shared" si="46"/>
        <v>14.705882352941178</v>
      </c>
      <c r="EZ10">
        <f t="shared" si="47"/>
        <v>0.74095418433293547</v>
      </c>
      <c r="FE10">
        <v>8</v>
      </c>
      <c r="FF10">
        <v>5</v>
      </c>
      <c r="FG10">
        <f t="shared" si="76"/>
        <v>58</v>
      </c>
      <c r="FH10">
        <f t="shared" si="48"/>
        <v>33.020210646171364</v>
      </c>
      <c r="FI10">
        <f t="shared" si="49"/>
        <v>12.5</v>
      </c>
      <c r="FJ10">
        <f t="shared" si="50"/>
        <v>0.51238257899231465</v>
      </c>
      <c r="FO10">
        <v>8</v>
      </c>
      <c r="FP10">
        <v>5</v>
      </c>
      <c r="FQ10">
        <f t="shared" si="77"/>
        <v>43.5</v>
      </c>
      <c r="FR10">
        <f t="shared" si="51"/>
        <v>32.020610967979394</v>
      </c>
      <c r="FS10">
        <f t="shared" si="52"/>
        <v>14.285714285714285</v>
      </c>
      <c r="FT10">
        <f t="shared" si="53"/>
        <v>0.75713759924286295</v>
      </c>
      <c r="FY10">
        <v>8</v>
      </c>
      <c r="FZ10">
        <v>5</v>
      </c>
      <c r="GA10">
        <f t="shared" si="78"/>
        <v>50</v>
      </c>
      <c r="GB10">
        <f t="shared" si="54"/>
        <v>38.81987577639751</v>
      </c>
      <c r="GC10">
        <f t="shared" si="55"/>
        <v>14.285714285714285</v>
      </c>
      <c r="GD10">
        <f t="shared" si="56"/>
        <v>0.79858030168589178</v>
      </c>
      <c r="GI10">
        <v>7</v>
      </c>
      <c r="GJ10">
        <v>5</v>
      </c>
      <c r="GK10">
        <f t="shared" si="79"/>
        <v>52</v>
      </c>
      <c r="GL10">
        <f t="shared" si="57"/>
        <v>39.393939393939391</v>
      </c>
      <c r="GM10">
        <f t="shared" si="58"/>
        <v>15.151515151515152</v>
      </c>
      <c r="GN10">
        <f t="shared" si="59"/>
        <v>0.72314049586776874</v>
      </c>
    </row>
    <row r="11" spans="1:199" x14ac:dyDescent="0.2">
      <c r="A11">
        <v>35</v>
      </c>
      <c r="B11">
        <v>6</v>
      </c>
      <c r="C11">
        <f t="shared" si="60"/>
        <v>285</v>
      </c>
      <c r="D11">
        <f t="shared" si="0"/>
        <v>41.502839667977284</v>
      </c>
      <c r="E11">
        <f t="shared" si="1"/>
        <v>12.244897959183673</v>
      </c>
      <c r="F11">
        <f t="shared" si="2"/>
        <v>0.57209428113753114</v>
      </c>
      <c r="K11">
        <v>30</v>
      </c>
      <c r="L11">
        <v>6</v>
      </c>
      <c r="M11">
        <f t="shared" si="61"/>
        <v>240</v>
      </c>
      <c r="N11">
        <f t="shared" si="3"/>
        <v>45.65775706268429</v>
      </c>
      <c r="O11">
        <f t="shared" si="4"/>
        <v>18.181818181818183</v>
      </c>
      <c r="P11">
        <f t="shared" si="5"/>
        <v>0.95120327213925648</v>
      </c>
      <c r="U11">
        <v>30</v>
      </c>
      <c r="V11">
        <v>6</v>
      </c>
      <c r="W11">
        <f t="shared" si="62"/>
        <v>275</v>
      </c>
      <c r="X11">
        <f t="shared" si="6"/>
        <v>47.701647875108414</v>
      </c>
      <c r="Y11">
        <f t="shared" si="7"/>
        <v>18.181818181818183</v>
      </c>
      <c r="Z11">
        <f t="shared" si="8"/>
        <v>0.86730268863833504</v>
      </c>
      <c r="AE11">
        <v>25</v>
      </c>
      <c r="AF11">
        <v>6</v>
      </c>
      <c r="AG11">
        <f t="shared" si="63"/>
        <v>204</v>
      </c>
      <c r="AH11">
        <f t="shared" si="9"/>
        <v>47.926700340655465</v>
      </c>
      <c r="AI11">
        <f t="shared" si="10"/>
        <v>16.666666666666664</v>
      </c>
      <c r="AJ11">
        <f t="shared" si="11"/>
        <v>0.8973204380228933</v>
      </c>
      <c r="AO11">
        <v>30</v>
      </c>
      <c r="AP11">
        <v>6</v>
      </c>
      <c r="AQ11">
        <f t="shared" si="64"/>
        <v>245</v>
      </c>
      <c r="AR11">
        <f t="shared" si="12"/>
        <v>45.20295202952029</v>
      </c>
      <c r="AS11">
        <f t="shared" si="13"/>
        <v>16.216216216216218</v>
      </c>
      <c r="AT11">
        <f t="shared" si="14"/>
        <v>0.82277849805524994</v>
      </c>
      <c r="AY11">
        <v>30</v>
      </c>
      <c r="AZ11">
        <v>6</v>
      </c>
      <c r="BA11">
        <f t="shared" si="65"/>
        <v>240</v>
      </c>
      <c r="BB11">
        <f t="shared" si="15"/>
        <v>45.159469376234824</v>
      </c>
      <c r="BC11">
        <f t="shared" si="16"/>
        <v>17.142857142857142</v>
      </c>
      <c r="BD11">
        <f t="shared" si="17"/>
        <v>0.88706100560461254</v>
      </c>
      <c r="BI11">
        <v>17</v>
      </c>
      <c r="BJ11">
        <v>6</v>
      </c>
      <c r="BK11">
        <f t="shared" si="66"/>
        <v>152</v>
      </c>
      <c r="BL11">
        <f t="shared" si="18"/>
        <v>48.835341365461851</v>
      </c>
      <c r="BM11">
        <f t="shared" si="19"/>
        <v>16.216216216216218</v>
      </c>
      <c r="BN11">
        <f t="shared" si="20"/>
        <v>0.81189623358298124</v>
      </c>
      <c r="BS11">
        <v>15</v>
      </c>
      <c r="BT11">
        <v>6</v>
      </c>
      <c r="BU11">
        <f t="shared" si="67"/>
        <v>112</v>
      </c>
      <c r="BV11">
        <f t="shared" si="21"/>
        <v>42.464454976303315</v>
      </c>
      <c r="BW11">
        <f t="shared" si="22"/>
        <v>18.181818181818183</v>
      </c>
      <c r="BX11">
        <f t="shared" si="23"/>
        <v>0.94786729857819796</v>
      </c>
      <c r="CC11">
        <v>8</v>
      </c>
      <c r="CD11">
        <v>6</v>
      </c>
      <c r="CE11">
        <f t="shared" si="68"/>
        <v>62</v>
      </c>
      <c r="CF11">
        <f t="shared" si="24"/>
        <v>47.112462006079028</v>
      </c>
      <c r="CG11">
        <f t="shared" si="25"/>
        <v>18.75</v>
      </c>
      <c r="CH11">
        <f t="shared" si="26"/>
        <v>1.0448328267477198</v>
      </c>
      <c r="CM11">
        <v>6</v>
      </c>
      <c r="CN11">
        <v>6</v>
      </c>
      <c r="CO11">
        <f t="shared" si="69"/>
        <v>67</v>
      </c>
      <c r="CP11">
        <f t="shared" si="27"/>
        <v>59.71479500891266</v>
      </c>
      <c r="CQ11">
        <f t="shared" si="28"/>
        <v>24</v>
      </c>
      <c r="CR11">
        <f t="shared" si="29"/>
        <v>1.1764705882352948</v>
      </c>
      <c r="CW11">
        <v>12</v>
      </c>
      <c r="CX11">
        <v>6</v>
      </c>
      <c r="CY11">
        <f t="shared" si="70"/>
        <v>104</v>
      </c>
      <c r="CZ11">
        <f t="shared" si="30"/>
        <v>38.088262223036075</v>
      </c>
      <c r="DA11">
        <f t="shared" si="31"/>
        <v>16.216216216216218</v>
      </c>
      <c r="DB11">
        <f t="shared" si="32"/>
        <v>0.65328100486496421</v>
      </c>
      <c r="DG11">
        <v>10</v>
      </c>
      <c r="DH11">
        <v>6</v>
      </c>
      <c r="DI11">
        <f t="shared" si="71"/>
        <v>111</v>
      </c>
      <c r="DJ11">
        <f t="shared" si="33"/>
        <v>50.766064486622454</v>
      </c>
      <c r="DK11">
        <f t="shared" si="34"/>
        <v>20</v>
      </c>
      <c r="DL11">
        <f t="shared" si="35"/>
        <v>0.83847854257184284</v>
      </c>
      <c r="DQ11">
        <v>15</v>
      </c>
      <c r="DR11">
        <v>6</v>
      </c>
      <c r="DS11">
        <f t="shared" si="72"/>
        <v>93</v>
      </c>
      <c r="DT11">
        <f t="shared" si="36"/>
        <v>50</v>
      </c>
      <c r="DU11">
        <f t="shared" si="37"/>
        <v>20</v>
      </c>
      <c r="DV11">
        <f t="shared" si="38"/>
        <v>1.4784946236559136</v>
      </c>
      <c r="EA11">
        <v>12</v>
      </c>
      <c r="EB11">
        <v>6</v>
      </c>
      <c r="EC11">
        <f t="shared" si="73"/>
        <v>108</v>
      </c>
      <c r="ED11">
        <f t="shared" si="39"/>
        <v>47.280288935099051</v>
      </c>
      <c r="EE11">
        <f t="shared" si="40"/>
        <v>15.789473684210526</v>
      </c>
      <c r="EF11">
        <f t="shared" si="41"/>
        <v>0.76035552381007232</v>
      </c>
      <c r="EK11">
        <v>7.5</v>
      </c>
      <c r="EL11">
        <v>6</v>
      </c>
      <c r="EM11">
        <f t="shared" si="74"/>
        <v>68.5</v>
      </c>
      <c r="EN11">
        <f t="shared" si="42"/>
        <v>43.602800763844684</v>
      </c>
      <c r="EO11">
        <f t="shared" si="43"/>
        <v>16.666666666666664</v>
      </c>
      <c r="EP11">
        <f t="shared" si="44"/>
        <v>0.7293655845533632</v>
      </c>
      <c r="EU11">
        <v>6</v>
      </c>
      <c r="EV11">
        <v>6</v>
      </c>
      <c r="EW11">
        <f t="shared" si="75"/>
        <v>56</v>
      </c>
      <c r="EX11">
        <f t="shared" si="45"/>
        <v>52.250991369255892</v>
      </c>
      <c r="EY11">
        <f t="shared" si="46"/>
        <v>17.647058823529413</v>
      </c>
      <c r="EZ11">
        <f t="shared" si="47"/>
        <v>0.90561066974025484</v>
      </c>
      <c r="FE11">
        <v>7</v>
      </c>
      <c r="FF11">
        <v>6</v>
      </c>
      <c r="FG11">
        <f t="shared" si="76"/>
        <v>65</v>
      </c>
      <c r="FH11">
        <f t="shared" si="48"/>
        <v>37.00540848277825</v>
      </c>
      <c r="FI11">
        <f t="shared" si="49"/>
        <v>15</v>
      </c>
      <c r="FJ11">
        <f t="shared" si="50"/>
        <v>0.54796470253344687</v>
      </c>
      <c r="FO11">
        <v>8</v>
      </c>
      <c r="FP11">
        <v>6</v>
      </c>
      <c r="FQ11">
        <f t="shared" si="77"/>
        <v>51.5</v>
      </c>
      <c r="FR11">
        <f t="shared" si="51"/>
        <v>37.90945896209054</v>
      </c>
      <c r="FS11">
        <f t="shared" si="52"/>
        <v>17.142857142857142</v>
      </c>
      <c r="FT11">
        <f t="shared" si="53"/>
        <v>0.92539039907460863</v>
      </c>
      <c r="FY11">
        <v>7.5</v>
      </c>
      <c r="FZ11">
        <v>6</v>
      </c>
      <c r="GA11">
        <f t="shared" si="78"/>
        <v>57.5</v>
      </c>
      <c r="GB11">
        <f t="shared" si="54"/>
        <v>44.642857142857139</v>
      </c>
      <c r="GC11">
        <f t="shared" si="55"/>
        <v>17.142857142857142</v>
      </c>
      <c r="GD11">
        <f t="shared" si="56"/>
        <v>0.91503992901508457</v>
      </c>
      <c r="GI11">
        <v>7</v>
      </c>
      <c r="GJ11">
        <v>6</v>
      </c>
      <c r="GK11">
        <f t="shared" si="79"/>
        <v>59</v>
      </c>
      <c r="GL11">
        <f t="shared" si="57"/>
        <v>44.696969696969695</v>
      </c>
      <c r="GM11">
        <f t="shared" si="58"/>
        <v>18.181818181818183</v>
      </c>
      <c r="GN11">
        <f t="shared" si="59"/>
        <v>0.88383838383838409</v>
      </c>
    </row>
    <row r="12" spans="1:199" x14ac:dyDescent="0.2">
      <c r="A12">
        <v>32</v>
      </c>
      <c r="B12">
        <v>7</v>
      </c>
      <c r="C12">
        <f t="shared" si="60"/>
        <v>317</v>
      </c>
      <c r="D12">
        <f t="shared" si="0"/>
        <v>46.162807630697543</v>
      </c>
      <c r="E12">
        <f t="shared" si="1"/>
        <v>14.285714285714285</v>
      </c>
      <c r="F12">
        <f t="shared" si="2"/>
        <v>0.61815901546289143</v>
      </c>
      <c r="K12">
        <v>28</v>
      </c>
      <c r="L12">
        <v>7</v>
      </c>
      <c r="M12">
        <f t="shared" si="61"/>
        <v>268</v>
      </c>
      <c r="N12">
        <f t="shared" si="3"/>
        <v>50.984495386664122</v>
      </c>
      <c r="O12">
        <f t="shared" si="4"/>
        <v>21.212121212121211</v>
      </c>
      <c r="P12">
        <f t="shared" si="5"/>
        <v>1.0492060335111788</v>
      </c>
      <c r="U12">
        <v>30</v>
      </c>
      <c r="V12">
        <v>7</v>
      </c>
      <c r="W12">
        <f t="shared" si="62"/>
        <v>305</v>
      </c>
      <c r="X12">
        <f t="shared" si="6"/>
        <v>52.905464006938416</v>
      </c>
      <c r="Y12">
        <f t="shared" si="7"/>
        <v>21.212121212121211</v>
      </c>
      <c r="Z12">
        <f t="shared" si="8"/>
        <v>1.0249940865725762</v>
      </c>
      <c r="AE12">
        <v>25</v>
      </c>
      <c r="AF12">
        <v>7</v>
      </c>
      <c r="AG12">
        <f t="shared" si="63"/>
        <v>229</v>
      </c>
      <c r="AH12">
        <f t="shared" si="9"/>
        <v>53.800070480441676</v>
      </c>
      <c r="AI12">
        <f t="shared" si="10"/>
        <v>19.444444444444446</v>
      </c>
      <c r="AJ12">
        <f t="shared" si="11"/>
        <v>1.0604696085725103</v>
      </c>
      <c r="AO12">
        <v>22</v>
      </c>
      <c r="AP12">
        <v>7</v>
      </c>
      <c r="AQ12">
        <f t="shared" si="64"/>
        <v>267</v>
      </c>
      <c r="AR12">
        <f t="shared" si="12"/>
        <v>49.261992619926197</v>
      </c>
      <c r="AS12">
        <f t="shared" si="13"/>
        <v>18.918918918918919</v>
      </c>
      <c r="AT12">
        <f t="shared" si="14"/>
        <v>0.71307469831455128</v>
      </c>
      <c r="AY12">
        <v>30</v>
      </c>
      <c r="AZ12">
        <v>7</v>
      </c>
      <c r="BA12">
        <f t="shared" si="65"/>
        <v>270</v>
      </c>
      <c r="BB12">
        <f t="shared" si="15"/>
        <v>50.804403048264177</v>
      </c>
      <c r="BC12">
        <f t="shared" si="16"/>
        <v>20</v>
      </c>
      <c r="BD12">
        <f t="shared" si="17"/>
        <v>1.0483448248054512</v>
      </c>
      <c r="BI12">
        <v>15</v>
      </c>
      <c r="BJ12">
        <v>7</v>
      </c>
      <c r="BK12">
        <f t="shared" si="66"/>
        <v>167</v>
      </c>
      <c r="BL12">
        <f t="shared" si="18"/>
        <v>53.654618473895589</v>
      </c>
      <c r="BM12">
        <f t="shared" si="19"/>
        <v>18.918918918918919</v>
      </c>
      <c r="BN12">
        <f t="shared" si="20"/>
        <v>0.84662976229241349</v>
      </c>
      <c r="BS12">
        <v>15</v>
      </c>
      <c r="BT12">
        <v>7</v>
      </c>
      <c r="BU12">
        <f t="shared" si="67"/>
        <v>127</v>
      </c>
      <c r="BV12">
        <f t="shared" si="21"/>
        <v>48.15165876777251</v>
      </c>
      <c r="BW12">
        <f t="shared" si="22"/>
        <v>21.212121212121211</v>
      </c>
      <c r="BX12">
        <f t="shared" si="23"/>
        <v>1.1202068074105989</v>
      </c>
      <c r="CC12">
        <v>7</v>
      </c>
      <c r="CD12">
        <v>7</v>
      </c>
      <c r="CE12">
        <f t="shared" si="68"/>
        <v>69</v>
      </c>
      <c r="CF12">
        <f t="shared" si="24"/>
        <v>52.431610942249243</v>
      </c>
      <c r="CG12">
        <f t="shared" si="25"/>
        <v>21.875</v>
      </c>
      <c r="CH12">
        <f t="shared" si="26"/>
        <v>1.0804521276595751</v>
      </c>
      <c r="CM12">
        <v>5</v>
      </c>
      <c r="CN12">
        <v>7</v>
      </c>
      <c r="CO12">
        <f t="shared" si="69"/>
        <v>72</v>
      </c>
      <c r="CP12">
        <f t="shared" si="27"/>
        <v>64.171122994652407</v>
      </c>
      <c r="CQ12">
        <f t="shared" si="28"/>
        <v>28.000000000000004</v>
      </c>
      <c r="CR12">
        <f t="shared" si="29"/>
        <v>1.1586452762923343</v>
      </c>
      <c r="CW12">
        <v>12</v>
      </c>
      <c r="CX12">
        <v>7</v>
      </c>
      <c r="CY12">
        <f t="shared" si="70"/>
        <v>116</v>
      </c>
      <c r="CZ12">
        <f t="shared" si="30"/>
        <v>42.483061710309464</v>
      </c>
      <c r="DA12">
        <f t="shared" si="31"/>
        <v>18.918918918918919</v>
      </c>
      <c r="DB12">
        <f t="shared" si="32"/>
        <v>0.77205936938586561</v>
      </c>
      <c r="DG12">
        <v>10</v>
      </c>
      <c r="DH12">
        <v>7</v>
      </c>
      <c r="DI12">
        <f t="shared" si="71"/>
        <v>121</v>
      </c>
      <c r="DJ12">
        <f t="shared" si="33"/>
        <v>55.339583809741598</v>
      </c>
      <c r="DK12">
        <f t="shared" si="34"/>
        <v>23.333333333333332</v>
      </c>
      <c r="DL12">
        <f t="shared" si="35"/>
        <v>0.99092918667581431</v>
      </c>
      <c r="DQ12">
        <v>12</v>
      </c>
      <c r="DR12">
        <v>7</v>
      </c>
      <c r="DS12">
        <f t="shared" si="72"/>
        <v>105</v>
      </c>
      <c r="DT12">
        <f t="shared" si="36"/>
        <v>56.451612903225815</v>
      </c>
      <c r="DU12">
        <f t="shared" si="37"/>
        <v>23.333333333333332</v>
      </c>
      <c r="DV12">
        <f t="shared" si="38"/>
        <v>1.397849462365593</v>
      </c>
      <c r="EA12">
        <v>10</v>
      </c>
      <c r="EB12">
        <v>7</v>
      </c>
      <c r="EC12">
        <f t="shared" si="73"/>
        <v>118</v>
      </c>
      <c r="ED12">
        <f t="shared" si="39"/>
        <v>51.658093466126743</v>
      </c>
      <c r="EE12">
        <f t="shared" si="40"/>
        <v>18.421052631578945</v>
      </c>
      <c r="EF12">
        <f t="shared" si="41"/>
        <v>0.7488349855705263</v>
      </c>
      <c r="EK12">
        <v>7</v>
      </c>
      <c r="EL12">
        <v>7</v>
      </c>
      <c r="EM12">
        <f t="shared" si="74"/>
        <v>75.5</v>
      </c>
      <c r="EN12">
        <f t="shared" si="42"/>
        <v>48.058561425843415</v>
      </c>
      <c r="EO12">
        <f t="shared" si="43"/>
        <v>19.444444444444446</v>
      </c>
      <c r="EP12">
        <f t="shared" si="44"/>
        <v>0.80451234174977104</v>
      </c>
      <c r="EU12">
        <v>5</v>
      </c>
      <c r="EV12">
        <v>7</v>
      </c>
      <c r="EW12">
        <f t="shared" si="75"/>
        <v>61</v>
      </c>
      <c r="EX12">
        <f t="shared" si="45"/>
        <v>56.916258455796594</v>
      </c>
      <c r="EY12">
        <f t="shared" si="46"/>
        <v>20.588235294117645</v>
      </c>
      <c r="EZ12">
        <f t="shared" si="47"/>
        <v>0.89188929595631061</v>
      </c>
      <c r="FE12">
        <v>7</v>
      </c>
      <c r="FF12">
        <v>7</v>
      </c>
      <c r="FG12">
        <f t="shared" si="76"/>
        <v>72</v>
      </c>
      <c r="FH12">
        <f t="shared" si="48"/>
        <v>40.990606319385144</v>
      </c>
      <c r="FI12">
        <f t="shared" si="49"/>
        <v>17.5</v>
      </c>
      <c r="FJ12">
        <f t="shared" si="50"/>
        <v>0.64759464844862025</v>
      </c>
      <c r="FO12">
        <v>7</v>
      </c>
      <c r="FP12">
        <v>7</v>
      </c>
      <c r="FQ12">
        <f t="shared" si="77"/>
        <v>58.5</v>
      </c>
      <c r="FR12">
        <f t="shared" si="51"/>
        <v>43.062200956937801</v>
      </c>
      <c r="FS12">
        <f t="shared" si="52"/>
        <v>20</v>
      </c>
      <c r="FT12">
        <f t="shared" si="53"/>
        <v>0.95693779904306264</v>
      </c>
      <c r="FY12">
        <v>7</v>
      </c>
      <c r="FZ12">
        <v>7</v>
      </c>
      <c r="GA12">
        <f t="shared" si="78"/>
        <v>64.5</v>
      </c>
      <c r="GB12">
        <f t="shared" si="54"/>
        <v>50.077639751552795</v>
      </c>
      <c r="GC12">
        <f t="shared" si="55"/>
        <v>20</v>
      </c>
      <c r="GD12">
        <f t="shared" si="56"/>
        <v>1.0093167701863359</v>
      </c>
      <c r="GI12">
        <v>7</v>
      </c>
      <c r="GJ12">
        <v>7</v>
      </c>
      <c r="GK12">
        <f t="shared" si="79"/>
        <v>66</v>
      </c>
      <c r="GL12">
        <f t="shared" si="57"/>
        <v>50</v>
      </c>
      <c r="GM12">
        <f t="shared" si="58"/>
        <v>21.212121212121211</v>
      </c>
      <c r="GN12">
        <f t="shared" si="59"/>
        <v>1.0445362718089992</v>
      </c>
    </row>
    <row r="13" spans="1:199" x14ac:dyDescent="0.2">
      <c r="A13">
        <v>30</v>
      </c>
      <c r="B13">
        <v>8</v>
      </c>
      <c r="C13">
        <f t="shared" si="60"/>
        <v>347</v>
      </c>
      <c r="D13">
        <f t="shared" si="0"/>
        <v>50.531527595747782</v>
      </c>
      <c r="E13">
        <f t="shared" si="1"/>
        <v>16.326530612244898</v>
      </c>
      <c r="F13">
        <f t="shared" si="2"/>
        <v>0.66868162730360803</v>
      </c>
      <c r="K13">
        <v>28</v>
      </c>
      <c r="L13">
        <v>8</v>
      </c>
      <c r="M13">
        <f t="shared" si="61"/>
        <v>296</v>
      </c>
      <c r="N13">
        <f t="shared" si="3"/>
        <v>56.311233710643961</v>
      </c>
      <c r="O13">
        <f t="shared" si="4"/>
        <v>24.242424242424242</v>
      </c>
      <c r="P13">
        <f t="shared" si="5"/>
        <v>1.2106223463590542</v>
      </c>
      <c r="U13">
        <v>30</v>
      </c>
      <c r="V13">
        <v>8</v>
      </c>
      <c r="W13">
        <f t="shared" si="62"/>
        <v>335</v>
      </c>
      <c r="X13">
        <f t="shared" si="6"/>
        <v>58.109280138768426</v>
      </c>
      <c r="Y13">
        <f t="shared" si="7"/>
        <v>24.242424242424242</v>
      </c>
      <c r="Z13">
        <f t="shared" si="8"/>
        <v>1.1826854845068204</v>
      </c>
      <c r="AE13">
        <v>21</v>
      </c>
      <c r="AF13">
        <v>8</v>
      </c>
      <c r="AG13">
        <f t="shared" si="63"/>
        <v>250</v>
      </c>
      <c r="AH13">
        <f t="shared" si="9"/>
        <v>58.733701397862092</v>
      </c>
      <c r="AI13">
        <f t="shared" si="10"/>
        <v>22.222222222222221</v>
      </c>
      <c r="AJ13">
        <f t="shared" si="11"/>
        <v>1.0278397744625867</v>
      </c>
      <c r="AO13">
        <v>22</v>
      </c>
      <c r="AP13">
        <v>8</v>
      </c>
      <c r="AQ13">
        <f t="shared" si="64"/>
        <v>289</v>
      </c>
      <c r="AR13">
        <f t="shared" si="12"/>
        <v>53.321033210332104</v>
      </c>
      <c r="AS13">
        <f t="shared" si="13"/>
        <v>21.621621621621621</v>
      </c>
      <c r="AT13">
        <f t="shared" si="14"/>
        <v>0.82277849805525138</v>
      </c>
      <c r="AY13">
        <v>22</v>
      </c>
      <c r="AZ13">
        <v>8</v>
      </c>
      <c r="BA13">
        <f t="shared" si="65"/>
        <v>292</v>
      </c>
      <c r="BB13">
        <f t="shared" si="15"/>
        <v>54.944021074419034</v>
      </c>
      <c r="BC13">
        <f t="shared" si="16"/>
        <v>22.857142857142858</v>
      </c>
      <c r="BD13">
        <f t="shared" si="17"/>
        <v>0.88706100560461221</v>
      </c>
      <c r="BI13">
        <v>13</v>
      </c>
      <c r="BJ13">
        <v>8</v>
      </c>
      <c r="BK13">
        <f t="shared" si="66"/>
        <v>180</v>
      </c>
      <c r="BL13">
        <f t="shared" si="18"/>
        <v>57.831325301204814</v>
      </c>
      <c r="BM13">
        <f t="shared" si="19"/>
        <v>21.621621621621621</v>
      </c>
      <c r="BN13">
        <f t="shared" si="20"/>
        <v>0.84662976229241038</v>
      </c>
      <c r="BS13">
        <v>15</v>
      </c>
      <c r="BT13">
        <v>8</v>
      </c>
      <c r="BU13">
        <f t="shared" si="67"/>
        <v>142</v>
      </c>
      <c r="BV13">
        <f t="shared" si="21"/>
        <v>53.838862559241704</v>
      </c>
      <c r="BW13">
        <f t="shared" si="22"/>
        <v>24.242424242424242</v>
      </c>
      <c r="BX13">
        <f t="shared" si="23"/>
        <v>1.2925463162429986</v>
      </c>
      <c r="CC13">
        <v>6</v>
      </c>
      <c r="CD13">
        <v>8</v>
      </c>
      <c r="CE13">
        <f t="shared" si="68"/>
        <v>75</v>
      </c>
      <c r="CF13">
        <f t="shared" si="24"/>
        <v>56.99088145896657</v>
      </c>
      <c r="CG13">
        <f t="shared" si="25"/>
        <v>25</v>
      </c>
      <c r="CH13">
        <f t="shared" si="26"/>
        <v>1.0685790273556233</v>
      </c>
      <c r="CM13">
        <v>4.5</v>
      </c>
      <c r="CN13">
        <v>8</v>
      </c>
      <c r="CO13">
        <f t="shared" si="69"/>
        <v>76.5</v>
      </c>
      <c r="CP13">
        <f t="shared" si="27"/>
        <v>68.181818181818187</v>
      </c>
      <c r="CQ13">
        <f t="shared" si="28"/>
        <v>32</v>
      </c>
      <c r="CR13">
        <f t="shared" si="29"/>
        <v>1.2032085561497339</v>
      </c>
      <c r="CW13">
        <v>12</v>
      </c>
      <c r="CX13">
        <v>8</v>
      </c>
      <c r="CY13">
        <f t="shared" si="70"/>
        <v>128</v>
      </c>
      <c r="CZ13">
        <f t="shared" si="30"/>
        <v>46.87786119758286</v>
      </c>
      <c r="DA13">
        <f t="shared" si="31"/>
        <v>21.621621621621621</v>
      </c>
      <c r="DB13">
        <f t="shared" si="32"/>
        <v>0.89083773390676935</v>
      </c>
      <c r="DG13">
        <v>9</v>
      </c>
      <c r="DH13">
        <v>8</v>
      </c>
      <c r="DI13">
        <f t="shared" si="71"/>
        <v>130</v>
      </c>
      <c r="DJ13">
        <f t="shared" si="33"/>
        <v>59.455751200548825</v>
      </c>
      <c r="DK13">
        <f t="shared" si="34"/>
        <v>26.666666666666668</v>
      </c>
      <c r="DL13">
        <f t="shared" si="35"/>
        <v>1.0290418477018068</v>
      </c>
      <c r="DQ13">
        <v>11</v>
      </c>
      <c r="DR13">
        <v>8</v>
      </c>
      <c r="DS13">
        <f t="shared" si="72"/>
        <v>116</v>
      </c>
      <c r="DT13">
        <f t="shared" si="36"/>
        <v>62.365591397849464</v>
      </c>
      <c r="DU13">
        <f t="shared" si="37"/>
        <v>26.666666666666668</v>
      </c>
      <c r="DV13">
        <f t="shared" si="38"/>
        <v>1.4784946236559122</v>
      </c>
      <c r="EA13">
        <v>9</v>
      </c>
      <c r="EB13">
        <v>8</v>
      </c>
      <c r="EC13">
        <f t="shared" si="73"/>
        <v>127</v>
      </c>
      <c r="ED13">
        <f t="shared" si="39"/>
        <v>55.598117544051661</v>
      </c>
      <c r="EE13">
        <f t="shared" si="40"/>
        <v>21.052631578947366</v>
      </c>
      <c r="EF13">
        <f t="shared" si="41"/>
        <v>0.77763633116939157</v>
      </c>
      <c r="EK13">
        <v>6</v>
      </c>
      <c r="EL13">
        <v>8</v>
      </c>
      <c r="EM13">
        <f t="shared" si="74"/>
        <v>81.5</v>
      </c>
      <c r="EN13">
        <f t="shared" si="42"/>
        <v>51.877784850413754</v>
      </c>
      <c r="EO13">
        <f t="shared" si="43"/>
        <v>22.222222222222221</v>
      </c>
      <c r="EP13">
        <f t="shared" si="44"/>
        <v>0.79567154678548735</v>
      </c>
      <c r="EU13">
        <v>4.5</v>
      </c>
      <c r="EV13">
        <v>8</v>
      </c>
      <c r="EW13">
        <f t="shared" si="75"/>
        <v>65.5</v>
      </c>
      <c r="EX13">
        <f t="shared" si="45"/>
        <v>61.114998833683231</v>
      </c>
      <c r="EY13">
        <f t="shared" si="46"/>
        <v>23.52941176470588</v>
      </c>
      <c r="EZ13">
        <f t="shared" si="47"/>
        <v>0.92619273041616967</v>
      </c>
      <c r="FE13">
        <v>7</v>
      </c>
      <c r="FF13">
        <v>8</v>
      </c>
      <c r="FG13">
        <f t="shared" si="76"/>
        <v>79</v>
      </c>
      <c r="FH13">
        <f t="shared" si="48"/>
        <v>44.97580415599203</v>
      </c>
      <c r="FI13">
        <f t="shared" si="49"/>
        <v>20</v>
      </c>
      <c r="FJ13">
        <f t="shared" si="50"/>
        <v>0.74722459436379129</v>
      </c>
      <c r="FO13">
        <v>7</v>
      </c>
      <c r="FP13">
        <v>8</v>
      </c>
      <c r="FQ13">
        <f t="shared" si="77"/>
        <v>65.5</v>
      </c>
      <c r="FR13">
        <f t="shared" si="51"/>
        <v>48.214942951785062</v>
      </c>
      <c r="FS13">
        <f t="shared" si="52"/>
        <v>22.857142857142858</v>
      </c>
      <c r="FT13">
        <f t="shared" si="53"/>
        <v>1.1041589988958418</v>
      </c>
      <c r="FY13">
        <v>6</v>
      </c>
      <c r="FZ13">
        <v>8</v>
      </c>
      <c r="GA13">
        <f t="shared" si="78"/>
        <v>70.5</v>
      </c>
      <c r="GB13">
        <f t="shared" si="54"/>
        <v>54.73602484472049</v>
      </c>
      <c r="GC13">
        <f t="shared" si="55"/>
        <v>22.857142857142858</v>
      </c>
      <c r="GD13">
        <f t="shared" si="56"/>
        <v>0.99822537710736325</v>
      </c>
      <c r="GI13">
        <v>5</v>
      </c>
      <c r="GJ13">
        <v>8</v>
      </c>
      <c r="GK13">
        <f t="shared" si="79"/>
        <v>71</v>
      </c>
      <c r="GL13">
        <f t="shared" si="57"/>
        <v>53.787878787878782</v>
      </c>
      <c r="GM13">
        <f t="shared" si="58"/>
        <v>24.242424242424242</v>
      </c>
      <c r="GN13">
        <f>(GM13+GM12)/2*(GL13-GL12)/100</f>
        <v>0.86088154269972306</v>
      </c>
    </row>
    <row r="14" spans="1:199" x14ac:dyDescent="0.2">
      <c r="A14">
        <v>30</v>
      </c>
      <c r="B14">
        <v>9</v>
      </c>
      <c r="C14">
        <f t="shared" si="60"/>
        <v>377</v>
      </c>
      <c r="D14">
        <f t="shared" si="0"/>
        <v>54.900247560798022</v>
      </c>
      <c r="E14">
        <f t="shared" si="1"/>
        <v>18.367346938775512</v>
      </c>
      <c r="F14">
        <f t="shared" si="2"/>
        <v>0.7578391776107557</v>
      </c>
      <c r="K14">
        <v>25</v>
      </c>
      <c r="L14">
        <v>9</v>
      </c>
      <c r="M14">
        <f t="shared" si="61"/>
        <v>321</v>
      </c>
      <c r="N14">
        <f t="shared" si="3"/>
        <v>61.06725007134024</v>
      </c>
      <c r="O14">
        <f t="shared" si="4"/>
        <v>27.27272727272727</v>
      </c>
      <c r="P14">
        <f t="shared" si="5"/>
        <v>1.2250345171490415</v>
      </c>
      <c r="U14">
        <v>30</v>
      </c>
      <c r="V14">
        <v>9</v>
      </c>
      <c r="W14">
        <f t="shared" si="62"/>
        <v>365</v>
      </c>
      <c r="X14">
        <f t="shared" si="6"/>
        <v>63.313096270598436</v>
      </c>
      <c r="Y14">
        <f t="shared" si="7"/>
        <v>27.27272727272727</v>
      </c>
      <c r="Z14">
        <f t="shared" si="8"/>
        <v>1.3403768824410631</v>
      </c>
      <c r="AE14">
        <v>20</v>
      </c>
      <c r="AF14">
        <v>9</v>
      </c>
      <c r="AG14">
        <f t="shared" si="63"/>
        <v>270</v>
      </c>
      <c r="AH14">
        <f t="shared" si="9"/>
        <v>63.43239750969105</v>
      </c>
      <c r="AI14">
        <f t="shared" si="10"/>
        <v>25</v>
      </c>
      <c r="AJ14">
        <f t="shared" si="11"/>
        <v>1.1094143597373931</v>
      </c>
      <c r="AO14">
        <v>22</v>
      </c>
      <c r="AP14">
        <v>9</v>
      </c>
      <c r="AQ14">
        <f t="shared" si="64"/>
        <v>311</v>
      </c>
      <c r="AR14">
        <f t="shared" si="12"/>
        <v>57.38007380073801</v>
      </c>
      <c r="AS14">
        <f t="shared" si="13"/>
        <v>24.324324324324326</v>
      </c>
      <c r="AT14">
        <f t="shared" si="14"/>
        <v>0.9324822977959516</v>
      </c>
      <c r="AY14">
        <v>22</v>
      </c>
      <c r="AZ14">
        <v>9</v>
      </c>
      <c r="BA14">
        <f t="shared" si="65"/>
        <v>314</v>
      </c>
      <c r="BB14">
        <f t="shared" si="15"/>
        <v>59.08363910057389</v>
      </c>
      <c r="BC14">
        <f t="shared" si="16"/>
        <v>25.714285714285712</v>
      </c>
      <c r="BD14">
        <f t="shared" si="17"/>
        <v>1.0053358063518936</v>
      </c>
      <c r="BI14">
        <v>12</v>
      </c>
      <c r="BJ14">
        <v>9</v>
      </c>
      <c r="BK14">
        <f t="shared" si="66"/>
        <v>192</v>
      </c>
      <c r="BL14">
        <f t="shared" si="18"/>
        <v>61.686746987951814</v>
      </c>
      <c r="BM14">
        <f t="shared" si="19"/>
        <v>24.324324324324326</v>
      </c>
      <c r="BN14">
        <f t="shared" si="20"/>
        <v>0.88570498209052717</v>
      </c>
      <c r="BS14">
        <v>15</v>
      </c>
      <c r="BT14">
        <v>9</v>
      </c>
      <c r="BU14">
        <f t="shared" si="67"/>
        <v>157</v>
      </c>
      <c r="BV14">
        <f t="shared" si="21"/>
        <v>59.526066350710906</v>
      </c>
      <c r="BW14">
        <f t="shared" si="22"/>
        <v>27.27272727272727</v>
      </c>
      <c r="BX14">
        <f t="shared" si="23"/>
        <v>1.4648858250754002</v>
      </c>
      <c r="CC14">
        <v>5</v>
      </c>
      <c r="CD14">
        <v>9</v>
      </c>
      <c r="CE14">
        <f t="shared" si="68"/>
        <v>80</v>
      </c>
      <c r="CF14">
        <f t="shared" si="24"/>
        <v>60.790273556231</v>
      </c>
      <c r="CG14">
        <f t="shared" si="25"/>
        <v>28.125</v>
      </c>
      <c r="CH14">
        <f t="shared" si="26"/>
        <v>1.0092135258358643</v>
      </c>
      <c r="CM14">
        <v>4</v>
      </c>
      <c r="CN14">
        <v>9</v>
      </c>
      <c r="CO14">
        <f t="shared" si="69"/>
        <v>80.5</v>
      </c>
      <c r="CP14">
        <f t="shared" si="27"/>
        <v>71.746880570409985</v>
      </c>
      <c r="CQ14">
        <f t="shared" si="28"/>
        <v>36</v>
      </c>
      <c r="CR14">
        <f t="shared" si="29"/>
        <v>1.2121212121212113</v>
      </c>
      <c r="CW14">
        <v>12</v>
      </c>
      <c r="CX14">
        <v>9</v>
      </c>
      <c r="CY14">
        <f t="shared" si="70"/>
        <v>140</v>
      </c>
      <c r="CZ14">
        <f t="shared" si="30"/>
        <v>51.272660684856255</v>
      </c>
      <c r="DA14">
        <f t="shared" si="31"/>
        <v>24.324324324324326</v>
      </c>
      <c r="DB14">
        <f t="shared" si="32"/>
        <v>1.0096160984276721</v>
      </c>
      <c r="DG14">
        <v>9</v>
      </c>
      <c r="DH14">
        <v>9</v>
      </c>
      <c r="DI14">
        <f t="shared" si="71"/>
        <v>139</v>
      </c>
      <c r="DJ14">
        <f t="shared" si="33"/>
        <v>63.571918591356045</v>
      </c>
      <c r="DK14">
        <f t="shared" si="34"/>
        <v>30</v>
      </c>
      <c r="DL14">
        <f t="shared" si="35"/>
        <v>1.1662474273953791</v>
      </c>
      <c r="DQ14">
        <v>11</v>
      </c>
      <c r="DR14">
        <v>9</v>
      </c>
      <c r="DS14">
        <f t="shared" si="72"/>
        <v>127</v>
      </c>
      <c r="DT14">
        <f t="shared" si="36"/>
        <v>68.27956989247312</v>
      </c>
      <c r="DU14">
        <f t="shared" si="37"/>
        <v>30</v>
      </c>
      <c r="DV14">
        <f t="shared" si="38"/>
        <v>1.6756272401433694</v>
      </c>
      <c r="EA14">
        <v>9</v>
      </c>
      <c r="EB14">
        <v>9</v>
      </c>
      <c r="EC14">
        <f t="shared" si="73"/>
        <v>136</v>
      </c>
      <c r="ED14">
        <f t="shared" si="39"/>
        <v>59.538141621976578</v>
      </c>
      <c r="EE14">
        <f t="shared" si="40"/>
        <v>23.684210526315788</v>
      </c>
      <c r="EF14">
        <f t="shared" si="41"/>
        <v>0.88132117532531029</v>
      </c>
      <c r="EK14">
        <v>6</v>
      </c>
      <c r="EL14">
        <v>9</v>
      </c>
      <c r="EM14">
        <f t="shared" si="74"/>
        <v>87.5</v>
      </c>
      <c r="EN14">
        <f t="shared" si="42"/>
        <v>55.697008274984086</v>
      </c>
      <c r="EO14">
        <f t="shared" si="43"/>
        <v>25</v>
      </c>
      <c r="EP14">
        <f t="shared" si="44"/>
        <v>0.9017610863568839</v>
      </c>
      <c r="EU14">
        <v>4</v>
      </c>
      <c r="EV14">
        <v>9</v>
      </c>
      <c r="EW14">
        <f t="shared" si="75"/>
        <v>69.5</v>
      </c>
      <c r="EX14">
        <f t="shared" si="45"/>
        <v>64.847212502915795</v>
      </c>
      <c r="EY14">
        <f t="shared" si="46"/>
        <v>26.47058823529412</v>
      </c>
      <c r="EZ14">
        <f t="shared" si="47"/>
        <v>0.93305341730814106</v>
      </c>
      <c r="FE14">
        <v>6</v>
      </c>
      <c r="FF14">
        <v>9</v>
      </c>
      <c r="FG14">
        <f t="shared" si="76"/>
        <v>85</v>
      </c>
      <c r="FH14">
        <f t="shared" si="48"/>
        <v>48.391688015940794</v>
      </c>
      <c r="FI14">
        <f t="shared" si="49"/>
        <v>22.5</v>
      </c>
      <c r="FJ14">
        <f t="shared" si="50"/>
        <v>0.72587532023911228</v>
      </c>
      <c r="FO14">
        <v>7</v>
      </c>
      <c r="FP14">
        <v>9</v>
      </c>
      <c r="FQ14">
        <f t="shared" si="77"/>
        <v>72.5</v>
      </c>
      <c r="FR14">
        <f t="shared" si="51"/>
        <v>53.367684946632323</v>
      </c>
      <c r="FS14">
        <f t="shared" si="52"/>
        <v>25.714285714285712</v>
      </c>
      <c r="FT14">
        <f t="shared" si="53"/>
        <v>1.2513801987486206</v>
      </c>
      <c r="FY14">
        <v>5</v>
      </c>
      <c r="FZ14">
        <v>9</v>
      </c>
      <c r="GA14">
        <f t="shared" si="78"/>
        <v>75.5</v>
      </c>
      <c r="GB14">
        <f t="shared" si="54"/>
        <v>58.618012422360245</v>
      </c>
      <c r="GC14">
        <f t="shared" si="55"/>
        <v>25.714285714285712</v>
      </c>
      <c r="GD14">
        <f t="shared" si="56"/>
        <v>0.94276841171251191</v>
      </c>
      <c r="GI14">
        <v>5</v>
      </c>
      <c r="GJ14">
        <v>9</v>
      </c>
      <c r="GK14">
        <f>GK13+GI14</f>
        <v>76</v>
      </c>
      <c r="GL14">
        <f t="shared" si="57"/>
        <v>57.575757575757578</v>
      </c>
      <c r="GM14">
        <f t="shared" si="58"/>
        <v>27.27272727272727</v>
      </c>
      <c r="GN14">
        <f t="shared" si="59"/>
        <v>0.97566574839302322</v>
      </c>
    </row>
    <row r="15" spans="1:199" x14ac:dyDescent="0.2">
      <c r="A15">
        <v>28</v>
      </c>
      <c r="B15">
        <v>10</v>
      </c>
      <c r="C15">
        <f t="shared" si="60"/>
        <v>405</v>
      </c>
      <c r="D15">
        <f t="shared" si="0"/>
        <v>58.977719528178255</v>
      </c>
      <c r="E15">
        <f t="shared" si="1"/>
        <v>20.408163265306122</v>
      </c>
      <c r="F15">
        <f t="shared" si="2"/>
        <v>0.79053027939004539</v>
      </c>
      <c r="K15">
        <v>25</v>
      </c>
      <c r="L15">
        <v>10</v>
      </c>
      <c r="M15">
        <f t="shared" si="61"/>
        <v>346</v>
      </c>
      <c r="N15">
        <f t="shared" si="3"/>
        <v>65.823266432036519</v>
      </c>
      <c r="O15">
        <f t="shared" si="4"/>
        <v>30.303030303030305</v>
      </c>
      <c r="P15">
        <f t="shared" si="5"/>
        <v>1.3691562250489289</v>
      </c>
      <c r="U15">
        <v>22</v>
      </c>
      <c r="V15">
        <v>10</v>
      </c>
      <c r="W15">
        <f t="shared" si="62"/>
        <v>387</v>
      </c>
      <c r="X15">
        <f t="shared" si="6"/>
        <v>67.129228100607108</v>
      </c>
      <c r="Y15">
        <f t="shared" si="7"/>
        <v>30.303030303030305</v>
      </c>
      <c r="Z15">
        <f t="shared" si="8"/>
        <v>1.0985834056085571</v>
      </c>
      <c r="AE15">
        <v>17</v>
      </c>
      <c r="AF15">
        <v>10</v>
      </c>
      <c r="AG15">
        <f t="shared" si="63"/>
        <v>287</v>
      </c>
      <c r="AH15">
        <f t="shared" si="9"/>
        <v>67.426289204745686</v>
      </c>
      <c r="AI15">
        <f t="shared" si="10"/>
        <v>27.777777777777779</v>
      </c>
      <c r="AJ15">
        <f t="shared" si="11"/>
        <v>1.0539436417505288</v>
      </c>
      <c r="AO15">
        <v>20</v>
      </c>
      <c r="AP15">
        <v>10</v>
      </c>
      <c r="AQ15">
        <f t="shared" si="64"/>
        <v>331</v>
      </c>
      <c r="AR15">
        <f t="shared" si="12"/>
        <v>61.070110701107019</v>
      </c>
      <c r="AS15">
        <f t="shared" si="13"/>
        <v>27.027027027027028</v>
      </c>
      <c r="AT15">
        <f t="shared" si="14"/>
        <v>0.94744190685150231</v>
      </c>
      <c r="AY15">
        <v>20</v>
      </c>
      <c r="AZ15">
        <v>10</v>
      </c>
      <c r="BA15">
        <f t="shared" si="65"/>
        <v>334</v>
      </c>
      <c r="BB15">
        <f t="shared" si="15"/>
        <v>62.846928215260135</v>
      </c>
      <c r="BC15">
        <f t="shared" si="16"/>
        <v>28.571428571428569</v>
      </c>
      <c r="BD15">
        <f t="shared" si="17"/>
        <v>1.0214641882719806</v>
      </c>
      <c r="BI15">
        <v>12</v>
      </c>
      <c r="BJ15">
        <v>10</v>
      </c>
      <c r="BK15">
        <f t="shared" si="66"/>
        <v>204</v>
      </c>
      <c r="BL15">
        <f t="shared" si="18"/>
        <v>65.5421686746988</v>
      </c>
      <c r="BM15">
        <f t="shared" si="19"/>
        <v>27.027027027027028</v>
      </c>
      <c r="BN15">
        <f t="shared" si="20"/>
        <v>0.98990556821882081</v>
      </c>
      <c r="BS15">
        <v>13</v>
      </c>
      <c r="BT15">
        <v>10</v>
      </c>
      <c r="BU15">
        <f t="shared" si="67"/>
        <v>170</v>
      </c>
      <c r="BV15">
        <f t="shared" si="21"/>
        <v>64.454976303317537</v>
      </c>
      <c r="BW15">
        <f t="shared" si="22"/>
        <v>30.303030303030305</v>
      </c>
      <c r="BX15">
        <f t="shared" si="23"/>
        <v>1.4189286227200908</v>
      </c>
      <c r="CC15">
        <v>5</v>
      </c>
      <c r="CD15">
        <v>10</v>
      </c>
      <c r="CE15">
        <f t="shared" si="68"/>
        <v>85</v>
      </c>
      <c r="CF15">
        <f t="shared" si="24"/>
        <v>64.589665653495445</v>
      </c>
      <c r="CG15">
        <f t="shared" si="25"/>
        <v>31.25</v>
      </c>
      <c r="CH15">
        <f t="shared" si="26"/>
        <v>1.127944528875382</v>
      </c>
      <c r="CM15">
        <v>4</v>
      </c>
      <c r="CN15">
        <v>10</v>
      </c>
      <c r="CO15">
        <f t="shared" si="69"/>
        <v>84.5</v>
      </c>
      <c r="CP15">
        <f t="shared" si="27"/>
        <v>75.311942959001783</v>
      </c>
      <c r="CQ15">
        <f t="shared" si="28"/>
        <v>40</v>
      </c>
      <c r="CR15">
        <f t="shared" si="29"/>
        <v>1.3547237076648833</v>
      </c>
      <c r="CW15">
        <v>10</v>
      </c>
      <c r="CX15">
        <v>10</v>
      </c>
      <c r="CY15">
        <f t="shared" si="70"/>
        <v>150</v>
      </c>
      <c r="CZ15">
        <f t="shared" si="30"/>
        <v>54.934993590917415</v>
      </c>
      <c r="DA15">
        <f t="shared" si="31"/>
        <v>27.027027027027028</v>
      </c>
      <c r="DB15">
        <f t="shared" si="32"/>
        <v>0.94032871912381122</v>
      </c>
      <c r="DG15">
        <v>8</v>
      </c>
      <c r="DH15">
        <v>10</v>
      </c>
      <c r="DI15">
        <f t="shared" si="71"/>
        <v>147</v>
      </c>
      <c r="DJ15">
        <f t="shared" si="33"/>
        <v>67.230734049851364</v>
      </c>
      <c r="DK15">
        <f t="shared" si="34"/>
        <v>33.333333333333329</v>
      </c>
      <c r="DL15">
        <f t="shared" si="35"/>
        <v>1.1586248951901843</v>
      </c>
      <c r="DQ15">
        <v>7</v>
      </c>
      <c r="DR15">
        <v>10</v>
      </c>
      <c r="DS15">
        <f t="shared" si="72"/>
        <v>134</v>
      </c>
      <c r="DT15">
        <f t="shared" si="36"/>
        <v>72.043010752688176</v>
      </c>
      <c r="DU15">
        <f t="shared" si="37"/>
        <v>33.333333333333329</v>
      </c>
      <c r="DV15">
        <f t="shared" si="38"/>
        <v>1.1917562724014343</v>
      </c>
      <c r="EA15">
        <v>8</v>
      </c>
      <c r="EB15">
        <v>10</v>
      </c>
      <c r="EC15">
        <f t="shared" si="73"/>
        <v>144</v>
      </c>
      <c r="ED15">
        <f t="shared" si="39"/>
        <v>63.040385246798735</v>
      </c>
      <c r="EE15">
        <f t="shared" si="40"/>
        <v>26.315789473684209</v>
      </c>
      <c r="EF15">
        <f t="shared" si="41"/>
        <v>0.87556090620553917</v>
      </c>
      <c r="EK15">
        <v>6</v>
      </c>
      <c r="EL15">
        <v>10</v>
      </c>
      <c r="EM15">
        <f t="shared" si="74"/>
        <v>93.5</v>
      </c>
      <c r="EN15">
        <f t="shared" si="42"/>
        <v>59.516231699554424</v>
      </c>
      <c r="EO15">
        <f t="shared" si="43"/>
        <v>27.777777777777779</v>
      </c>
      <c r="EP15">
        <f t="shared" si="44"/>
        <v>1.007850625928284</v>
      </c>
      <c r="EU15">
        <v>4</v>
      </c>
      <c r="EV15">
        <v>10</v>
      </c>
      <c r="EW15">
        <f t="shared" si="75"/>
        <v>73.5</v>
      </c>
      <c r="EX15">
        <f t="shared" si="45"/>
        <v>68.579426172148359</v>
      </c>
      <c r="EY15">
        <f t="shared" si="46"/>
        <v>29.411764705882355</v>
      </c>
      <c r="EZ15">
        <f t="shared" si="47"/>
        <v>1.0428244075796871</v>
      </c>
      <c r="FE15">
        <v>6</v>
      </c>
      <c r="FF15">
        <v>10</v>
      </c>
      <c r="FG15">
        <f t="shared" si="76"/>
        <v>91</v>
      </c>
      <c r="FH15">
        <f t="shared" si="48"/>
        <v>51.807571875889543</v>
      </c>
      <c r="FI15">
        <f t="shared" si="49"/>
        <v>25</v>
      </c>
      <c r="FJ15">
        <f t="shared" si="50"/>
        <v>0.81127241673782802</v>
      </c>
      <c r="FO15">
        <v>5</v>
      </c>
      <c r="FP15">
        <v>10</v>
      </c>
      <c r="FQ15">
        <f t="shared" si="77"/>
        <v>77.5</v>
      </c>
      <c r="FR15">
        <f t="shared" si="51"/>
        <v>57.048214942951795</v>
      </c>
      <c r="FS15">
        <f t="shared" si="52"/>
        <v>28.571428571428569</v>
      </c>
      <c r="FT15">
        <f t="shared" si="53"/>
        <v>0.99900099900099915</v>
      </c>
      <c r="FY15">
        <v>5</v>
      </c>
      <c r="FZ15">
        <v>10</v>
      </c>
      <c r="GA15">
        <f t="shared" si="78"/>
        <v>80.5</v>
      </c>
      <c r="GB15">
        <f t="shared" si="54"/>
        <v>62.5</v>
      </c>
      <c r="GC15">
        <f t="shared" si="55"/>
        <v>28.571428571428569</v>
      </c>
      <c r="GD15">
        <f t="shared" si="56"/>
        <v>1.0536823425022193</v>
      </c>
      <c r="GI15">
        <v>5</v>
      </c>
      <c r="GJ15">
        <v>10</v>
      </c>
      <c r="GK15">
        <f t="shared" si="79"/>
        <v>81</v>
      </c>
      <c r="GL15">
        <f>GK15/GK$38*100</f>
        <v>61.363636363636367</v>
      </c>
      <c r="GM15">
        <f t="shared" si="58"/>
        <v>30.303030303030305</v>
      </c>
      <c r="GN15">
        <f t="shared" si="59"/>
        <v>1.090449954086318</v>
      </c>
    </row>
    <row r="16" spans="1:199" x14ac:dyDescent="0.2">
      <c r="A16">
        <v>25</v>
      </c>
      <c r="B16">
        <v>11</v>
      </c>
      <c r="C16">
        <f t="shared" si="60"/>
        <v>430</v>
      </c>
      <c r="D16">
        <f t="shared" si="0"/>
        <v>62.618319499053456</v>
      </c>
      <c r="E16">
        <f t="shared" si="1"/>
        <v>22.448979591836736</v>
      </c>
      <c r="F16">
        <f t="shared" si="2"/>
        <v>0.78012856518754303</v>
      </c>
      <c r="K16">
        <v>25</v>
      </c>
      <c r="L16">
        <v>11</v>
      </c>
      <c r="M16">
        <f t="shared" si="61"/>
        <v>371</v>
      </c>
      <c r="N16">
        <f t="shared" si="3"/>
        <v>70.579282792732783</v>
      </c>
      <c r="O16">
        <f t="shared" si="4"/>
        <v>33.333333333333329</v>
      </c>
      <c r="P16">
        <f t="shared" si="5"/>
        <v>1.5132779329488113</v>
      </c>
      <c r="U16">
        <v>18</v>
      </c>
      <c r="V16">
        <v>11</v>
      </c>
      <c r="W16">
        <f t="shared" si="62"/>
        <v>405</v>
      </c>
      <c r="X16">
        <f t="shared" si="6"/>
        <v>70.251517779705125</v>
      </c>
      <c r="Y16">
        <f t="shared" si="7"/>
        <v>33.333333333333329</v>
      </c>
      <c r="Z16">
        <f t="shared" si="8"/>
        <v>0.99345580698573277</v>
      </c>
      <c r="AE16">
        <v>15</v>
      </c>
      <c r="AF16">
        <v>11</v>
      </c>
      <c r="AG16">
        <f t="shared" si="63"/>
        <v>302</v>
      </c>
      <c r="AH16">
        <f t="shared" si="9"/>
        <v>70.950311288617414</v>
      </c>
      <c r="AI16">
        <f t="shared" si="10"/>
        <v>30.555555555555557</v>
      </c>
      <c r="AJ16">
        <f t="shared" si="11"/>
        <v>1.0278397744625873</v>
      </c>
      <c r="AO16">
        <v>18</v>
      </c>
      <c r="AP16">
        <v>11</v>
      </c>
      <c r="AQ16">
        <f t="shared" si="64"/>
        <v>349</v>
      </c>
      <c r="AR16">
        <f t="shared" si="12"/>
        <v>64.391143911439116</v>
      </c>
      <c r="AS16">
        <f t="shared" si="13"/>
        <v>29.72972972972973</v>
      </c>
      <c r="AT16">
        <f t="shared" si="14"/>
        <v>0.94245537049964911</v>
      </c>
      <c r="AY16">
        <v>19</v>
      </c>
      <c r="AZ16">
        <v>11</v>
      </c>
      <c r="BA16">
        <f t="shared" si="65"/>
        <v>353</v>
      </c>
      <c r="BB16">
        <f t="shared" si="15"/>
        <v>66.422052874212056</v>
      </c>
      <c r="BC16">
        <f t="shared" si="16"/>
        <v>31.428571428571427</v>
      </c>
      <c r="BD16">
        <f t="shared" si="17"/>
        <v>1.0725373976855763</v>
      </c>
      <c r="BI16">
        <v>12</v>
      </c>
      <c r="BJ16">
        <v>11</v>
      </c>
      <c r="BK16">
        <f t="shared" si="66"/>
        <v>216</v>
      </c>
      <c r="BL16">
        <f t="shared" si="18"/>
        <v>69.397590361445779</v>
      </c>
      <c r="BM16">
        <f t="shared" si="19"/>
        <v>29.72972972972973</v>
      </c>
      <c r="BN16">
        <f t="shared" si="20"/>
        <v>1.0941061543471158</v>
      </c>
      <c r="BS16">
        <v>10</v>
      </c>
      <c r="BT16">
        <v>11</v>
      </c>
      <c r="BU16">
        <f t="shared" si="67"/>
        <v>180</v>
      </c>
      <c r="BV16">
        <f t="shared" si="21"/>
        <v>68.246445497630333</v>
      </c>
      <c r="BW16">
        <f t="shared" si="22"/>
        <v>33.333333333333329</v>
      </c>
      <c r="BX16">
        <f t="shared" si="23"/>
        <v>1.2063765618267988</v>
      </c>
      <c r="CC16">
        <v>5</v>
      </c>
      <c r="CD16">
        <v>11</v>
      </c>
      <c r="CE16">
        <f t="shared" si="68"/>
        <v>90</v>
      </c>
      <c r="CF16">
        <f t="shared" si="24"/>
        <v>68.389057750759889</v>
      </c>
      <c r="CG16">
        <f t="shared" si="25"/>
        <v>34.375</v>
      </c>
      <c r="CH16">
        <f t="shared" si="26"/>
        <v>1.2466755319148959</v>
      </c>
      <c r="CM16">
        <v>3.5</v>
      </c>
      <c r="CN16">
        <v>11</v>
      </c>
      <c r="CO16">
        <f t="shared" si="69"/>
        <v>88</v>
      </c>
      <c r="CP16">
        <f t="shared" si="27"/>
        <v>78.431372549019613</v>
      </c>
      <c r="CQ16">
        <f t="shared" si="28"/>
        <v>44</v>
      </c>
      <c r="CR16">
        <f t="shared" si="29"/>
        <v>1.3101604278074888</v>
      </c>
      <c r="CW16">
        <v>10</v>
      </c>
      <c r="CX16">
        <v>11</v>
      </c>
      <c r="CY16">
        <f t="shared" si="70"/>
        <v>160</v>
      </c>
      <c r="CZ16">
        <f t="shared" si="30"/>
        <v>58.597326496978575</v>
      </c>
      <c r="DA16">
        <f t="shared" si="31"/>
        <v>29.72972972972973</v>
      </c>
      <c r="DB16">
        <f t="shared" si="32"/>
        <v>1.0393106895578967</v>
      </c>
      <c r="DG16">
        <v>7</v>
      </c>
      <c r="DH16">
        <v>11</v>
      </c>
      <c r="DI16">
        <f t="shared" si="71"/>
        <v>154</v>
      </c>
      <c r="DJ16">
        <f t="shared" si="33"/>
        <v>70.432197576034767</v>
      </c>
      <c r="DK16">
        <f t="shared" si="34"/>
        <v>36.666666666666664</v>
      </c>
      <c r="DL16">
        <f t="shared" si="35"/>
        <v>1.1205122341641911</v>
      </c>
      <c r="DQ16">
        <v>7</v>
      </c>
      <c r="DR16">
        <v>11</v>
      </c>
      <c r="DS16">
        <f t="shared" si="72"/>
        <v>141</v>
      </c>
      <c r="DT16">
        <f t="shared" si="36"/>
        <v>75.806451612903231</v>
      </c>
      <c r="DU16">
        <f t="shared" si="37"/>
        <v>36.666666666666664</v>
      </c>
      <c r="DV16">
        <f t="shared" si="38"/>
        <v>1.3172043010752696</v>
      </c>
      <c r="EA16">
        <v>8</v>
      </c>
      <c r="EB16">
        <v>11</v>
      </c>
      <c r="EC16">
        <f t="shared" si="73"/>
        <v>152</v>
      </c>
      <c r="ED16">
        <f t="shared" si="39"/>
        <v>66.542628871620892</v>
      </c>
      <c r="EE16">
        <f t="shared" si="40"/>
        <v>28.947368421052634</v>
      </c>
      <c r="EF16">
        <f t="shared" si="41"/>
        <v>0.96772521212191165</v>
      </c>
      <c r="EK16">
        <v>6</v>
      </c>
      <c r="EL16">
        <v>11</v>
      </c>
      <c r="EM16">
        <f t="shared" si="74"/>
        <v>99.5</v>
      </c>
      <c r="EN16">
        <f t="shared" si="42"/>
        <v>63.335455124124763</v>
      </c>
      <c r="EO16">
        <f t="shared" si="43"/>
        <v>30.555555555555557</v>
      </c>
      <c r="EP16">
        <f t="shared" si="44"/>
        <v>1.1139401654996823</v>
      </c>
      <c r="EU16">
        <v>4</v>
      </c>
      <c r="EV16">
        <v>11</v>
      </c>
      <c r="EW16">
        <f t="shared" si="75"/>
        <v>77.5</v>
      </c>
      <c r="EX16">
        <f t="shared" si="45"/>
        <v>72.311639841380924</v>
      </c>
      <c r="EY16">
        <f t="shared" si="46"/>
        <v>32.352941176470587</v>
      </c>
      <c r="EZ16">
        <f t="shared" si="47"/>
        <v>1.1525953978512331</v>
      </c>
      <c r="FE16">
        <v>6</v>
      </c>
      <c r="FF16">
        <v>11</v>
      </c>
      <c r="FG16">
        <f t="shared" si="76"/>
        <v>97</v>
      </c>
      <c r="FH16">
        <f t="shared" si="48"/>
        <v>55.223455735838314</v>
      </c>
      <c r="FI16">
        <f t="shared" si="49"/>
        <v>27.500000000000004</v>
      </c>
      <c r="FJ16">
        <f t="shared" si="50"/>
        <v>0.89666951323655242</v>
      </c>
      <c r="FO16">
        <v>5</v>
      </c>
      <c r="FP16">
        <v>11</v>
      </c>
      <c r="FQ16">
        <f t="shared" si="77"/>
        <v>82.5</v>
      </c>
      <c r="FR16">
        <f t="shared" si="51"/>
        <v>60.728744939271259</v>
      </c>
      <c r="FS16">
        <f t="shared" si="52"/>
        <v>31.428571428571427</v>
      </c>
      <c r="FT16">
        <f t="shared" si="53"/>
        <v>1.1041589988958393</v>
      </c>
      <c r="FY16">
        <v>4.5</v>
      </c>
      <c r="FZ16">
        <v>11</v>
      </c>
      <c r="GA16">
        <f t="shared" si="78"/>
        <v>85</v>
      </c>
      <c r="GB16">
        <f t="shared" si="54"/>
        <v>65.993788819875775</v>
      </c>
      <c r="GC16">
        <f t="shared" si="55"/>
        <v>31.428571428571427</v>
      </c>
      <c r="GD16">
        <f t="shared" si="56"/>
        <v>1.0481366459627324</v>
      </c>
      <c r="GI16">
        <v>5</v>
      </c>
      <c r="GJ16">
        <v>11</v>
      </c>
      <c r="GK16">
        <f t="shared" si="79"/>
        <v>86</v>
      </c>
      <c r="GL16">
        <f t="shared" si="57"/>
        <v>65.151515151515156</v>
      </c>
      <c r="GM16">
        <f t="shared" si="58"/>
        <v>33.333333333333329</v>
      </c>
      <c r="GN16">
        <f t="shared" si="59"/>
        <v>1.2052341597796146</v>
      </c>
    </row>
    <row r="17" spans="1:196" x14ac:dyDescent="0.2">
      <c r="A17">
        <v>25</v>
      </c>
      <c r="B17">
        <v>12</v>
      </c>
      <c r="C17">
        <f t="shared" si="60"/>
        <v>455</v>
      </c>
      <c r="D17">
        <f t="shared" si="0"/>
        <v>66.258919469928642</v>
      </c>
      <c r="E17">
        <f t="shared" si="1"/>
        <v>24.489795918367346</v>
      </c>
      <c r="F17">
        <f t="shared" si="2"/>
        <v>0.85442652377682948</v>
      </c>
      <c r="K17">
        <v>24</v>
      </c>
      <c r="L17">
        <v>12</v>
      </c>
      <c r="M17">
        <f t="shared" si="61"/>
        <v>395</v>
      </c>
      <c r="N17">
        <f t="shared" si="3"/>
        <v>75.145058499001223</v>
      </c>
      <c r="O17">
        <f t="shared" si="4"/>
        <v>36.363636363636367</v>
      </c>
      <c r="P17">
        <f t="shared" si="5"/>
        <v>1.591103655214759</v>
      </c>
      <c r="U17">
        <v>18</v>
      </c>
      <c r="V17">
        <v>12</v>
      </c>
      <c r="W17">
        <f t="shared" si="62"/>
        <v>423</v>
      </c>
      <c r="X17">
        <f t="shared" si="6"/>
        <v>73.373807458803114</v>
      </c>
      <c r="Y17">
        <f t="shared" si="7"/>
        <v>36.363636363636367</v>
      </c>
      <c r="Z17">
        <f t="shared" si="8"/>
        <v>1.0880706457462685</v>
      </c>
      <c r="AE17">
        <v>15</v>
      </c>
      <c r="AF17">
        <v>12</v>
      </c>
      <c r="AG17">
        <f t="shared" si="63"/>
        <v>317</v>
      </c>
      <c r="AH17">
        <f t="shared" si="9"/>
        <v>74.474333372489127</v>
      </c>
      <c r="AI17">
        <f t="shared" si="10"/>
        <v>33.333333333333329</v>
      </c>
      <c r="AJ17">
        <f t="shared" si="11"/>
        <v>1.125729276792353</v>
      </c>
      <c r="AO17">
        <v>17</v>
      </c>
      <c r="AP17">
        <v>12</v>
      </c>
      <c r="AQ17">
        <f t="shared" si="64"/>
        <v>366</v>
      </c>
      <c r="AR17">
        <f t="shared" si="12"/>
        <v>67.52767527675276</v>
      </c>
      <c r="AS17">
        <f t="shared" si="13"/>
        <v>32.432432432432435</v>
      </c>
      <c r="AT17">
        <f t="shared" si="14"/>
        <v>0.9748678567866732</v>
      </c>
      <c r="AY17">
        <v>18</v>
      </c>
      <c r="AZ17">
        <v>12</v>
      </c>
      <c r="BA17">
        <f t="shared" si="65"/>
        <v>371</v>
      </c>
      <c r="BB17">
        <f t="shared" si="15"/>
        <v>69.809013077429668</v>
      </c>
      <c r="BC17">
        <f t="shared" si="16"/>
        <v>34.285714285714285</v>
      </c>
      <c r="BD17">
        <f t="shared" si="17"/>
        <v>1.1128583524857867</v>
      </c>
      <c r="BI17">
        <v>10</v>
      </c>
      <c r="BJ17">
        <v>12</v>
      </c>
      <c r="BK17">
        <f t="shared" si="66"/>
        <v>226</v>
      </c>
      <c r="BL17">
        <f t="shared" si="18"/>
        <v>72.610441767068266</v>
      </c>
      <c r="BM17">
        <f t="shared" si="19"/>
        <v>32.432432432432435</v>
      </c>
      <c r="BN17">
        <f t="shared" si="20"/>
        <v>0.99858895039617845</v>
      </c>
      <c r="BS17">
        <v>10</v>
      </c>
      <c r="BT17">
        <v>12</v>
      </c>
      <c r="BU17">
        <f t="shared" si="67"/>
        <v>190</v>
      </c>
      <c r="BV17">
        <f t="shared" si="21"/>
        <v>72.037914691943129</v>
      </c>
      <c r="BW17">
        <f t="shared" si="22"/>
        <v>36.363636363636367</v>
      </c>
      <c r="BX17">
        <f t="shared" si="23"/>
        <v>1.3212695677150652</v>
      </c>
      <c r="CC17">
        <v>5</v>
      </c>
      <c r="CD17">
        <v>12</v>
      </c>
      <c r="CE17">
        <f t="shared" si="68"/>
        <v>95</v>
      </c>
      <c r="CF17">
        <f t="shared" si="24"/>
        <v>72.18844984802432</v>
      </c>
      <c r="CG17">
        <f t="shared" si="25"/>
        <v>37.5</v>
      </c>
      <c r="CH17">
        <f t="shared" si="26"/>
        <v>1.3654065349544047</v>
      </c>
      <c r="CM17">
        <v>3.5</v>
      </c>
      <c r="CN17">
        <v>12</v>
      </c>
      <c r="CO17">
        <f t="shared" si="69"/>
        <v>91.5</v>
      </c>
      <c r="CP17">
        <f t="shared" si="27"/>
        <v>81.550802139037444</v>
      </c>
      <c r="CQ17">
        <f t="shared" si="28"/>
        <v>48</v>
      </c>
      <c r="CR17">
        <f t="shared" si="29"/>
        <v>1.434937611408202</v>
      </c>
      <c r="CW17">
        <v>10</v>
      </c>
      <c r="CX17">
        <v>12</v>
      </c>
      <c r="CY17">
        <f t="shared" si="70"/>
        <v>170</v>
      </c>
      <c r="CZ17">
        <f t="shared" si="30"/>
        <v>62.259659403039734</v>
      </c>
      <c r="DA17">
        <f t="shared" si="31"/>
        <v>32.432432432432435</v>
      </c>
      <c r="DB17">
        <f t="shared" si="32"/>
        <v>1.138292659991982</v>
      </c>
      <c r="DG17">
        <v>7</v>
      </c>
      <c r="DH17">
        <v>12</v>
      </c>
      <c r="DI17">
        <f t="shared" si="71"/>
        <v>161</v>
      </c>
      <c r="DJ17">
        <f t="shared" si="33"/>
        <v>73.633661102218156</v>
      </c>
      <c r="DK17">
        <f t="shared" si="34"/>
        <v>40</v>
      </c>
      <c r="DL17">
        <f t="shared" si="35"/>
        <v>1.2272276850369657</v>
      </c>
      <c r="DQ17">
        <v>5</v>
      </c>
      <c r="DR17">
        <v>12</v>
      </c>
      <c r="DS17">
        <f t="shared" si="72"/>
        <v>146</v>
      </c>
      <c r="DT17">
        <f t="shared" si="36"/>
        <v>78.494623655913969</v>
      </c>
      <c r="DU17">
        <f t="shared" si="37"/>
        <v>40</v>
      </c>
      <c r="DV17">
        <f t="shared" si="38"/>
        <v>1.0304659498207827</v>
      </c>
      <c r="EA17">
        <v>7</v>
      </c>
      <c r="EB17">
        <v>12</v>
      </c>
      <c r="EC17">
        <f t="shared" si="73"/>
        <v>159</v>
      </c>
      <c r="ED17">
        <f t="shared" si="39"/>
        <v>69.607092043340273</v>
      </c>
      <c r="EE17">
        <f t="shared" si="40"/>
        <v>31.578947368421051</v>
      </c>
      <c r="EF17">
        <f t="shared" si="41"/>
        <v>0.92740332828349703</v>
      </c>
      <c r="EK17">
        <v>5</v>
      </c>
      <c r="EL17">
        <v>12</v>
      </c>
      <c r="EM17">
        <f t="shared" si="74"/>
        <v>104.5</v>
      </c>
      <c r="EN17">
        <f t="shared" si="42"/>
        <v>66.518141311266703</v>
      </c>
      <c r="EO17">
        <f t="shared" si="43"/>
        <v>33.333333333333329</v>
      </c>
      <c r="EP17">
        <f t="shared" si="44"/>
        <v>1.0166914208925639</v>
      </c>
      <c r="EU17">
        <v>3.5</v>
      </c>
      <c r="EV17">
        <v>12</v>
      </c>
      <c r="EW17">
        <f t="shared" si="75"/>
        <v>81</v>
      </c>
      <c r="EX17">
        <f t="shared" si="45"/>
        <v>75.577326801959416</v>
      </c>
      <c r="EY17">
        <f t="shared" si="46"/>
        <v>35.294117647058826</v>
      </c>
      <c r="EZ17">
        <f t="shared" si="47"/>
        <v>1.1045705896074312</v>
      </c>
      <c r="FE17">
        <v>6</v>
      </c>
      <c r="FF17">
        <v>12</v>
      </c>
      <c r="FG17">
        <f t="shared" si="76"/>
        <v>103</v>
      </c>
      <c r="FH17">
        <f t="shared" si="48"/>
        <v>58.639339595787078</v>
      </c>
      <c r="FI17">
        <f t="shared" si="49"/>
        <v>30</v>
      </c>
      <c r="FJ17">
        <f t="shared" si="50"/>
        <v>0.9820666097352696</v>
      </c>
      <c r="FO17">
        <v>5</v>
      </c>
      <c r="FP17">
        <v>12</v>
      </c>
      <c r="FQ17">
        <f t="shared" si="77"/>
        <v>87.5</v>
      </c>
      <c r="FR17">
        <f t="shared" si="51"/>
        <v>64.40927493559073</v>
      </c>
      <c r="FS17">
        <f t="shared" si="52"/>
        <v>34.285714285714285</v>
      </c>
      <c r="FT17">
        <f t="shared" si="53"/>
        <v>1.2093169987906833</v>
      </c>
      <c r="FY17">
        <v>3.5</v>
      </c>
      <c r="FZ17">
        <v>12</v>
      </c>
      <c r="GA17">
        <f t="shared" si="78"/>
        <v>88.5</v>
      </c>
      <c r="GB17">
        <f t="shared" si="54"/>
        <v>68.711180124223588</v>
      </c>
      <c r="GC17">
        <f t="shared" si="55"/>
        <v>34.285714285714285</v>
      </c>
      <c r="GD17">
        <f t="shared" si="56"/>
        <v>0.89285714285713869</v>
      </c>
      <c r="GI17">
        <v>4</v>
      </c>
      <c r="GJ17">
        <v>12</v>
      </c>
      <c r="GK17">
        <f t="shared" si="79"/>
        <v>90</v>
      </c>
      <c r="GL17">
        <f t="shared" si="57"/>
        <v>68.181818181818173</v>
      </c>
      <c r="GM17">
        <f t="shared" si="58"/>
        <v>36.363636363636367</v>
      </c>
      <c r="GN17">
        <f t="shared" si="59"/>
        <v>1.0560146923783238</v>
      </c>
    </row>
    <row r="18" spans="1:196" x14ac:dyDescent="0.2">
      <c r="A18">
        <v>25</v>
      </c>
      <c r="B18">
        <v>13</v>
      </c>
      <c r="C18">
        <f t="shared" si="60"/>
        <v>480</v>
      </c>
      <c r="D18">
        <f t="shared" si="0"/>
        <v>69.899519440803843</v>
      </c>
      <c r="E18">
        <f t="shared" si="1"/>
        <v>26.530612244897959</v>
      </c>
      <c r="F18">
        <f t="shared" si="2"/>
        <v>0.92872448236612259</v>
      </c>
      <c r="K18">
        <v>20</v>
      </c>
      <c r="L18">
        <v>13</v>
      </c>
      <c r="M18">
        <f t="shared" si="61"/>
        <v>415</v>
      </c>
      <c r="N18">
        <f t="shared" si="3"/>
        <v>78.949871587558249</v>
      </c>
      <c r="O18">
        <f t="shared" si="4"/>
        <v>39.393939393939391</v>
      </c>
      <c r="P18">
        <f t="shared" si="5"/>
        <v>1.4412170789988732</v>
      </c>
      <c r="U18">
        <v>16</v>
      </c>
      <c r="V18">
        <v>13</v>
      </c>
      <c r="W18">
        <f t="shared" si="62"/>
        <v>439</v>
      </c>
      <c r="X18">
        <f t="shared" si="6"/>
        <v>76.14917606244579</v>
      </c>
      <c r="Y18">
        <f t="shared" si="7"/>
        <v>39.393939393939391</v>
      </c>
      <c r="Z18">
        <f t="shared" si="8"/>
        <v>1.0512759862282861</v>
      </c>
      <c r="AE18">
        <v>12</v>
      </c>
      <c r="AF18">
        <v>13</v>
      </c>
      <c r="AG18">
        <f t="shared" si="63"/>
        <v>329</v>
      </c>
      <c r="AH18">
        <f t="shared" si="9"/>
        <v>77.293551039586504</v>
      </c>
      <c r="AI18">
        <f t="shared" si="10"/>
        <v>36.111111111111107</v>
      </c>
      <c r="AJ18">
        <f t="shared" si="11"/>
        <v>0.97889502329769995</v>
      </c>
      <c r="AO18">
        <v>15</v>
      </c>
      <c r="AP18">
        <v>13</v>
      </c>
      <c r="AQ18">
        <f t="shared" si="64"/>
        <v>381</v>
      </c>
      <c r="AR18">
        <f t="shared" si="12"/>
        <v>70.295202952029527</v>
      </c>
      <c r="AS18">
        <f t="shared" si="13"/>
        <v>35.135135135135137</v>
      </c>
      <c r="AT18">
        <f t="shared" si="14"/>
        <v>0.93497556597188092</v>
      </c>
      <c r="AY18">
        <v>18</v>
      </c>
      <c r="AZ18">
        <v>13</v>
      </c>
      <c r="BA18">
        <f t="shared" si="65"/>
        <v>389</v>
      </c>
      <c r="BB18">
        <f t="shared" si="15"/>
        <v>73.19597328064728</v>
      </c>
      <c r="BC18">
        <f t="shared" si="16"/>
        <v>37.142857142857146</v>
      </c>
      <c r="BD18">
        <f t="shared" si="17"/>
        <v>1.20962864400629</v>
      </c>
      <c r="BI18">
        <v>9</v>
      </c>
      <c r="BJ18">
        <v>13</v>
      </c>
      <c r="BK18">
        <f t="shared" si="66"/>
        <v>235</v>
      </c>
      <c r="BL18">
        <f t="shared" si="18"/>
        <v>75.502008032128515</v>
      </c>
      <c r="BM18">
        <f t="shared" si="19"/>
        <v>35.135135135135137</v>
      </c>
      <c r="BN18">
        <f t="shared" si="20"/>
        <v>0.97688049495278673</v>
      </c>
      <c r="BS18">
        <v>10</v>
      </c>
      <c r="BT18">
        <v>13</v>
      </c>
      <c r="BU18">
        <f t="shared" si="67"/>
        <v>200</v>
      </c>
      <c r="BV18">
        <f t="shared" si="21"/>
        <v>75.829383886255926</v>
      </c>
      <c r="BW18">
        <f t="shared" si="22"/>
        <v>39.393939393939391</v>
      </c>
      <c r="BX18">
        <f t="shared" si="23"/>
        <v>1.4361625736033319</v>
      </c>
      <c r="CC18">
        <v>4.5</v>
      </c>
      <c r="CD18">
        <v>13</v>
      </c>
      <c r="CE18">
        <f t="shared" si="68"/>
        <v>99.5</v>
      </c>
      <c r="CF18">
        <f t="shared" si="24"/>
        <v>75.60790273556232</v>
      </c>
      <c r="CG18">
        <f t="shared" si="25"/>
        <v>40.625</v>
      </c>
      <c r="CH18">
        <f t="shared" si="26"/>
        <v>1.3357237841945311</v>
      </c>
      <c r="CM18">
        <v>3</v>
      </c>
      <c r="CN18">
        <v>13</v>
      </c>
      <c r="CO18">
        <f t="shared" si="69"/>
        <v>94.5</v>
      </c>
      <c r="CP18">
        <f t="shared" si="27"/>
        <v>84.224598930481292</v>
      </c>
      <c r="CQ18">
        <f t="shared" si="28"/>
        <v>52</v>
      </c>
      <c r="CR18">
        <f t="shared" si="29"/>
        <v>1.3368983957219243</v>
      </c>
      <c r="CW18">
        <v>10</v>
      </c>
      <c r="CX18">
        <v>13</v>
      </c>
      <c r="CY18">
        <f t="shared" si="70"/>
        <v>180</v>
      </c>
      <c r="CZ18">
        <f t="shared" si="30"/>
        <v>65.921992309100901</v>
      </c>
      <c r="DA18">
        <f t="shared" si="31"/>
        <v>35.135135135135137</v>
      </c>
      <c r="DB18">
        <f t="shared" si="32"/>
        <v>1.23727463042607</v>
      </c>
      <c r="DG18">
        <v>6</v>
      </c>
      <c r="DH18">
        <v>13</v>
      </c>
      <c r="DI18">
        <f t="shared" si="71"/>
        <v>167</v>
      </c>
      <c r="DJ18">
        <f t="shared" si="33"/>
        <v>76.377772696089636</v>
      </c>
      <c r="DK18">
        <f t="shared" si="34"/>
        <v>43.333333333333336</v>
      </c>
      <c r="DL18">
        <f t="shared" si="35"/>
        <v>1.1433798307797836</v>
      </c>
      <c r="DQ18">
        <v>5</v>
      </c>
      <c r="DR18">
        <v>13</v>
      </c>
      <c r="DS18">
        <f t="shared" si="72"/>
        <v>151</v>
      </c>
      <c r="DT18">
        <f t="shared" si="36"/>
        <v>81.182795698924721</v>
      </c>
      <c r="DU18">
        <f t="shared" si="37"/>
        <v>43.333333333333336</v>
      </c>
      <c r="DV18">
        <f t="shared" si="38"/>
        <v>1.1200716845878136</v>
      </c>
      <c r="EA18">
        <v>7</v>
      </c>
      <c r="EB18">
        <v>13</v>
      </c>
      <c r="EC18">
        <f t="shared" si="73"/>
        <v>166</v>
      </c>
      <c r="ED18">
        <f t="shared" si="39"/>
        <v>72.671555215059655</v>
      </c>
      <c r="EE18">
        <f t="shared" si="40"/>
        <v>34.210526315789473</v>
      </c>
      <c r="EF18">
        <f t="shared" si="41"/>
        <v>1.0080470959603227</v>
      </c>
      <c r="EK18">
        <v>5</v>
      </c>
      <c r="EL18">
        <v>13</v>
      </c>
      <c r="EM18">
        <f t="shared" si="74"/>
        <v>109.5</v>
      </c>
      <c r="EN18">
        <f t="shared" si="42"/>
        <v>69.700827498408657</v>
      </c>
      <c r="EO18">
        <f t="shared" si="43"/>
        <v>36.111111111111107</v>
      </c>
      <c r="EP18">
        <f t="shared" si="44"/>
        <v>1.1050993705354004</v>
      </c>
      <c r="EU18">
        <v>3</v>
      </c>
      <c r="EV18">
        <v>13</v>
      </c>
      <c r="EW18">
        <f t="shared" si="75"/>
        <v>84</v>
      </c>
      <c r="EX18">
        <f t="shared" si="45"/>
        <v>78.376487053883835</v>
      </c>
      <c r="EY18">
        <f t="shared" si="46"/>
        <v>38.235294117647058</v>
      </c>
      <c r="EZ18">
        <f t="shared" si="47"/>
        <v>1.0291030337957425</v>
      </c>
      <c r="FE18">
        <v>5.5</v>
      </c>
      <c r="FF18">
        <v>13</v>
      </c>
      <c r="FG18">
        <f t="shared" si="76"/>
        <v>108.5</v>
      </c>
      <c r="FH18">
        <f t="shared" si="48"/>
        <v>61.770566467406773</v>
      </c>
      <c r="FI18">
        <f t="shared" si="49"/>
        <v>32.5</v>
      </c>
      <c r="FJ18">
        <f t="shared" si="50"/>
        <v>0.9785083973811548</v>
      </c>
      <c r="FO18">
        <v>5</v>
      </c>
      <c r="FP18">
        <v>13</v>
      </c>
      <c r="FQ18">
        <f t="shared" si="77"/>
        <v>92.5</v>
      </c>
      <c r="FR18">
        <f t="shared" si="51"/>
        <v>68.089804931910209</v>
      </c>
      <c r="FS18">
        <f t="shared" si="52"/>
        <v>37.142857142857146</v>
      </c>
      <c r="FT18">
        <f t="shared" si="53"/>
        <v>1.314474998685528</v>
      </c>
      <c r="FY18">
        <v>3.5</v>
      </c>
      <c r="FZ18">
        <v>13</v>
      </c>
      <c r="GA18">
        <f t="shared" si="78"/>
        <v>92</v>
      </c>
      <c r="GB18">
        <f t="shared" si="54"/>
        <v>71.428571428571416</v>
      </c>
      <c r="GC18">
        <f t="shared" si="55"/>
        <v>37.142857142857146</v>
      </c>
      <c r="GD18">
        <f t="shared" si="56"/>
        <v>0.97049689440993858</v>
      </c>
      <c r="GI18">
        <v>4</v>
      </c>
      <c r="GJ18">
        <v>13</v>
      </c>
      <c r="GK18">
        <f t="shared" si="79"/>
        <v>94</v>
      </c>
      <c r="GL18">
        <f t="shared" si="57"/>
        <v>71.212121212121218</v>
      </c>
      <c r="GM18">
        <f t="shared" si="58"/>
        <v>39.393939393939391</v>
      </c>
      <c r="GN18">
        <f t="shared" si="59"/>
        <v>1.1478420569329717</v>
      </c>
    </row>
    <row r="19" spans="1:196" x14ac:dyDescent="0.2">
      <c r="A19">
        <v>22</v>
      </c>
      <c r="B19">
        <v>14</v>
      </c>
      <c r="C19">
        <f t="shared" si="60"/>
        <v>502</v>
      </c>
      <c r="D19">
        <f t="shared" si="0"/>
        <v>73.103247415174039</v>
      </c>
      <c r="E19">
        <f t="shared" si="1"/>
        <v>28.571428571428569</v>
      </c>
      <c r="F19">
        <f t="shared" si="2"/>
        <v>0.88265974804076819</v>
      </c>
      <c r="K19">
        <v>18</v>
      </c>
      <c r="L19">
        <v>14</v>
      </c>
      <c r="M19">
        <f t="shared" si="61"/>
        <v>433</v>
      </c>
      <c r="N19">
        <f t="shared" si="3"/>
        <v>82.374203367259568</v>
      </c>
      <c r="O19">
        <f t="shared" si="4"/>
        <v>42.424242424242422</v>
      </c>
      <c r="P19">
        <f t="shared" si="5"/>
        <v>1.4008630007869032</v>
      </c>
      <c r="U19">
        <v>15</v>
      </c>
      <c r="V19">
        <v>14</v>
      </c>
      <c r="W19">
        <f t="shared" si="62"/>
        <v>454</v>
      </c>
      <c r="X19">
        <f t="shared" si="6"/>
        <v>78.751084128360787</v>
      </c>
      <c r="Y19">
        <f t="shared" si="7"/>
        <v>42.424242424242422</v>
      </c>
      <c r="Z19">
        <f t="shared" si="8"/>
        <v>1.0644169360561353</v>
      </c>
      <c r="AE19">
        <v>12</v>
      </c>
      <c r="AF19">
        <v>14</v>
      </c>
      <c r="AG19">
        <f t="shared" si="63"/>
        <v>341</v>
      </c>
      <c r="AH19">
        <f t="shared" si="9"/>
        <v>80.112768706683894</v>
      </c>
      <c r="AI19">
        <f t="shared" si="10"/>
        <v>38.888888888888893</v>
      </c>
      <c r="AJ19">
        <f t="shared" si="11"/>
        <v>1.0572066251615215</v>
      </c>
      <c r="AO19">
        <v>15</v>
      </c>
      <c r="AP19">
        <v>14</v>
      </c>
      <c r="AQ19">
        <f t="shared" si="64"/>
        <v>396</v>
      </c>
      <c r="AR19">
        <f t="shared" si="12"/>
        <v>73.062730627306266</v>
      </c>
      <c r="AS19">
        <f t="shared" si="13"/>
        <v>37.837837837837839</v>
      </c>
      <c r="AT19">
        <f t="shared" si="14"/>
        <v>1.009773611249621</v>
      </c>
      <c r="AY19">
        <v>18</v>
      </c>
      <c r="AZ19">
        <v>14</v>
      </c>
      <c r="BA19">
        <f t="shared" si="65"/>
        <v>407</v>
      </c>
      <c r="BB19">
        <f t="shared" si="15"/>
        <v>76.582933483864892</v>
      </c>
      <c r="BC19">
        <f t="shared" si="16"/>
        <v>40</v>
      </c>
      <c r="BD19">
        <f t="shared" si="17"/>
        <v>1.3063989355267929</v>
      </c>
      <c r="BI19">
        <v>8</v>
      </c>
      <c r="BJ19">
        <v>14</v>
      </c>
      <c r="BK19">
        <f t="shared" si="66"/>
        <v>243</v>
      </c>
      <c r="BL19">
        <f t="shared" si="18"/>
        <v>78.07228915662651</v>
      </c>
      <c r="BM19">
        <f t="shared" si="19"/>
        <v>37.837837837837839</v>
      </c>
      <c r="BN19">
        <f t="shared" si="20"/>
        <v>0.93780527515467393</v>
      </c>
      <c r="BS19">
        <v>9</v>
      </c>
      <c r="BT19">
        <v>14</v>
      </c>
      <c r="BU19">
        <f t="shared" si="67"/>
        <v>209</v>
      </c>
      <c r="BV19">
        <f t="shared" si="21"/>
        <v>79.241706161137444</v>
      </c>
      <c r="BW19">
        <f t="shared" si="22"/>
        <v>42.424242424242422</v>
      </c>
      <c r="BX19">
        <f t="shared" si="23"/>
        <v>1.395950021542439</v>
      </c>
      <c r="CC19">
        <v>4</v>
      </c>
      <c r="CD19">
        <v>14</v>
      </c>
      <c r="CE19">
        <f t="shared" si="68"/>
        <v>103.5</v>
      </c>
      <c r="CF19">
        <f t="shared" si="24"/>
        <v>78.647416413373861</v>
      </c>
      <c r="CG19">
        <f t="shared" si="25"/>
        <v>43.75</v>
      </c>
      <c r="CH19">
        <f t="shared" si="26"/>
        <v>1.2822948328267441</v>
      </c>
      <c r="CM19">
        <v>3</v>
      </c>
      <c r="CN19">
        <v>14</v>
      </c>
      <c r="CO19">
        <f t="shared" si="69"/>
        <v>97.5</v>
      </c>
      <c r="CP19">
        <f t="shared" si="27"/>
        <v>86.898395721925141</v>
      </c>
      <c r="CQ19">
        <f t="shared" si="28"/>
        <v>56.000000000000007</v>
      </c>
      <c r="CR19">
        <f t="shared" si="29"/>
        <v>1.4438502673796783</v>
      </c>
      <c r="CW19">
        <v>9</v>
      </c>
      <c r="CX19">
        <v>14</v>
      </c>
      <c r="CY19">
        <f t="shared" si="70"/>
        <v>189</v>
      </c>
      <c r="CZ19">
        <f t="shared" si="30"/>
        <v>69.218091924555935</v>
      </c>
      <c r="DA19">
        <f t="shared" si="31"/>
        <v>37.837837837837839</v>
      </c>
      <c r="DB19">
        <f t="shared" si="32"/>
        <v>1.2026309407741342</v>
      </c>
      <c r="DG19">
        <v>6</v>
      </c>
      <c r="DH19">
        <v>14</v>
      </c>
      <c r="DI19">
        <f t="shared" si="71"/>
        <v>173</v>
      </c>
      <c r="DJ19">
        <f t="shared" si="33"/>
        <v>79.121884289961116</v>
      </c>
      <c r="DK19">
        <f t="shared" si="34"/>
        <v>46.666666666666664</v>
      </c>
      <c r="DL19">
        <f t="shared" si="35"/>
        <v>1.234850217242166</v>
      </c>
      <c r="DQ19">
        <v>5</v>
      </c>
      <c r="DR19">
        <v>14</v>
      </c>
      <c r="DS19">
        <f t="shared" si="72"/>
        <v>156</v>
      </c>
      <c r="DT19">
        <f t="shared" si="36"/>
        <v>83.870967741935488</v>
      </c>
      <c r="DU19">
        <f t="shared" si="37"/>
        <v>46.666666666666664</v>
      </c>
      <c r="DV19">
        <f t="shared" si="38"/>
        <v>1.2096774193548447</v>
      </c>
      <c r="EA19">
        <v>6</v>
      </c>
      <c r="EB19">
        <v>14</v>
      </c>
      <c r="EC19">
        <f t="shared" si="73"/>
        <v>172</v>
      </c>
      <c r="ED19">
        <f t="shared" si="39"/>
        <v>75.298237933676276</v>
      </c>
      <c r="EE19">
        <f t="shared" si="40"/>
        <v>36.84210526315789</v>
      </c>
      <c r="EF19">
        <f t="shared" si="41"/>
        <v>0.93316359740327326</v>
      </c>
      <c r="EK19">
        <v>5</v>
      </c>
      <c r="EL19">
        <v>14</v>
      </c>
      <c r="EM19">
        <f t="shared" si="74"/>
        <v>114.5</v>
      </c>
      <c r="EN19">
        <f t="shared" si="42"/>
        <v>72.883513685550611</v>
      </c>
      <c r="EO19">
        <f t="shared" si="43"/>
        <v>38.888888888888893</v>
      </c>
      <c r="EP19">
        <f t="shared" si="44"/>
        <v>1.1935073201782327</v>
      </c>
      <c r="EU19">
        <v>2.5</v>
      </c>
      <c r="EV19">
        <v>14</v>
      </c>
      <c r="EW19">
        <f t="shared" si="75"/>
        <v>86.5</v>
      </c>
      <c r="EX19">
        <f t="shared" si="45"/>
        <v>80.709120597154197</v>
      </c>
      <c r="EY19">
        <f t="shared" si="46"/>
        <v>41.17647058823529</v>
      </c>
      <c r="EZ19">
        <f t="shared" si="47"/>
        <v>0.92619273041617289</v>
      </c>
      <c r="FE19">
        <v>5.5</v>
      </c>
      <c r="FF19">
        <v>14</v>
      </c>
      <c r="FG19">
        <f t="shared" si="76"/>
        <v>114</v>
      </c>
      <c r="FH19">
        <f t="shared" si="48"/>
        <v>64.901793339026469</v>
      </c>
      <c r="FI19">
        <f t="shared" si="49"/>
        <v>35</v>
      </c>
      <c r="FJ19">
        <f t="shared" si="50"/>
        <v>1.0567890691716473</v>
      </c>
      <c r="FO19">
        <v>5</v>
      </c>
      <c r="FP19">
        <v>14</v>
      </c>
      <c r="FQ19">
        <f t="shared" si="77"/>
        <v>97.5</v>
      </c>
      <c r="FR19">
        <f t="shared" si="51"/>
        <v>71.770334928229673</v>
      </c>
      <c r="FS19">
        <f t="shared" si="52"/>
        <v>40</v>
      </c>
      <c r="FT19">
        <f t="shared" si="53"/>
        <v>1.4196329985803646</v>
      </c>
      <c r="FY19">
        <v>3</v>
      </c>
      <c r="FZ19">
        <v>14</v>
      </c>
      <c r="GA19">
        <f t="shared" si="78"/>
        <v>95</v>
      </c>
      <c r="GB19">
        <f t="shared" si="54"/>
        <v>73.757763975155271</v>
      </c>
      <c r="GC19">
        <f t="shared" si="55"/>
        <v>40</v>
      </c>
      <c r="GD19">
        <f t="shared" si="56"/>
        <v>0.89840283939662957</v>
      </c>
      <c r="GI19">
        <v>4</v>
      </c>
      <c r="GJ19">
        <v>14</v>
      </c>
      <c r="GK19">
        <f t="shared" si="79"/>
        <v>98</v>
      </c>
      <c r="GL19">
        <f t="shared" si="57"/>
        <v>74.242424242424249</v>
      </c>
      <c r="GM19">
        <f t="shared" si="58"/>
        <v>42.424242424242422</v>
      </c>
      <c r="GN19">
        <f t="shared" si="59"/>
        <v>1.2396694214876036</v>
      </c>
    </row>
    <row r="20" spans="1:196" x14ac:dyDescent="0.2">
      <c r="A20">
        <v>18</v>
      </c>
      <c r="B20">
        <v>15</v>
      </c>
      <c r="C20">
        <f t="shared" si="60"/>
        <v>520</v>
      </c>
      <c r="D20">
        <f t="shared" si="0"/>
        <v>75.724479394204167</v>
      </c>
      <c r="E20">
        <f t="shared" si="1"/>
        <v>30.612244897959183</v>
      </c>
      <c r="F20">
        <f t="shared" si="2"/>
        <v>0.77567068767218073</v>
      </c>
      <c r="K20">
        <v>13</v>
      </c>
      <c r="L20">
        <v>15</v>
      </c>
      <c r="M20">
        <f t="shared" si="61"/>
        <v>446</v>
      </c>
      <c r="N20">
        <f t="shared" si="3"/>
        <v>84.847331874821634</v>
      </c>
      <c r="O20">
        <f t="shared" si="4"/>
        <v>45.454545454545453</v>
      </c>
      <c r="P20">
        <f t="shared" si="5"/>
        <v>1.0866776775651501</v>
      </c>
      <c r="U20">
        <v>15</v>
      </c>
      <c r="V20">
        <v>15</v>
      </c>
      <c r="W20">
        <f t="shared" si="62"/>
        <v>469</v>
      </c>
      <c r="X20">
        <f t="shared" si="6"/>
        <v>81.352992194275799</v>
      </c>
      <c r="Y20">
        <f t="shared" si="7"/>
        <v>45.454545454545453</v>
      </c>
      <c r="Z20">
        <f t="shared" si="8"/>
        <v>1.1432626350232629</v>
      </c>
      <c r="AE20">
        <v>12</v>
      </c>
      <c r="AF20">
        <v>15</v>
      </c>
      <c r="AG20">
        <f t="shared" si="63"/>
        <v>353</v>
      </c>
      <c r="AH20">
        <f t="shared" si="9"/>
        <v>82.931986373781271</v>
      </c>
      <c r="AI20">
        <f t="shared" si="10"/>
        <v>41.666666666666671</v>
      </c>
      <c r="AJ20">
        <f t="shared" si="11"/>
        <v>1.1355182270253323</v>
      </c>
      <c r="AO20">
        <v>15</v>
      </c>
      <c r="AP20">
        <v>15</v>
      </c>
      <c r="AQ20">
        <f t="shared" si="64"/>
        <v>411</v>
      </c>
      <c r="AR20">
        <f t="shared" si="12"/>
        <v>75.830258302583033</v>
      </c>
      <c r="AS20">
        <f t="shared" si="13"/>
        <v>40.54054054054054</v>
      </c>
      <c r="AT20">
        <f t="shared" si="14"/>
        <v>1.0845716565273817</v>
      </c>
      <c r="AY20">
        <v>15</v>
      </c>
      <c r="AZ20">
        <v>15</v>
      </c>
      <c r="BA20">
        <f t="shared" si="65"/>
        <v>422</v>
      </c>
      <c r="BB20">
        <f t="shared" si="15"/>
        <v>79.405400319879575</v>
      </c>
      <c r="BC20">
        <f t="shared" si="16"/>
        <v>42.857142857142854</v>
      </c>
      <c r="BD20">
        <f t="shared" si="17"/>
        <v>1.1693076892060832</v>
      </c>
      <c r="BI20">
        <v>8</v>
      </c>
      <c r="BJ20">
        <v>15</v>
      </c>
      <c r="BK20">
        <f t="shared" si="66"/>
        <v>251</v>
      </c>
      <c r="BL20">
        <f t="shared" si="18"/>
        <v>80.642570281124492</v>
      </c>
      <c r="BM20">
        <f t="shared" si="19"/>
        <v>40.54054054054054</v>
      </c>
      <c r="BN20">
        <f t="shared" si="20"/>
        <v>1.0072723325735333</v>
      </c>
      <c r="BS20">
        <v>8</v>
      </c>
      <c r="BT20">
        <v>15</v>
      </c>
      <c r="BU20">
        <f t="shared" si="67"/>
        <v>217</v>
      </c>
      <c r="BV20">
        <f t="shared" si="21"/>
        <v>82.274881516587669</v>
      </c>
      <c r="BW20">
        <f t="shared" si="22"/>
        <v>45.454545454545453</v>
      </c>
      <c r="BX20">
        <f t="shared" si="23"/>
        <v>1.3327588683038869</v>
      </c>
      <c r="CC20">
        <v>3</v>
      </c>
      <c r="CD20">
        <v>15</v>
      </c>
      <c r="CE20">
        <f t="shared" si="68"/>
        <v>106.5</v>
      </c>
      <c r="CF20">
        <f t="shared" si="24"/>
        <v>80.927051671732528</v>
      </c>
      <c r="CG20">
        <f t="shared" si="25"/>
        <v>46.875</v>
      </c>
      <c r="CH20">
        <f t="shared" si="26"/>
        <v>1.0329597264437709</v>
      </c>
      <c r="CM20">
        <v>2.5</v>
      </c>
      <c r="CN20">
        <v>15</v>
      </c>
      <c r="CO20">
        <f t="shared" si="69"/>
        <v>100</v>
      </c>
      <c r="CP20">
        <f t="shared" si="27"/>
        <v>89.126559714795022</v>
      </c>
      <c r="CQ20">
        <f t="shared" si="28"/>
        <v>60</v>
      </c>
      <c r="CR20">
        <f t="shared" si="29"/>
        <v>1.2923351158645309</v>
      </c>
      <c r="CW20">
        <v>9</v>
      </c>
      <c r="CX20">
        <v>15</v>
      </c>
      <c r="CY20">
        <f t="shared" si="70"/>
        <v>198</v>
      </c>
      <c r="CZ20">
        <f t="shared" si="30"/>
        <v>72.514191540010984</v>
      </c>
      <c r="DA20">
        <f t="shared" si="31"/>
        <v>40.54054054054054</v>
      </c>
      <c r="DB20">
        <f t="shared" si="32"/>
        <v>1.2917147141648164</v>
      </c>
      <c r="DG20">
        <v>6</v>
      </c>
      <c r="DH20">
        <v>15</v>
      </c>
      <c r="DI20">
        <f t="shared" si="71"/>
        <v>179</v>
      </c>
      <c r="DJ20">
        <f t="shared" si="33"/>
        <v>81.865995883832611</v>
      </c>
      <c r="DK20">
        <f t="shared" si="34"/>
        <v>50</v>
      </c>
      <c r="DL20">
        <f t="shared" si="35"/>
        <v>1.3263206037045554</v>
      </c>
      <c r="DQ20">
        <v>3.5</v>
      </c>
      <c r="DR20">
        <v>15</v>
      </c>
      <c r="DS20">
        <f t="shared" si="72"/>
        <v>159.5</v>
      </c>
      <c r="DT20">
        <f t="shared" si="36"/>
        <v>85.752688172043008</v>
      </c>
      <c r="DU20">
        <f t="shared" si="37"/>
        <v>50</v>
      </c>
      <c r="DV20">
        <f t="shared" si="38"/>
        <v>0.90949820788530156</v>
      </c>
      <c r="EA20">
        <v>6</v>
      </c>
      <c r="EB20">
        <v>15</v>
      </c>
      <c r="EC20">
        <f t="shared" si="73"/>
        <v>178</v>
      </c>
      <c r="ED20">
        <f t="shared" si="39"/>
        <v>77.924920652292883</v>
      </c>
      <c r="EE20">
        <f t="shared" si="40"/>
        <v>39.473684210526315</v>
      </c>
      <c r="EF20">
        <f t="shared" si="41"/>
        <v>1.0022868268405474</v>
      </c>
      <c r="EK20">
        <v>5</v>
      </c>
      <c r="EL20">
        <v>15</v>
      </c>
      <c r="EM20">
        <f t="shared" si="74"/>
        <v>119.5</v>
      </c>
      <c r="EN20">
        <f t="shared" si="42"/>
        <v>76.06619987269255</v>
      </c>
      <c r="EO20">
        <f t="shared" si="43"/>
        <v>41.666666666666671</v>
      </c>
      <c r="EP20">
        <f t="shared" si="44"/>
        <v>1.2819152698210592</v>
      </c>
      <c r="EU20">
        <v>2.5</v>
      </c>
      <c r="EV20">
        <v>15</v>
      </c>
      <c r="EW20">
        <f t="shared" si="75"/>
        <v>89</v>
      </c>
      <c r="EX20">
        <f t="shared" si="45"/>
        <v>83.041754140424544</v>
      </c>
      <c r="EY20">
        <f t="shared" si="46"/>
        <v>44.117647058823529</v>
      </c>
      <c r="EZ20">
        <f t="shared" si="47"/>
        <v>0.99479959933588336</v>
      </c>
      <c r="FE20">
        <v>5</v>
      </c>
      <c r="FF20">
        <v>15</v>
      </c>
      <c r="FG20">
        <f t="shared" si="76"/>
        <v>119</v>
      </c>
      <c r="FH20">
        <f t="shared" si="48"/>
        <v>67.74836322231711</v>
      </c>
      <c r="FI20">
        <f t="shared" si="49"/>
        <v>37.5</v>
      </c>
      <c r="FJ20">
        <f t="shared" si="50"/>
        <v>1.0318815826928573</v>
      </c>
      <c r="FO20">
        <v>5</v>
      </c>
      <c r="FP20">
        <v>15</v>
      </c>
      <c r="FQ20">
        <f t="shared" si="77"/>
        <v>102.5</v>
      </c>
      <c r="FR20">
        <f t="shared" si="51"/>
        <v>75.450864924549137</v>
      </c>
      <c r="FS20">
        <f t="shared" si="52"/>
        <v>42.857142857142854</v>
      </c>
      <c r="FT20">
        <f t="shared" si="53"/>
        <v>1.5247909984752068</v>
      </c>
      <c r="FY20">
        <v>3</v>
      </c>
      <c r="FZ20">
        <v>15</v>
      </c>
      <c r="GA20">
        <f t="shared" si="78"/>
        <v>98</v>
      </c>
      <c r="GB20">
        <f t="shared" si="54"/>
        <v>76.086956521739125</v>
      </c>
      <c r="GC20">
        <f t="shared" si="55"/>
        <v>42.857142857142854</v>
      </c>
      <c r="GD20">
        <f t="shared" si="56"/>
        <v>0.96495119787045414</v>
      </c>
      <c r="GI20">
        <v>3</v>
      </c>
      <c r="GJ20">
        <v>15</v>
      </c>
      <c r="GK20">
        <f t="shared" si="79"/>
        <v>101</v>
      </c>
      <c r="GL20">
        <f t="shared" si="57"/>
        <v>76.515151515151516</v>
      </c>
      <c r="GM20">
        <f t="shared" si="58"/>
        <v>45.454545454545453</v>
      </c>
      <c r="GN20">
        <f t="shared" si="59"/>
        <v>0.99862258953167748</v>
      </c>
    </row>
    <row r="21" spans="1:196" x14ac:dyDescent="0.2">
      <c r="A21">
        <v>18</v>
      </c>
      <c r="B21">
        <v>16</v>
      </c>
      <c r="C21">
        <f t="shared" si="60"/>
        <v>538</v>
      </c>
      <c r="D21">
        <f t="shared" si="0"/>
        <v>78.345711373234323</v>
      </c>
      <c r="E21">
        <f t="shared" si="1"/>
        <v>32.653061224489797</v>
      </c>
      <c r="F21">
        <f t="shared" si="2"/>
        <v>0.82916521785647801</v>
      </c>
      <c r="K21">
        <v>12</v>
      </c>
      <c r="L21">
        <v>16</v>
      </c>
      <c r="M21">
        <f t="shared" si="61"/>
        <v>458</v>
      </c>
      <c r="N21">
        <f t="shared" si="3"/>
        <v>87.130219727955847</v>
      </c>
      <c r="O21">
        <f t="shared" si="4"/>
        <v>48.484848484848484</v>
      </c>
      <c r="P21">
        <f t="shared" si="5"/>
        <v>1.0722655067751605</v>
      </c>
      <c r="U21">
        <v>13</v>
      </c>
      <c r="V21">
        <v>16</v>
      </c>
      <c r="W21">
        <f t="shared" si="62"/>
        <v>482</v>
      </c>
      <c r="X21">
        <f t="shared" si="6"/>
        <v>83.60797918473547</v>
      </c>
      <c r="Y21">
        <f t="shared" si="7"/>
        <v>48.484848484848484</v>
      </c>
      <c r="Z21">
        <f t="shared" si="8"/>
        <v>1.0591605561249968</v>
      </c>
      <c r="AE21">
        <v>10</v>
      </c>
      <c r="AF21">
        <v>16</v>
      </c>
      <c r="AG21">
        <f t="shared" si="63"/>
        <v>363</v>
      </c>
      <c r="AH21">
        <f t="shared" si="9"/>
        <v>85.281334429695761</v>
      </c>
      <c r="AI21">
        <f t="shared" si="10"/>
        <v>44.444444444444443</v>
      </c>
      <c r="AJ21">
        <f t="shared" si="11"/>
        <v>1.0115248574076277</v>
      </c>
      <c r="AO21">
        <v>14</v>
      </c>
      <c r="AP21">
        <v>16</v>
      </c>
      <c r="AQ21">
        <f t="shared" si="64"/>
        <v>425</v>
      </c>
      <c r="AR21">
        <f t="shared" si="12"/>
        <v>78.413284132841326</v>
      </c>
      <c r="AS21">
        <f t="shared" si="13"/>
        <v>43.243243243243242</v>
      </c>
      <c r="AT21">
        <f t="shared" si="14"/>
        <v>1.0820783883514471</v>
      </c>
      <c r="AY21">
        <v>14</v>
      </c>
      <c r="AZ21">
        <v>16</v>
      </c>
      <c r="BA21">
        <f t="shared" si="65"/>
        <v>436</v>
      </c>
      <c r="BB21">
        <f t="shared" si="15"/>
        <v>82.039702700159935</v>
      </c>
      <c r="BC21">
        <f t="shared" si="16"/>
        <v>45.714285714285715</v>
      </c>
      <c r="BD21">
        <f t="shared" si="17"/>
        <v>1.1666196255527308</v>
      </c>
      <c r="BI21">
        <v>8</v>
      </c>
      <c r="BJ21">
        <v>16</v>
      </c>
      <c r="BK21">
        <f t="shared" si="66"/>
        <v>259</v>
      </c>
      <c r="BL21">
        <f t="shared" si="18"/>
        <v>83.212851405622487</v>
      </c>
      <c r="BM21">
        <f t="shared" si="19"/>
        <v>43.243243243243242</v>
      </c>
      <c r="BN21">
        <f t="shared" si="20"/>
        <v>1.0767393899924034</v>
      </c>
      <c r="BS21">
        <v>7</v>
      </c>
      <c r="BT21">
        <v>16</v>
      </c>
      <c r="BU21">
        <f t="shared" si="67"/>
        <v>224</v>
      </c>
      <c r="BV21">
        <f t="shared" si="21"/>
        <v>84.928909952606631</v>
      </c>
      <c r="BW21">
        <f t="shared" si="22"/>
        <v>48.484848484848484</v>
      </c>
      <c r="BX21">
        <f t="shared" si="23"/>
        <v>1.2465891138876941</v>
      </c>
      <c r="CC21">
        <v>3</v>
      </c>
      <c r="CD21">
        <v>16</v>
      </c>
      <c r="CE21">
        <f t="shared" si="68"/>
        <v>109.5</v>
      </c>
      <c r="CF21">
        <f t="shared" si="24"/>
        <v>83.206686930091195</v>
      </c>
      <c r="CG21">
        <f t="shared" si="25"/>
        <v>50</v>
      </c>
      <c r="CH21">
        <f t="shared" si="26"/>
        <v>1.1041983282674792</v>
      </c>
      <c r="CM21">
        <v>2.5</v>
      </c>
      <c r="CN21">
        <v>16</v>
      </c>
      <c r="CO21">
        <f t="shared" si="69"/>
        <v>102.5</v>
      </c>
      <c r="CP21">
        <f t="shared" si="27"/>
        <v>91.354723707664903</v>
      </c>
      <c r="CQ21">
        <f t="shared" si="28"/>
        <v>64</v>
      </c>
      <c r="CR21">
        <f t="shared" si="29"/>
        <v>1.3814616755793261</v>
      </c>
      <c r="CW21">
        <v>8</v>
      </c>
      <c r="CX21">
        <v>16</v>
      </c>
      <c r="CY21">
        <f t="shared" si="70"/>
        <v>206</v>
      </c>
      <c r="CZ21">
        <f t="shared" si="30"/>
        <v>75.444057864859914</v>
      </c>
      <c r="DA21">
        <f t="shared" si="31"/>
        <v>43.243243243243242</v>
      </c>
      <c r="DB21">
        <f t="shared" si="32"/>
        <v>1.22737643338266</v>
      </c>
      <c r="DG21">
        <v>6</v>
      </c>
      <c r="DH21">
        <v>16</v>
      </c>
      <c r="DI21">
        <f t="shared" si="71"/>
        <v>185</v>
      </c>
      <c r="DJ21">
        <f t="shared" si="33"/>
        <v>84.610107477704091</v>
      </c>
      <c r="DK21">
        <f t="shared" si="34"/>
        <v>53.333333333333336</v>
      </c>
      <c r="DL21">
        <f t="shared" si="35"/>
        <v>1.4177909901669314</v>
      </c>
      <c r="DQ21">
        <v>3.5</v>
      </c>
      <c r="DR21">
        <v>16</v>
      </c>
      <c r="DS21">
        <f t="shared" si="72"/>
        <v>163</v>
      </c>
      <c r="DT21">
        <f t="shared" si="36"/>
        <v>87.634408602150543</v>
      </c>
      <c r="DU21">
        <f t="shared" si="37"/>
        <v>53.333333333333336</v>
      </c>
      <c r="DV21">
        <f t="shared" si="38"/>
        <v>0.97222222222222654</v>
      </c>
      <c r="EA21">
        <v>6</v>
      </c>
      <c r="EB21">
        <v>16</v>
      </c>
      <c r="EC21">
        <f t="shared" si="73"/>
        <v>184</v>
      </c>
      <c r="ED21">
        <f t="shared" si="39"/>
        <v>80.551603370909504</v>
      </c>
      <c r="EE21">
        <f t="shared" si="40"/>
        <v>42.105263157894733</v>
      </c>
      <c r="EF21">
        <f t="shared" si="41"/>
        <v>1.0714100562778321</v>
      </c>
      <c r="EK21">
        <v>5</v>
      </c>
      <c r="EL21">
        <v>16</v>
      </c>
      <c r="EM21">
        <f t="shared" si="74"/>
        <v>124.5</v>
      </c>
      <c r="EN21">
        <f t="shared" si="42"/>
        <v>79.248886059834504</v>
      </c>
      <c r="EO21">
        <f t="shared" si="43"/>
        <v>44.444444444444443</v>
      </c>
      <c r="EP21">
        <f t="shared" si="44"/>
        <v>1.3703232194638968</v>
      </c>
      <c r="EU21">
        <v>2.5</v>
      </c>
      <c r="EV21">
        <v>16</v>
      </c>
      <c r="EW21">
        <f t="shared" si="75"/>
        <v>91.5</v>
      </c>
      <c r="EX21">
        <f t="shared" si="45"/>
        <v>85.374387683694891</v>
      </c>
      <c r="EY21">
        <f t="shared" si="46"/>
        <v>47.058823529411761</v>
      </c>
      <c r="EZ21">
        <f t="shared" si="47"/>
        <v>1.0634064682555995</v>
      </c>
      <c r="FE21">
        <v>4.5</v>
      </c>
      <c r="FF21">
        <v>16</v>
      </c>
      <c r="FG21">
        <f t="shared" si="76"/>
        <v>123.5</v>
      </c>
      <c r="FH21">
        <f t="shared" si="48"/>
        <v>70.310276117278676</v>
      </c>
      <c r="FI21">
        <f t="shared" si="49"/>
        <v>40</v>
      </c>
      <c r="FJ21">
        <f t="shared" si="50"/>
        <v>0.99274124679760678</v>
      </c>
      <c r="FO21">
        <v>5</v>
      </c>
      <c r="FP21">
        <v>16</v>
      </c>
      <c r="FQ21">
        <f t="shared" si="77"/>
        <v>107.5</v>
      </c>
      <c r="FR21">
        <f t="shared" si="51"/>
        <v>79.131394920868601</v>
      </c>
      <c r="FS21">
        <f t="shared" si="52"/>
        <v>45.714285714285715</v>
      </c>
      <c r="FT21">
        <f t="shared" si="53"/>
        <v>1.6299489983700486</v>
      </c>
      <c r="FY21">
        <v>3</v>
      </c>
      <c r="FZ21">
        <v>16</v>
      </c>
      <c r="GA21">
        <f t="shared" si="78"/>
        <v>101</v>
      </c>
      <c r="GB21">
        <f t="shared" si="54"/>
        <v>78.416149068322966</v>
      </c>
      <c r="GC21">
        <f t="shared" si="55"/>
        <v>45.714285714285715</v>
      </c>
      <c r="GD21">
        <f t="shared" si="56"/>
        <v>1.0314995563442722</v>
      </c>
      <c r="GI21">
        <v>3</v>
      </c>
      <c r="GJ21">
        <v>16</v>
      </c>
      <c r="GK21">
        <f t="shared" si="79"/>
        <v>104</v>
      </c>
      <c r="GL21">
        <f t="shared" si="57"/>
        <v>78.787878787878782</v>
      </c>
      <c r="GM21">
        <f t="shared" si="58"/>
        <v>48.484848484848484</v>
      </c>
      <c r="GN21">
        <f t="shared" si="59"/>
        <v>1.0674931129476553</v>
      </c>
    </row>
    <row r="22" spans="1:196" x14ac:dyDescent="0.2">
      <c r="A22">
        <v>16</v>
      </c>
      <c r="B22">
        <v>17</v>
      </c>
      <c r="C22">
        <f t="shared" si="60"/>
        <v>554</v>
      </c>
      <c r="D22">
        <f t="shared" si="0"/>
        <v>80.675695354594438</v>
      </c>
      <c r="E22">
        <f t="shared" si="1"/>
        <v>34.693877551020407</v>
      </c>
      <c r="F22">
        <f t="shared" si="2"/>
        <v>0.78458644270289613</v>
      </c>
      <c r="K22">
        <v>10</v>
      </c>
      <c r="L22">
        <v>17</v>
      </c>
      <c r="M22">
        <f t="shared" si="61"/>
        <v>468</v>
      </c>
      <c r="N22">
        <f t="shared" si="3"/>
        <v>89.032626272234367</v>
      </c>
      <c r="O22">
        <f t="shared" si="4"/>
        <v>51.515151515151516</v>
      </c>
      <c r="P22">
        <f t="shared" si="5"/>
        <v>0.95120327213926004</v>
      </c>
      <c r="U22">
        <v>12</v>
      </c>
      <c r="V22">
        <v>17</v>
      </c>
      <c r="W22">
        <f t="shared" si="62"/>
        <v>494</v>
      </c>
      <c r="X22">
        <f t="shared" si="6"/>
        <v>85.689505637467477</v>
      </c>
      <c r="Y22">
        <f t="shared" si="7"/>
        <v>51.515151515151516</v>
      </c>
      <c r="Z22">
        <f t="shared" si="8"/>
        <v>1.0407632263660034</v>
      </c>
      <c r="AE22">
        <v>10</v>
      </c>
      <c r="AF22">
        <v>17</v>
      </c>
      <c r="AG22">
        <f t="shared" si="63"/>
        <v>373</v>
      </c>
      <c r="AH22">
        <f t="shared" si="9"/>
        <v>87.630682485610237</v>
      </c>
      <c r="AI22">
        <f t="shared" si="10"/>
        <v>47.222222222222221</v>
      </c>
      <c r="AJ22">
        <f t="shared" si="11"/>
        <v>1.076784525627468</v>
      </c>
      <c r="AO22">
        <v>13</v>
      </c>
      <c r="AP22">
        <v>17</v>
      </c>
      <c r="AQ22">
        <f t="shared" si="64"/>
        <v>438</v>
      </c>
      <c r="AR22">
        <f t="shared" si="12"/>
        <v>80.811808118081188</v>
      </c>
      <c r="AS22">
        <f t="shared" si="13"/>
        <v>45.945945945945951</v>
      </c>
      <c r="AT22">
        <f t="shared" si="14"/>
        <v>1.0696120474718305</v>
      </c>
      <c r="AY22">
        <v>12</v>
      </c>
      <c r="AZ22">
        <v>17</v>
      </c>
      <c r="BA22">
        <f t="shared" si="65"/>
        <v>448</v>
      </c>
      <c r="BB22">
        <f t="shared" si="15"/>
        <v>84.297676168971662</v>
      </c>
      <c r="BC22">
        <f t="shared" si="16"/>
        <v>48.571428571428569</v>
      </c>
      <c r="BD22">
        <f t="shared" si="17"/>
        <v>1.0644732067255283</v>
      </c>
      <c r="BI22">
        <v>5</v>
      </c>
      <c r="BJ22">
        <v>17</v>
      </c>
      <c r="BK22">
        <f t="shared" si="66"/>
        <v>264</v>
      </c>
      <c r="BL22">
        <f t="shared" si="18"/>
        <v>84.819277108433738</v>
      </c>
      <c r="BM22">
        <f t="shared" si="19"/>
        <v>45.945945945945951</v>
      </c>
      <c r="BN22">
        <f t="shared" si="20"/>
        <v>0.71637902963204425</v>
      </c>
      <c r="BS22">
        <v>6</v>
      </c>
      <c r="BT22">
        <v>17</v>
      </c>
      <c r="BU22">
        <f t="shared" si="67"/>
        <v>230</v>
      </c>
      <c r="BV22">
        <f t="shared" si="21"/>
        <v>87.203791469194314</v>
      </c>
      <c r="BW22">
        <f t="shared" si="22"/>
        <v>51.515151515151516</v>
      </c>
      <c r="BX22">
        <f t="shared" si="23"/>
        <v>1.1374407582938417</v>
      </c>
      <c r="CC22">
        <v>3</v>
      </c>
      <c r="CD22">
        <v>17</v>
      </c>
      <c r="CE22">
        <f t="shared" si="68"/>
        <v>112.5</v>
      </c>
      <c r="CF22">
        <f t="shared" si="24"/>
        <v>85.486322188449847</v>
      </c>
      <c r="CG22">
        <f t="shared" si="25"/>
        <v>53.125</v>
      </c>
      <c r="CH22">
        <f t="shared" si="26"/>
        <v>1.1754369300911802</v>
      </c>
      <c r="CM22">
        <v>2</v>
      </c>
      <c r="CN22">
        <v>17</v>
      </c>
      <c r="CO22">
        <f t="shared" si="69"/>
        <v>104.5</v>
      </c>
      <c r="CP22">
        <f t="shared" si="27"/>
        <v>93.137254901960802</v>
      </c>
      <c r="CQ22">
        <f t="shared" si="28"/>
        <v>68</v>
      </c>
      <c r="CR22">
        <f t="shared" si="29"/>
        <v>1.1764705882352933</v>
      </c>
      <c r="CW22">
        <v>8</v>
      </c>
      <c r="CX22">
        <v>17</v>
      </c>
      <c r="CY22">
        <f t="shared" si="70"/>
        <v>214</v>
      </c>
      <c r="CZ22">
        <f t="shared" si="30"/>
        <v>78.373924189708845</v>
      </c>
      <c r="DA22">
        <f t="shared" si="31"/>
        <v>45.945945945945951</v>
      </c>
      <c r="DB22">
        <f t="shared" si="32"/>
        <v>1.3065620097299284</v>
      </c>
      <c r="DG22">
        <v>5</v>
      </c>
      <c r="DH22">
        <v>17</v>
      </c>
      <c r="DI22">
        <f t="shared" si="71"/>
        <v>190</v>
      </c>
      <c r="DJ22">
        <f t="shared" si="33"/>
        <v>86.896867139263662</v>
      </c>
      <c r="DK22">
        <f t="shared" si="34"/>
        <v>56.666666666666664</v>
      </c>
      <c r="DL22">
        <f t="shared" si="35"/>
        <v>1.2577178138577643</v>
      </c>
      <c r="DQ22">
        <v>3</v>
      </c>
      <c r="DR22">
        <v>17</v>
      </c>
      <c r="DS22">
        <f t="shared" si="72"/>
        <v>166</v>
      </c>
      <c r="DT22">
        <f t="shared" si="36"/>
        <v>89.247311827956992</v>
      </c>
      <c r="DU22">
        <f t="shared" si="37"/>
        <v>56.666666666666664</v>
      </c>
      <c r="DV22">
        <f t="shared" si="38"/>
        <v>0.8870967741935466</v>
      </c>
      <c r="EA22">
        <v>5.5</v>
      </c>
      <c r="EB22">
        <v>17</v>
      </c>
      <c r="EC22">
        <f t="shared" si="73"/>
        <v>189.5</v>
      </c>
      <c r="ED22">
        <f t="shared" si="39"/>
        <v>82.959395862974731</v>
      </c>
      <c r="EE22">
        <f t="shared" si="40"/>
        <v>44.736842105263158</v>
      </c>
      <c r="EF22">
        <f t="shared" si="41"/>
        <v>1.0454888452388482</v>
      </c>
      <c r="EK22">
        <v>4.5</v>
      </c>
      <c r="EL22">
        <v>17</v>
      </c>
      <c r="EM22">
        <f t="shared" si="74"/>
        <v>129</v>
      </c>
      <c r="EN22">
        <f t="shared" si="42"/>
        <v>82.113303628262258</v>
      </c>
      <c r="EO22">
        <f t="shared" si="43"/>
        <v>47.222222222222221</v>
      </c>
      <c r="EP22">
        <f t="shared" si="44"/>
        <v>1.3128580521960538</v>
      </c>
      <c r="EU22">
        <v>2</v>
      </c>
      <c r="EV22">
        <v>17</v>
      </c>
      <c r="EW22">
        <f t="shared" si="75"/>
        <v>93.5</v>
      </c>
      <c r="EX22">
        <f t="shared" si="45"/>
        <v>87.240494518311181</v>
      </c>
      <c r="EY22">
        <f t="shared" si="46"/>
        <v>50</v>
      </c>
      <c r="EZ22">
        <f t="shared" si="47"/>
        <v>0.90561066974025806</v>
      </c>
      <c r="FE22">
        <v>4.5</v>
      </c>
      <c r="FF22">
        <v>17</v>
      </c>
      <c r="FG22">
        <f t="shared" si="76"/>
        <v>128</v>
      </c>
      <c r="FH22">
        <f t="shared" si="48"/>
        <v>72.872189012240256</v>
      </c>
      <c r="FI22">
        <f t="shared" si="49"/>
        <v>42.5</v>
      </c>
      <c r="FJ22">
        <f t="shared" si="50"/>
        <v>1.0567890691716517</v>
      </c>
      <c r="FO22">
        <v>4</v>
      </c>
      <c r="FP22">
        <v>17</v>
      </c>
      <c r="FQ22">
        <f t="shared" si="77"/>
        <v>111.5</v>
      </c>
      <c r="FR22">
        <f t="shared" si="51"/>
        <v>82.075818917924181</v>
      </c>
      <c r="FS22">
        <f t="shared" si="52"/>
        <v>48.571428571428569</v>
      </c>
      <c r="FT22">
        <f t="shared" si="53"/>
        <v>1.388085598611916</v>
      </c>
      <c r="FY22">
        <v>3</v>
      </c>
      <c r="FZ22">
        <v>17</v>
      </c>
      <c r="GA22">
        <f t="shared" si="78"/>
        <v>104</v>
      </c>
      <c r="GB22">
        <f t="shared" si="54"/>
        <v>80.745341614906835</v>
      </c>
      <c r="GC22">
        <f t="shared" si="55"/>
        <v>48.571428571428569</v>
      </c>
      <c r="GD22">
        <f t="shared" si="56"/>
        <v>1.0980479148181095</v>
      </c>
      <c r="GI22">
        <v>3</v>
      </c>
      <c r="GJ22">
        <v>17</v>
      </c>
      <c r="GK22">
        <f t="shared" si="79"/>
        <v>107</v>
      </c>
      <c r="GL22">
        <f t="shared" si="57"/>
        <v>81.060606060606062</v>
      </c>
      <c r="GM22">
        <f t="shared" si="58"/>
        <v>51.515151515151516</v>
      </c>
      <c r="GN22">
        <f t="shared" si="59"/>
        <v>1.1363636363636402</v>
      </c>
    </row>
    <row r="23" spans="1:196" x14ac:dyDescent="0.2">
      <c r="A23">
        <v>15</v>
      </c>
      <c r="B23">
        <v>18</v>
      </c>
      <c r="C23">
        <f t="shared" si="60"/>
        <v>569</v>
      </c>
      <c r="D23">
        <f t="shared" si="0"/>
        <v>82.860055337119562</v>
      </c>
      <c r="E23">
        <f t="shared" si="1"/>
        <v>36.734693877551024</v>
      </c>
      <c r="F23">
        <f t="shared" si="2"/>
        <v>0.78012856518754403</v>
      </c>
      <c r="K23">
        <v>9</v>
      </c>
      <c r="L23">
        <v>18</v>
      </c>
      <c r="M23">
        <f t="shared" si="61"/>
        <v>477</v>
      </c>
      <c r="N23">
        <f t="shared" si="3"/>
        <v>90.74479216208502</v>
      </c>
      <c r="O23">
        <f t="shared" si="4"/>
        <v>54.54545454545454</v>
      </c>
      <c r="P23">
        <f t="shared" si="5"/>
        <v>0.90796675976928543</v>
      </c>
      <c r="U23">
        <v>12</v>
      </c>
      <c r="V23">
        <v>18</v>
      </c>
      <c r="W23">
        <f t="shared" si="62"/>
        <v>506</v>
      </c>
      <c r="X23">
        <f t="shared" si="6"/>
        <v>87.771032090199469</v>
      </c>
      <c r="Y23">
        <f t="shared" si="7"/>
        <v>54.54545454545454</v>
      </c>
      <c r="Z23">
        <f t="shared" si="8"/>
        <v>1.1038397855396931</v>
      </c>
      <c r="AE23">
        <v>8</v>
      </c>
      <c r="AF23">
        <v>18</v>
      </c>
      <c r="AG23">
        <f t="shared" si="63"/>
        <v>381</v>
      </c>
      <c r="AH23">
        <f t="shared" si="9"/>
        <v>89.510160930341826</v>
      </c>
      <c r="AI23">
        <f t="shared" si="10"/>
        <v>50</v>
      </c>
      <c r="AJ23">
        <f t="shared" si="11"/>
        <v>0.91363535507785587</v>
      </c>
      <c r="AO23">
        <v>13</v>
      </c>
      <c r="AP23">
        <v>18</v>
      </c>
      <c r="AQ23">
        <f t="shared" si="64"/>
        <v>451</v>
      </c>
      <c r="AR23">
        <f t="shared" si="12"/>
        <v>83.210332103321036</v>
      </c>
      <c r="AS23">
        <f t="shared" si="13"/>
        <v>48.648648648648653</v>
      </c>
      <c r="AT23">
        <f t="shared" si="14"/>
        <v>1.1344370200458742</v>
      </c>
      <c r="AY23">
        <v>12</v>
      </c>
      <c r="AZ23">
        <v>18</v>
      </c>
      <c r="BA23">
        <f t="shared" si="65"/>
        <v>460</v>
      </c>
      <c r="BB23">
        <f t="shared" si="15"/>
        <v>86.555649637783418</v>
      </c>
      <c r="BC23">
        <f t="shared" si="16"/>
        <v>51.428571428571423</v>
      </c>
      <c r="BD23">
        <f t="shared" si="17"/>
        <v>1.1289867344058777</v>
      </c>
      <c r="BI23">
        <v>5</v>
      </c>
      <c r="BJ23">
        <v>18</v>
      </c>
      <c r="BK23">
        <f t="shared" si="66"/>
        <v>269</v>
      </c>
      <c r="BL23">
        <f t="shared" si="18"/>
        <v>86.425702811244975</v>
      </c>
      <c r="BM23">
        <f t="shared" si="19"/>
        <v>48.648648648648653</v>
      </c>
      <c r="BN23">
        <f t="shared" si="20"/>
        <v>0.75979594051882826</v>
      </c>
      <c r="BS23">
        <v>5</v>
      </c>
      <c r="BT23">
        <v>18</v>
      </c>
      <c r="BU23">
        <f t="shared" si="67"/>
        <v>235</v>
      </c>
      <c r="BV23">
        <f t="shared" si="21"/>
        <v>89.099526066350705</v>
      </c>
      <c r="BW23">
        <f t="shared" si="22"/>
        <v>54.54545454545454</v>
      </c>
      <c r="BX23">
        <f t="shared" si="23"/>
        <v>1.0053138015223286</v>
      </c>
      <c r="CC23">
        <v>2.5</v>
      </c>
      <c r="CD23">
        <v>18</v>
      </c>
      <c r="CE23">
        <f t="shared" si="68"/>
        <v>115</v>
      </c>
      <c r="CF23">
        <f t="shared" si="24"/>
        <v>87.38601823708207</v>
      </c>
      <c r="CG23">
        <f t="shared" si="25"/>
        <v>56.25</v>
      </c>
      <c r="CH23">
        <f t="shared" si="26"/>
        <v>1.0388962765957466</v>
      </c>
      <c r="CM23">
        <v>1.5</v>
      </c>
      <c r="CN23">
        <v>18</v>
      </c>
      <c r="CO23">
        <f t="shared" si="69"/>
        <v>106</v>
      </c>
      <c r="CP23">
        <f t="shared" si="27"/>
        <v>94.474153297682719</v>
      </c>
      <c r="CQ23">
        <f t="shared" si="28"/>
        <v>72</v>
      </c>
      <c r="CR23">
        <f t="shared" si="29"/>
        <v>0.93582887700534201</v>
      </c>
      <c r="CW23">
        <v>8</v>
      </c>
      <c r="CX23">
        <v>18</v>
      </c>
      <c r="CY23">
        <f t="shared" si="70"/>
        <v>222</v>
      </c>
      <c r="CZ23">
        <f t="shared" si="30"/>
        <v>81.303790514557775</v>
      </c>
      <c r="DA23">
        <f t="shared" si="31"/>
        <v>48.648648648648653</v>
      </c>
      <c r="DB23">
        <f t="shared" si="32"/>
        <v>1.3857475860771971</v>
      </c>
      <c r="DG23">
        <v>5</v>
      </c>
      <c r="DH23">
        <v>18</v>
      </c>
      <c r="DI23">
        <f t="shared" si="71"/>
        <v>195</v>
      </c>
      <c r="DJ23">
        <f t="shared" si="33"/>
        <v>89.183626800823234</v>
      </c>
      <c r="DK23">
        <f t="shared" si="34"/>
        <v>60</v>
      </c>
      <c r="DL23">
        <f t="shared" si="35"/>
        <v>1.33394313590975</v>
      </c>
      <c r="DQ23">
        <v>3</v>
      </c>
      <c r="DR23">
        <v>18</v>
      </c>
      <c r="DS23">
        <f t="shared" si="72"/>
        <v>169</v>
      </c>
      <c r="DT23">
        <f t="shared" si="36"/>
        <v>90.86021505376344</v>
      </c>
      <c r="DU23">
        <f t="shared" si="37"/>
        <v>60</v>
      </c>
      <c r="DV23">
        <f t="shared" si="38"/>
        <v>0.94086021505376149</v>
      </c>
      <c r="EA23">
        <v>5</v>
      </c>
      <c r="EB23">
        <v>18</v>
      </c>
      <c r="EC23">
        <f t="shared" si="73"/>
        <v>194.5</v>
      </c>
      <c r="ED23">
        <f t="shared" si="39"/>
        <v>85.148298128488562</v>
      </c>
      <c r="EE23">
        <f t="shared" si="40"/>
        <v>47.368421052631575</v>
      </c>
      <c r="EF23">
        <f t="shared" si="41"/>
        <v>1.0080470959603174</v>
      </c>
      <c r="EK23">
        <v>3.5</v>
      </c>
      <c r="EL23">
        <v>18</v>
      </c>
      <c r="EM23">
        <f t="shared" si="74"/>
        <v>132.5</v>
      </c>
      <c r="EN23">
        <f t="shared" si="42"/>
        <v>84.341183959261627</v>
      </c>
      <c r="EO23">
        <f t="shared" si="43"/>
        <v>50</v>
      </c>
      <c r="EP23">
        <f t="shared" si="44"/>
        <v>1.0829973831246935</v>
      </c>
      <c r="EU23">
        <v>1.5</v>
      </c>
      <c r="EV23">
        <v>18</v>
      </c>
      <c r="EW23">
        <f t="shared" si="75"/>
        <v>95</v>
      </c>
      <c r="EX23">
        <f t="shared" si="45"/>
        <v>88.640074644273398</v>
      </c>
      <c r="EY23">
        <f t="shared" si="46"/>
        <v>52.941176470588239</v>
      </c>
      <c r="EZ23">
        <f t="shared" si="47"/>
        <v>0.72037212365702341</v>
      </c>
      <c r="FE23">
        <v>4</v>
      </c>
      <c r="FF23">
        <v>18</v>
      </c>
      <c r="FG23">
        <f t="shared" si="76"/>
        <v>132</v>
      </c>
      <c r="FH23">
        <f t="shared" si="48"/>
        <v>75.14944491887276</v>
      </c>
      <c r="FI23">
        <f t="shared" si="49"/>
        <v>45</v>
      </c>
      <c r="FJ23">
        <f t="shared" si="50"/>
        <v>0.99629945915172069</v>
      </c>
      <c r="FO23">
        <v>3</v>
      </c>
      <c r="FP23">
        <v>18</v>
      </c>
      <c r="FQ23">
        <f t="shared" si="77"/>
        <v>114.5</v>
      </c>
      <c r="FR23">
        <f t="shared" si="51"/>
        <v>84.284136915715862</v>
      </c>
      <c r="FS23">
        <f t="shared" si="52"/>
        <v>51.428571428571423</v>
      </c>
      <c r="FT23">
        <f t="shared" si="53"/>
        <v>1.1041589988958407</v>
      </c>
      <c r="FY23">
        <v>2.5</v>
      </c>
      <c r="FZ23">
        <v>18</v>
      </c>
      <c r="GA23">
        <f t="shared" si="78"/>
        <v>106.5</v>
      </c>
      <c r="GB23">
        <f t="shared" si="54"/>
        <v>82.686335403726702</v>
      </c>
      <c r="GC23">
        <f t="shared" si="55"/>
        <v>51.428571428571423</v>
      </c>
      <c r="GD23">
        <f t="shared" si="56"/>
        <v>0.97049689440993347</v>
      </c>
      <c r="GI23">
        <v>2.5</v>
      </c>
      <c r="GJ23">
        <v>18</v>
      </c>
      <c r="GK23">
        <f t="shared" si="79"/>
        <v>109.5</v>
      </c>
      <c r="GL23">
        <f t="shared" si="57"/>
        <v>82.954545454545453</v>
      </c>
      <c r="GM23">
        <f t="shared" si="58"/>
        <v>54.54545454545454</v>
      </c>
      <c r="GN23">
        <f t="shared" si="59"/>
        <v>1.0043617998163437</v>
      </c>
    </row>
    <row r="24" spans="1:196" x14ac:dyDescent="0.2">
      <c r="A24">
        <v>9</v>
      </c>
      <c r="B24">
        <v>19</v>
      </c>
      <c r="C24">
        <f t="shared" si="60"/>
        <v>578</v>
      </c>
      <c r="D24">
        <f t="shared" si="0"/>
        <v>84.170671326634633</v>
      </c>
      <c r="E24">
        <f t="shared" si="1"/>
        <v>38.775510204081634</v>
      </c>
      <c r="F24">
        <f t="shared" si="2"/>
        <v>0.49482440420466967</v>
      </c>
      <c r="K24">
        <v>8.5</v>
      </c>
      <c r="L24">
        <v>19</v>
      </c>
      <c r="M24">
        <f t="shared" si="61"/>
        <v>485.5</v>
      </c>
      <c r="N24">
        <f t="shared" si="3"/>
        <v>92.361837724721767</v>
      </c>
      <c r="O24">
        <f t="shared" si="4"/>
        <v>57.575757575757578</v>
      </c>
      <c r="P24">
        <f t="shared" si="5"/>
        <v>0.90652554269029761</v>
      </c>
      <c r="U24">
        <v>10</v>
      </c>
      <c r="V24">
        <v>19</v>
      </c>
      <c r="W24">
        <f t="shared" si="62"/>
        <v>516</v>
      </c>
      <c r="X24">
        <f t="shared" si="6"/>
        <v>89.505637467476149</v>
      </c>
      <c r="Y24">
        <f t="shared" si="7"/>
        <v>57.575757575757578</v>
      </c>
      <c r="Z24">
        <f t="shared" si="8"/>
        <v>0.97243028726116876</v>
      </c>
      <c r="AE24">
        <v>8</v>
      </c>
      <c r="AF24">
        <v>19</v>
      </c>
      <c r="AG24">
        <f t="shared" si="63"/>
        <v>389</v>
      </c>
      <c r="AH24">
        <f t="shared" si="9"/>
        <v>91.389639375073401</v>
      </c>
      <c r="AI24">
        <f t="shared" si="10"/>
        <v>52.777777777777779</v>
      </c>
      <c r="AJ24">
        <f t="shared" si="11"/>
        <v>0.96584308965372589</v>
      </c>
      <c r="AO24">
        <v>12</v>
      </c>
      <c r="AP24">
        <v>19</v>
      </c>
      <c r="AQ24">
        <f t="shared" si="64"/>
        <v>463</v>
      </c>
      <c r="AR24">
        <f t="shared" si="12"/>
        <v>85.424354243542439</v>
      </c>
      <c r="AS24">
        <f t="shared" si="13"/>
        <v>51.351351351351347</v>
      </c>
      <c r="AT24">
        <f t="shared" si="14"/>
        <v>1.1070110701107012</v>
      </c>
      <c r="AY24">
        <v>12</v>
      </c>
      <c r="AZ24">
        <v>19</v>
      </c>
      <c r="BA24">
        <f t="shared" si="65"/>
        <v>472</v>
      </c>
      <c r="BB24">
        <f t="shared" si="15"/>
        <v>88.813623106595145</v>
      </c>
      <c r="BC24">
        <f t="shared" si="16"/>
        <v>54.285714285714285</v>
      </c>
      <c r="BD24">
        <f t="shared" si="17"/>
        <v>1.1935002620861985</v>
      </c>
      <c r="BI24">
        <v>5</v>
      </c>
      <c r="BJ24">
        <v>19</v>
      </c>
      <c r="BK24">
        <f t="shared" si="66"/>
        <v>274</v>
      </c>
      <c r="BL24">
        <f t="shared" si="18"/>
        <v>88.032128514056225</v>
      </c>
      <c r="BM24">
        <f t="shared" si="19"/>
        <v>51.351351351351347</v>
      </c>
      <c r="BN24">
        <f t="shared" si="20"/>
        <v>0.80321285140562537</v>
      </c>
      <c r="BS24">
        <v>4</v>
      </c>
      <c r="BT24">
        <v>19</v>
      </c>
      <c r="BU24">
        <f t="shared" si="67"/>
        <v>239</v>
      </c>
      <c r="BV24">
        <f t="shared" si="21"/>
        <v>90.616113744075832</v>
      </c>
      <c r="BW24">
        <f t="shared" si="22"/>
        <v>57.575757575757578</v>
      </c>
      <c r="BX24">
        <f t="shared" si="23"/>
        <v>0.85020824357317737</v>
      </c>
      <c r="CC24">
        <v>2.5</v>
      </c>
      <c r="CD24">
        <v>19</v>
      </c>
      <c r="CE24">
        <f t="shared" si="68"/>
        <v>117.5</v>
      </c>
      <c r="CF24">
        <f t="shared" si="24"/>
        <v>89.285714285714292</v>
      </c>
      <c r="CG24">
        <f t="shared" si="25"/>
        <v>59.375</v>
      </c>
      <c r="CH24">
        <f t="shared" si="26"/>
        <v>1.0982617781155035</v>
      </c>
      <c r="CM24">
        <v>1.5</v>
      </c>
      <c r="CN24">
        <v>19</v>
      </c>
      <c r="CO24">
        <f t="shared" si="69"/>
        <v>107.5</v>
      </c>
      <c r="CP24">
        <f t="shared" si="27"/>
        <v>95.81105169340465</v>
      </c>
      <c r="CQ24">
        <f t="shared" si="28"/>
        <v>76</v>
      </c>
      <c r="CR24">
        <f t="shared" si="29"/>
        <v>0.98930481283422922</v>
      </c>
      <c r="CW24">
        <v>7</v>
      </c>
      <c r="CX24">
        <v>19</v>
      </c>
      <c r="CY24">
        <f t="shared" si="70"/>
        <v>229</v>
      </c>
      <c r="CZ24">
        <f t="shared" si="30"/>
        <v>83.867423548800573</v>
      </c>
      <c r="DA24">
        <f t="shared" si="31"/>
        <v>51.351351351351347</v>
      </c>
      <c r="DB24">
        <f t="shared" si="32"/>
        <v>1.2818165171213991</v>
      </c>
      <c r="DG24">
        <v>5</v>
      </c>
      <c r="DH24">
        <v>19</v>
      </c>
      <c r="DI24">
        <f t="shared" si="71"/>
        <v>200</v>
      </c>
      <c r="DJ24">
        <f t="shared" si="33"/>
        <v>91.470386462382805</v>
      </c>
      <c r="DK24">
        <f t="shared" si="34"/>
        <v>63.333333333333329</v>
      </c>
      <c r="DL24">
        <f t="shared" si="35"/>
        <v>1.4101684579617357</v>
      </c>
      <c r="DQ24">
        <v>3</v>
      </c>
      <c r="DR24">
        <v>19</v>
      </c>
      <c r="DS24">
        <f t="shared" si="72"/>
        <v>172</v>
      </c>
      <c r="DT24">
        <f t="shared" si="36"/>
        <v>92.473118279569889</v>
      </c>
      <c r="DU24">
        <f t="shared" si="37"/>
        <v>63.333333333333329</v>
      </c>
      <c r="DV24">
        <f t="shared" si="38"/>
        <v>0.99462365591397639</v>
      </c>
      <c r="EA24">
        <v>5</v>
      </c>
      <c r="EB24">
        <v>19</v>
      </c>
      <c r="EC24">
        <f t="shared" si="73"/>
        <v>199.5</v>
      </c>
      <c r="ED24">
        <f t="shared" si="39"/>
        <v>87.337200394002409</v>
      </c>
      <c r="EE24">
        <f t="shared" si="40"/>
        <v>50</v>
      </c>
      <c r="EF24">
        <f t="shared" si="41"/>
        <v>1.0656497871580566</v>
      </c>
      <c r="EK24">
        <v>3.5</v>
      </c>
      <c r="EL24">
        <v>19</v>
      </c>
      <c r="EM24">
        <f t="shared" si="74"/>
        <v>136</v>
      </c>
      <c r="EN24">
        <f t="shared" si="42"/>
        <v>86.569064290260982</v>
      </c>
      <c r="EO24">
        <f t="shared" si="43"/>
        <v>52.777777777777779</v>
      </c>
      <c r="EP24">
        <f t="shared" si="44"/>
        <v>1.1448829478746685</v>
      </c>
      <c r="EU24">
        <v>1.5</v>
      </c>
      <c r="EV24">
        <v>19</v>
      </c>
      <c r="EW24">
        <f t="shared" si="75"/>
        <v>96.5</v>
      </c>
      <c r="EX24">
        <f t="shared" si="45"/>
        <v>90.0396547702356</v>
      </c>
      <c r="EY24">
        <f t="shared" si="46"/>
        <v>55.882352941176471</v>
      </c>
      <c r="EZ24">
        <f t="shared" si="47"/>
        <v>0.76153624500884565</v>
      </c>
      <c r="FE24">
        <v>4</v>
      </c>
      <c r="FF24">
        <v>19</v>
      </c>
      <c r="FG24">
        <f t="shared" si="76"/>
        <v>136</v>
      </c>
      <c r="FH24">
        <f t="shared" si="48"/>
        <v>77.426700825505264</v>
      </c>
      <c r="FI24">
        <f t="shared" si="49"/>
        <v>47.5</v>
      </c>
      <c r="FJ24">
        <f t="shared" si="50"/>
        <v>1.0532308568175333</v>
      </c>
      <c r="FO24">
        <v>2.5</v>
      </c>
      <c r="FP24">
        <v>19</v>
      </c>
      <c r="FQ24">
        <f t="shared" si="77"/>
        <v>117</v>
      </c>
      <c r="FR24">
        <f t="shared" si="51"/>
        <v>86.124401913875602</v>
      </c>
      <c r="FS24">
        <f t="shared" si="52"/>
        <v>54.285714285714285</v>
      </c>
      <c r="FT24">
        <f t="shared" si="53"/>
        <v>0.97271149902729059</v>
      </c>
      <c r="FY24">
        <v>2.5</v>
      </c>
      <c r="FZ24">
        <v>19</v>
      </c>
      <c r="GA24">
        <f t="shared" si="78"/>
        <v>109</v>
      </c>
      <c r="GB24">
        <f t="shared" si="54"/>
        <v>84.627329192546568</v>
      </c>
      <c r="GC24">
        <f t="shared" si="55"/>
        <v>54.285714285714285</v>
      </c>
      <c r="GD24">
        <f t="shared" si="56"/>
        <v>1.0259538598047868</v>
      </c>
      <c r="GI24">
        <v>2.5</v>
      </c>
      <c r="GJ24">
        <v>19</v>
      </c>
      <c r="GK24">
        <f t="shared" si="79"/>
        <v>112</v>
      </c>
      <c r="GL24">
        <f t="shared" si="57"/>
        <v>84.848484848484844</v>
      </c>
      <c r="GM24">
        <f t="shared" si="58"/>
        <v>57.575757575757578</v>
      </c>
      <c r="GN24">
        <f t="shared" si="59"/>
        <v>1.0617539026629919</v>
      </c>
    </row>
    <row r="25" spans="1:196" x14ac:dyDescent="0.2">
      <c r="A25">
        <v>8</v>
      </c>
      <c r="B25">
        <v>20</v>
      </c>
      <c r="C25">
        <f t="shared" si="60"/>
        <v>586</v>
      </c>
      <c r="D25">
        <f t="shared" si="0"/>
        <v>85.335663317314697</v>
      </c>
      <c r="E25">
        <f t="shared" si="1"/>
        <v>40.816326530612244</v>
      </c>
      <c r="F25">
        <f t="shared" si="2"/>
        <v>0.46361926159716865</v>
      </c>
      <c r="K25">
        <v>7</v>
      </c>
      <c r="L25">
        <v>20</v>
      </c>
      <c r="M25">
        <f t="shared" si="61"/>
        <v>492.5</v>
      </c>
      <c r="N25">
        <f t="shared" si="3"/>
        <v>93.693522305716712</v>
      </c>
      <c r="O25">
        <f t="shared" si="4"/>
        <v>60.606060606060609</v>
      </c>
      <c r="P25">
        <f t="shared" si="5"/>
        <v>0.78690452513337705</v>
      </c>
      <c r="U25">
        <v>10</v>
      </c>
      <c r="V25">
        <v>20</v>
      </c>
      <c r="W25">
        <f t="shared" si="62"/>
        <v>526</v>
      </c>
      <c r="X25">
        <f t="shared" si="6"/>
        <v>91.240242844752814</v>
      </c>
      <c r="Y25">
        <f t="shared" si="7"/>
        <v>60.606060606060609</v>
      </c>
      <c r="Z25">
        <f t="shared" si="8"/>
        <v>1.0249940865725748</v>
      </c>
      <c r="AE25">
        <v>7</v>
      </c>
      <c r="AF25">
        <v>20</v>
      </c>
      <c r="AG25">
        <f t="shared" si="63"/>
        <v>396</v>
      </c>
      <c r="AH25">
        <f t="shared" si="9"/>
        <v>93.034183014213539</v>
      </c>
      <c r="AI25">
        <f t="shared" si="10"/>
        <v>55.555555555555557</v>
      </c>
      <c r="AJ25">
        <f t="shared" si="11"/>
        <v>0.89079447120090849</v>
      </c>
      <c r="AO25">
        <v>10</v>
      </c>
      <c r="AP25">
        <v>20</v>
      </c>
      <c r="AQ25">
        <f t="shared" si="64"/>
        <v>473</v>
      </c>
      <c r="AR25">
        <f t="shared" si="12"/>
        <v>87.269372693726936</v>
      </c>
      <c r="AS25">
        <f t="shared" si="13"/>
        <v>54.054054054054056</v>
      </c>
      <c r="AT25">
        <f t="shared" si="14"/>
        <v>0.97237458861074855</v>
      </c>
      <c r="AY25">
        <v>10</v>
      </c>
      <c r="AZ25">
        <v>20</v>
      </c>
      <c r="BA25">
        <f t="shared" si="65"/>
        <v>482</v>
      </c>
      <c r="BB25">
        <f t="shared" si="15"/>
        <v>90.695267663938267</v>
      </c>
      <c r="BC25">
        <f t="shared" si="16"/>
        <v>57.142857142857139</v>
      </c>
      <c r="BD25">
        <f t="shared" si="17"/>
        <v>1.0483448248054537</v>
      </c>
      <c r="BI25">
        <v>5</v>
      </c>
      <c r="BJ25">
        <v>20</v>
      </c>
      <c r="BK25">
        <f t="shared" si="66"/>
        <v>279</v>
      </c>
      <c r="BL25">
        <f t="shared" si="18"/>
        <v>89.638554216867476</v>
      </c>
      <c r="BM25">
        <f t="shared" si="19"/>
        <v>54.054054054054056</v>
      </c>
      <c r="BN25">
        <f t="shared" si="20"/>
        <v>0.84662976229241593</v>
      </c>
      <c r="BS25">
        <v>3.5</v>
      </c>
      <c r="BT25">
        <v>20</v>
      </c>
      <c r="BU25">
        <f t="shared" si="67"/>
        <v>242.5</v>
      </c>
      <c r="BV25">
        <f t="shared" si="21"/>
        <v>91.943127962085299</v>
      </c>
      <c r="BW25">
        <f t="shared" si="22"/>
        <v>60.606060606060609</v>
      </c>
      <c r="BX25">
        <f t="shared" si="23"/>
        <v>0.78414476518741205</v>
      </c>
      <c r="CC25">
        <v>2.5</v>
      </c>
      <c r="CD25">
        <v>20</v>
      </c>
      <c r="CE25">
        <f t="shared" si="68"/>
        <v>120</v>
      </c>
      <c r="CF25">
        <f t="shared" si="24"/>
        <v>91.1854103343465</v>
      </c>
      <c r="CG25">
        <f t="shared" si="25"/>
        <v>62.5</v>
      </c>
      <c r="CH25">
        <f t="shared" si="26"/>
        <v>1.1576272796352518</v>
      </c>
      <c r="CM25">
        <v>1.5</v>
      </c>
      <c r="CN25">
        <v>20</v>
      </c>
      <c r="CO25">
        <f t="shared" si="69"/>
        <v>109</v>
      </c>
      <c r="CP25">
        <f t="shared" si="27"/>
        <v>97.147950089126567</v>
      </c>
      <c r="CQ25">
        <f t="shared" si="28"/>
        <v>80</v>
      </c>
      <c r="CR25">
        <f t="shared" si="29"/>
        <v>1.0427807486630953</v>
      </c>
      <c r="CW25">
        <v>7</v>
      </c>
      <c r="CX25">
        <v>20</v>
      </c>
      <c r="CY25">
        <f t="shared" si="70"/>
        <v>236</v>
      </c>
      <c r="CZ25">
        <f t="shared" si="30"/>
        <v>86.4310565830434</v>
      </c>
      <c r="DA25">
        <f t="shared" si="31"/>
        <v>54.054054054054056</v>
      </c>
      <c r="DB25">
        <f t="shared" si="32"/>
        <v>1.3511038964252733</v>
      </c>
      <c r="DG25">
        <v>3</v>
      </c>
      <c r="DH25">
        <v>20</v>
      </c>
      <c r="DI25">
        <f t="shared" si="71"/>
        <v>203</v>
      </c>
      <c r="DJ25">
        <f t="shared" si="33"/>
        <v>92.842442259318545</v>
      </c>
      <c r="DK25">
        <f t="shared" si="34"/>
        <v>66.666666666666657</v>
      </c>
      <c r="DL25">
        <f t="shared" si="35"/>
        <v>0.89183626800823101</v>
      </c>
      <c r="DQ25">
        <v>2.5</v>
      </c>
      <c r="DR25">
        <v>20</v>
      </c>
      <c r="DS25">
        <f t="shared" si="72"/>
        <v>174.5</v>
      </c>
      <c r="DT25">
        <f t="shared" si="36"/>
        <v>93.817204301075279</v>
      </c>
      <c r="DU25">
        <f t="shared" si="37"/>
        <v>66.666666666666657</v>
      </c>
      <c r="DV25">
        <f t="shared" si="38"/>
        <v>0.87365591397850362</v>
      </c>
      <c r="EA25">
        <v>4.5</v>
      </c>
      <c r="EB25">
        <v>20</v>
      </c>
      <c r="EC25">
        <f t="shared" si="73"/>
        <v>204</v>
      </c>
      <c r="ED25">
        <f t="shared" si="39"/>
        <v>89.307212432964874</v>
      </c>
      <c r="EE25">
        <f t="shared" si="40"/>
        <v>52.631578947368418</v>
      </c>
      <c r="EF25">
        <f t="shared" si="41"/>
        <v>1.0109272305202126</v>
      </c>
      <c r="EK25">
        <v>3</v>
      </c>
      <c r="EL25">
        <v>20</v>
      </c>
      <c r="EM25">
        <f t="shared" si="74"/>
        <v>139</v>
      </c>
      <c r="EN25">
        <f t="shared" si="42"/>
        <v>88.478676002546152</v>
      </c>
      <c r="EO25">
        <f t="shared" si="43"/>
        <v>55.555555555555557</v>
      </c>
      <c r="EP25">
        <f t="shared" si="44"/>
        <v>1.0343730108211335</v>
      </c>
      <c r="EU25">
        <v>1.5</v>
      </c>
      <c r="EV25">
        <v>20</v>
      </c>
      <c r="EW25">
        <f t="shared" si="75"/>
        <v>98</v>
      </c>
      <c r="EX25">
        <f t="shared" si="45"/>
        <v>91.439234896197803</v>
      </c>
      <c r="EY25">
        <f t="shared" si="46"/>
        <v>58.82352941176471</v>
      </c>
      <c r="EZ25">
        <f t="shared" si="47"/>
        <v>0.80270036636067521</v>
      </c>
      <c r="FE25">
        <v>4</v>
      </c>
      <c r="FF25">
        <v>20</v>
      </c>
      <c r="FG25">
        <f t="shared" si="76"/>
        <v>140</v>
      </c>
      <c r="FH25">
        <f t="shared" si="48"/>
        <v>79.703956732137769</v>
      </c>
      <c r="FI25">
        <f t="shared" si="49"/>
        <v>50</v>
      </c>
      <c r="FJ25">
        <f t="shared" si="50"/>
        <v>1.110162254483346</v>
      </c>
      <c r="FO25">
        <v>2.5</v>
      </c>
      <c r="FP25">
        <v>20</v>
      </c>
      <c r="FQ25">
        <f t="shared" si="77"/>
        <v>119.5</v>
      </c>
      <c r="FR25">
        <f t="shared" si="51"/>
        <v>87.964666912035341</v>
      </c>
      <c r="FS25">
        <f t="shared" si="52"/>
        <v>57.142857142857139</v>
      </c>
      <c r="FT25">
        <f t="shared" si="53"/>
        <v>1.0252904989747116</v>
      </c>
      <c r="FY25">
        <v>2</v>
      </c>
      <c r="FZ25">
        <v>20</v>
      </c>
      <c r="GA25">
        <f t="shared" si="78"/>
        <v>111</v>
      </c>
      <c r="GB25">
        <f t="shared" si="54"/>
        <v>86.180124223602476</v>
      </c>
      <c r="GC25">
        <f t="shared" si="55"/>
        <v>57.142857142857139</v>
      </c>
      <c r="GD25">
        <f t="shared" si="56"/>
        <v>0.8651286601597199</v>
      </c>
      <c r="GI25">
        <v>2.5</v>
      </c>
      <c r="GJ25">
        <v>20</v>
      </c>
      <c r="GK25">
        <f t="shared" si="79"/>
        <v>114.5</v>
      </c>
      <c r="GL25">
        <f t="shared" si="57"/>
        <v>86.742424242424249</v>
      </c>
      <c r="GM25">
        <f t="shared" si="58"/>
        <v>60.606060606060609</v>
      </c>
      <c r="GN25">
        <f t="shared" si="59"/>
        <v>1.1191460055096485</v>
      </c>
    </row>
    <row r="26" spans="1:196" x14ac:dyDescent="0.2">
      <c r="A26">
        <v>8</v>
      </c>
      <c r="B26">
        <v>21</v>
      </c>
      <c r="C26">
        <f t="shared" si="60"/>
        <v>594</v>
      </c>
      <c r="D26">
        <f t="shared" si="0"/>
        <v>86.500655307994762</v>
      </c>
      <c r="E26">
        <f t="shared" si="1"/>
        <v>42.857142857142854</v>
      </c>
      <c r="F26">
        <f t="shared" si="2"/>
        <v>0.48739460834574133</v>
      </c>
      <c r="K26">
        <v>7</v>
      </c>
      <c r="L26">
        <v>21</v>
      </c>
      <c r="M26">
        <f t="shared" si="61"/>
        <v>499.5</v>
      </c>
      <c r="N26">
        <f t="shared" si="3"/>
        <v>95.025206886711672</v>
      </c>
      <c r="O26">
        <f t="shared" si="4"/>
        <v>63.636363636363633</v>
      </c>
      <c r="P26">
        <f t="shared" si="5"/>
        <v>0.82725860334535384</v>
      </c>
      <c r="U26">
        <v>8</v>
      </c>
      <c r="V26">
        <v>21</v>
      </c>
      <c r="W26">
        <f t="shared" si="62"/>
        <v>534</v>
      </c>
      <c r="X26">
        <f t="shared" si="6"/>
        <v>92.627927146574152</v>
      </c>
      <c r="Y26">
        <f t="shared" si="7"/>
        <v>63.636363636363633</v>
      </c>
      <c r="Z26">
        <f t="shared" si="8"/>
        <v>0.86204630870719468</v>
      </c>
      <c r="AE26">
        <v>5</v>
      </c>
      <c r="AF26">
        <v>21</v>
      </c>
      <c r="AG26">
        <f t="shared" si="63"/>
        <v>401</v>
      </c>
      <c r="AH26">
        <f t="shared" si="9"/>
        <v>94.208857042170791</v>
      </c>
      <c r="AI26">
        <f t="shared" si="10"/>
        <v>58.333333333333336</v>
      </c>
      <c r="AJ26">
        <f t="shared" si="11"/>
        <v>0.66891159925343513</v>
      </c>
      <c r="AO26">
        <v>10</v>
      </c>
      <c r="AP26">
        <v>21</v>
      </c>
      <c r="AQ26">
        <f t="shared" si="64"/>
        <v>483</v>
      </c>
      <c r="AR26">
        <f t="shared" si="12"/>
        <v>89.114391143911448</v>
      </c>
      <c r="AS26">
        <f t="shared" si="13"/>
        <v>56.756756756756758</v>
      </c>
      <c r="AT26">
        <f t="shared" si="14"/>
        <v>1.0222399521292562</v>
      </c>
      <c r="AY26">
        <v>10</v>
      </c>
      <c r="AZ26">
        <v>21</v>
      </c>
      <c r="BA26">
        <f t="shared" si="65"/>
        <v>492</v>
      </c>
      <c r="BB26">
        <f t="shared" si="15"/>
        <v>92.57691222128139</v>
      </c>
      <c r="BC26">
        <f t="shared" si="16"/>
        <v>60</v>
      </c>
      <c r="BD26">
        <f t="shared" si="17"/>
        <v>1.1021060978724002</v>
      </c>
      <c r="BI26">
        <v>5</v>
      </c>
      <c r="BJ26">
        <v>21</v>
      </c>
      <c r="BK26">
        <f t="shared" si="66"/>
        <v>284</v>
      </c>
      <c r="BL26">
        <f t="shared" si="18"/>
        <v>91.244979919678713</v>
      </c>
      <c r="BM26">
        <f t="shared" si="19"/>
        <v>56.756756756756758</v>
      </c>
      <c r="BN26">
        <f t="shared" si="20"/>
        <v>0.8900466731791985</v>
      </c>
      <c r="BS26">
        <v>3.5</v>
      </c>
      <c r="BT26">
        <v>21</v>
      </c>
      <c r="BU26">
        <f t="shared" si="67"/>
        <v>246</v>
      </c>
      <c r="BV26">
        <f t="shared" si="21"/>
        <v>93.27014218009478</v>
      </c>
      <c r="BW26">
        <f t="shared" si="22"/>
        <v>63.636363636363633</v>
      </c>
      <c r="BX26">
        <f t="shared" si="23"/>
        <v>0.82435731724831385</v>
      </c>
      <c r="CC26">
        <v>2</v>
      </c>
      <c r="CD26">
        <v>21</v>
      </c>
      <c r="CE26">
        <f t="shared" si="68"/>
        <v>122</v>
      </c>
      <c r="CF26">
        <f t="shared" si="24"/>
        <v>92.705167173252278</v>
      </c>
      <c r="CG26">
        <f t="shared" si="25"/>
        <v>65.625</v>
      </c>
      <c r="CH26">
        <f t="shared" si="26"/>
        <v>0.97359422492401393</v>
      </c>
      <c r="CM26">
        <v>1.1000000000000001</v>
      </c>
      <c r="CN26">
        <v>21</v>
      </c>
      <c r="CO26">
        <f t="shared" si="69"/>
        <v>110.1</v>
      </c>
      <c r="CP26">
        <f t="shared" si="27"/>
        <v>98.128342245989302</v>
      </c>
      <c r="CQ26">
        <f t="shared" si="28"/>
        <v>84</v>
      </c>
      <c r="CR26">
        <f t="shared" si="29"/>
        <v>0.80392156862744235</v>
      </c>
      <c r="CW26">
        <v>7</v>
      </c>
      <c r="CX26">
        <v>21</v>
      </c>
      <c r="CY26">
        <f t="shared" si="70"/>
        <v>243</v>
      </c>
      <c r="CZ26">
        <f t="shared" si="30"/>
        <v>88.994689617286198</v>
      </c>
      <c r="DA26">
        <f t="shared" si="31"/>
        <v>56.756756756756758</v>
      </c>
      <c r="DB26">
        <f t="shared" si="32"/>
        <v>1.4203912757291177</v>
      </c>
      <c r="DG26">
        <v>3</v>
      </c>
      <c r="DH26">
        <v>21</v>
      </c>
      <c r="DI26">
        <f t="shared" si="71"/>
        <v>206</v>
      </c>
      <c r="DJ26">
        <f t="shared" si="33"/>
        <v>94.214498056254286</v>
      </c>
      <c r="DK26">
        <f t="shared" si="34"/>
        <v>70</v>
      </c>
      <c r="DL26">
        <f t="shared" si="35"/>
        <v>0.93757146123942237</v>
      </c>
      <c r="DQ26">
        <v>2.5</v>
      </c>
      <c r="DR26">
        <v>21</v>
      </c>
      <c r="DS26">
        <f t="shared" si="72"/>
        <v>177</v>
      </c>
      <c r="DT26">
        <f t="shared" si="36"/>
        <v>95.161290322580655</v>
      </c>
      <c r="DU26">
        <f t="shared" si="37"/>
        <v>70</v>
      </c>
      <c r="DV26">
        <f t="shared" si="38"/>
        <v>0.91845878136200698</v>
      </c>
      <c r="EA26">
        <v>4</v>
      </c>
      <c r="EB26">
        <v>21</v>
      </c>
      <c r="EC26">
        <f t="shared" si="73"/>
        <v>208</v>
      </c>
      <c r="ED26">
        <f t="shared" si="39"/>
        <v>91.058334245375946</v>
      </c>
      <c r="EE26">
        <f t="shared" si="40"/>
        <v>55.26315789473685</v>
      </c>
      <c r="EF26">
        <f t="shared" si="41"/>
        <v>0.94468413564281473</v>
      </c>
      <c r="EK26">
        <v>2.5</v>
      </c>
      <c r="EL26">
        <v>21</v>
      </c>
      <c r="EM26">
        <f t="shared" si="74"/>
        <v>141.5</v>
      </c>
      <c r="EN26">
        <f t="shared" si="42"/>
        <v>90.070019096117122</v>
      </c>
      <c r="EO26">
        <f t="shared" si="43"/>
        <v>58.333333333333336</v>
      </c>
      <c r="EP26">
        <f t="shared" si="44"/>
        <v>0.90618148383902453</v>
      </c>
      <c r="EU26">
        <v>1.5</v>
      </c>
      <c r="EV26">
        <v>21</v>
      </c>
      <c r="EW26">
        <f t="shared" si="75"/>
        <v>99.5</v>
      </c>
      <c r="EX26">
        <f t="shared" si="45"/>
        <v>92.83881502216002</v>
      </c>
      <c r="EY26">
        <f t="shared" si="46"/>
        <v>61.764705882352942</v>
      </c>
      <c r="EZ26">
        <f t="shared" si="47"/>
        <v>0.84386448771251321</v>
      </c>
      <c r="FE26">
        <v>4</v>
      </c>
      <c r="FF26">
        <v>21</v>
      </c>
      <c r="FG26">
        <f t="shared" si="76"/>
        <v>144</v>
      </c>
      <c r="FH26">
        <f t="shared" si="48"/>
        <v>81.981212638770288</v>
      </c>
      <c r="FI26">
        <f t="shared" si="49"/>
        <v>52.5</v>
      </c>
      <c r="FJ26">
        <f t="shared" si="50"/>
        <v>1.1670936521491657</v>
      </c>
      <c r="FO26">
        <v>2.5</v>
      </c>
      <c r="FP26">
        <v>21</v>
      </c>
      <c r="FQ26">
        <f t="shared" si="77"/>
        <v>122</v>
      </c>
      <c r="FR26">
        <f t="shared" si="51"/>
        <v>89.80493191019508</v>
      </c>
      <c r="FS26">
        <f t="shared" si="52"/>
        <v>60</v>
      </c>
      <c r="FT26">
        <f t="shared" si="53"/>
        <v>1.0778694989221329</v>
      </c>
      <c r="FY26">
        <v>2</v>
      </c>
      <c r="FZ26">
        <v>21</v>
      </c>
      <c r="GA26">
        <f t="shared" si="78"/>
        <v>113</v>
      </c>
      <c r="GB26">
        <f t="shared" si="54"/>
        <v>87.732919254658384</v>
      </c>
      <c r="GC26">
        <f t="shared" si="55"/>
        <v>60</v>
      </c>
      <c r="GD26">
        <f t="shared" si="56"/>
        <v>0.90949423247560301</v>
      </c>
      <c r="GI26">
        <v>2.5</v>
      </c>
      <c r="GJ26">
        <v>21</v>
      </c>
      <c r="GK26">
        <f t="shared" si="79"/>
        <v>117</v>
      </c>
      <c r="GL26">
        <f t="shared" si="57"/>
        <v>88.63636363636364</v>
      </c>
      <c r="GM26">
        <f t="shared" si="58"/>
        <v>63.636363636363633</v>
      </c>
      <c r="GN26">
        <f t="shared" si="59"/>
        <v>1.1765381083562882</v>
      </c>
    </row>
    <row r="27" spans="1:196" x14ac:dyDescent="0.2">
      <c r="A27">
        <v>8</v>
      </c>
      <c r="B27">
        <v>22</v>
      </c>
      <c r="C27">
        <f t="shared" si="60"/>
        <v>602</v>
      </c>
      <c r="D27">
        <f t="shared" si="0"/>
        <v>87.665647298674827</v>
      </c>
      <c r="E27">
        <f t="shared" si="1"/>
        <v>44.897959183673471</v>
      </c>
      <c r="F27">
        <f t="shared" si="2"/>
        <v>0.51116995509431407</v>
      </c>
      <c r="K27">
        <v>7</v>
      </c>
      <c r="L27">
        <v>22</v>
      </c>
      <c r="M27">
        <f t="shared" si="61"/>
        <v>506.5</v>
      </c>
      <c r="N27">
        <f t="shared" si="3"/>
        <v>96.356891467706632</v>
      </c>
      <c r="O27">
        <f t="shared" si="4"/>
        <v>66.666666666666657</v>
      </c>
      <c r="P27">
        <f t="shared" si="5"/>
        <v>0.86761268155732207</v>
      </c>
      <c r="U27">
        <v>8</v>
      </c>
      <c r="V27">
        <v>22</v>
      </c>
      <c r="W27">
        <f t="shared" si="62"/>
        <v>542</v>
      </c>
      <c r="X27">
        <f t="shared" si="6"/>
        <v>94.015611448395489</v>
      </c>
      <c r="Y27">
        <f t="shared" si="7"/>
        <v>66.666666666666657</v>
      </c>
      <c r="Z27">
        <f t="shared" si="8"/>
        <v>0.90409734815632603</v>
      </c>
      <c r="AE27">
        <v>4</v>
      </c>
      <c r="AF27">
        <v>22</v>
      </c>
      <c r="AG27">
        <f t="shared" si="63"/>
        <v>405</v>
      </c>
      <c r="AH27">
        <f t="shared" si="9"/>
        <v>95.148596264536579</v>
      </c>
      <c r="AI27">
        <f t="shared" si="10"/>
        <v>61.111111111111114</v>
      </c>
      <c r="AJ27">
        <f t="shared" si="11"/>
        <v>0.5612331466906787</v>
      </c>
      <c r="AO27">
        <v>10</v>
      </c>
      <c r="AP27">
        <v>22</v>
      </c>
      <c r="AQ27">
        <f t="shared" si="64"/>
        <v>493</v>
      </c>
      <c r="AR27">
        <f t="shared" si="12"/>
        <v>90.959409594095945</v>
      </c>
      <c r="AS27">
        <f t="shared" si="13"/>
        <v>59.45945945945946</v>
      </c>
      <c r="AT27">
        <f t="shared" si="14"/>
        <v>1.0721053156477485</v>
      </c>
      <c r="AY27">
        <v>7</v>
      </c>
      <c r="AZ27">
        <v>22</v>
      </c>
      <c r="BA27">
        <f t="shared" si="65"/>
        <v>499</v>
      </c>
      <c r="BB27">
        <f t="shared" si="15"/>
        <v>93.894063411421584</v>
      </c>
      <c r="BC27">
        <f t="shared" si="16"/>
        <v>62.857142857142854</v>
      </c>
      <c r="BD27">
        <f t="shared" si="17"/>
        <v>0.80910715965754787</v>
      </c>
      <c r="BI27">
        <v>3.5</v>
      </c>
      <c r="BJ27">
        <v>22</v>
      </c>
      <c r="BK27">
        <f t="shared" si="66"/>
        <v>287.5</v>
      </c>
      <c r="BL27">
        <f t="shared" si="18"/>
        <v>92.369477911646598</v>
      </c>
      <c r="BM27">
        <f t="shared" si="19"/>
        <v>59.45945945945946</v>
      </c>
      <c r="BN27">
        <f t="shared" si="20"/>
        <v>0.65342450884620373</v>
      </c>
      <c r="BS27">
        <v>3</v>
      </c>
      <c r="BT27">
        <v>22</v>
      </c>
      <c r="BU27">
        <f t="shared" si="67"/>
        <v>249</v>
      </c>
      <c r="BV27">
        <f t="shared" si="21"/>
        <v>94.407582938388629</v>
      </c>
      <c r="BW27">
        <f t="shared" si="22"/>
        <v>66.666666666666657</v>
      </c>
      <c r="BX27">
        <f t="shared" si="23"/>
        <v>0.74105988797932565</v>
      </c>
      <c r="CC27">
        <v>2</v>
      </c>
      <c r="CD27">
        <v>22</v>
      </c>
      <c r="CE27">
        <f t="shared" si="68"/>
        <v>124</v>
      </c>
      <c r="CF27">
        <f t="shared" si="24"/>
        <v>94.224924012158056</v>
      </c>
      <c r="CG27">
        <f t="shared" si="25"/>
        <v>68.75</v>
      </c>
      <c r="CH27">
        <f t="shared" si="26"/>
        <v>1.0210866261398195</v>
      </c>
      <c r="CM27">
        <v>1</v>
      </c>
      <c r="CN27">
        <v>22</v>
      </c>
      <c r="CO27">
        <f t="shared" si="69"/>
        <v>111.1</v>
      </c>
      <c r="CP27">
        <f t="shared" si="27"/>
        <v>99.019607843137265</v>
      </c>
      <c r="CQ27">
        <f t="shared" si="28"/>
        <v>88</v>
      </c>
      <c r="CR27">
        <f t="shared" si="29"/>
        <v>0.76648841354724884</v>
      </c>
      <c r="CW27">
        <v>5</v>
      </c>
      <c r="CX27">
        <v>22</v>
      </c>
      <c r="CY27">
        <f t="shared" si="70"/>
        <v>248</v>
      </c>
      <c r="CZ27">
        <f t="shared" si="30"/>
        <v>90.825856070316789</v>
      </c>
      <c r="DA27">
        <f t="shared" si="31"/>
        <v>59.45945945945946</v>
      </c>
      <c r="DB27">
        <f t="shared" si="32"/>
        <v>1.0640561821664243</v>
      </c>
      <c r="DG27">
        <v>3</v>
      </c>
      <c r="DH27">
        <v>22</v>
      </c>
      <c r="DI27">
        <f t="shared" si="71"/>
        <v>209</v>
      </c>
      <c r="DJ27">
        <f t="shared" si="33"/>
        <v>95.586553853190026</v>
      </c>
      <c r="DK27">
        <f t="shared" si="34"/>
        <v>73.333333333333329</v>
      </c>
      <c r="DL27">
        <f t="shared" si="35"/>
        <v>0.98330665447061361</v>
      </c>
      <c r="DQ27">
        <v>2.5</v>
      </c>
      <c r="DR27">
        <v>22</v>
      </c>
      <c r="DS27">
        <f t="shared" si="72"/>
        <v>179.5</v>
      </c>
      <c r="DT27">
        <f t="shared" si="36"/>
        <v>96.505376344086031</v>
      </c>
      <c r="DU27">
        <f t="shared" si="37"/>
        <v>73.333333333333329</v>
      </c>
      <c r="DV27">
        <f t="shared" si="38"/>
        <v>0.96326164874551934</v>
      </c>
      <c r="EA27">
        <v>3.5</v>
      </c>
      <c r="EB27">
        <v>22</v>
      </c>
      <c r="EC27">
        <f t="shared" si="73"/>
        <v>211.5</v>
      </c>
      <c r="ED27">
        <f t="shared" si="39"/>
        <v>92.590565831235637</v>
      </c>
      <c r="EE27">
        <f t="shared" si="40"/>
        <v>57.894736842105267</v>
      </c>
      <c r="EF27">
        <f t="shared" si="41"/>
        <v>0.86692050252587771</v>
      </c>
      <c r="EK27">
        <v>2.5</v>
      </c>
      <c r="EL27">
        <v>22</v>
      </c>
      <c r="EM27">
        <f t="shared" si="74"/>
        <v>144</v>
      </c>
      <c r="EN27">
        <f t="shared" si="42"/>
        <v>91.661362189688106</v>
      </c>
      <c r="EO27">
        <f t="shared" si="43"/>
        <v>61.111111111111114</v>
      </c>
      <c r="EP27">
        <f t="shared" si="44"/>
        <v>0.95038545866044888</v>
      </c>
      <c r="EU27">
        <v>1</v>
      </c>
      <c r="EV27">
        <v>22</v>
      </c>
      <c r="EW27">
        <f t="shared" si="75"/>
        <v>100.5</v>
      </c>
      <c r="EX27">
        <f t="shared" si="45"/>
        <v>93.771868439468165</v>
      </c>
      <c r="EY27">
        <f t="shared" si="46"/>
        <v>64.705882352941174</v>
      </c>
      <c r="EZ27">
        <f t="shared" si="47"/>
        <v>0.590019072709562</v>
      </c>
      <c r="FE27">
        <v>3.5</v>
      </c>
      <c r="FF27">
        <v>22</v>
      </c>
      <c r="FG27">
        <f t="shared" si="76"/>
        <v>147.5</v>
      </c>
      <c r="FH27">
        <f t="shared" si="48"/>
        <v>83.973811557073716</v>
      </c>
      <c r="FI27">
        <f t="shared" si="49"/>
        <v>55.000000000000007</v>
      </c>
      <c r="FJ27">
        <f t="shared" si="50"/>
        <v>1.0710219185880931</v>
      </c>
      <c r="FO27">
        <v>2</v>
      </c>
      <c r="FP27">
        <v>22</v>
      </c>
      <c r="FQ27">
        <f t="shared" si="77"/>
        <v>124</v>
      </c>
      <c r="FR27">
        <f t="shared" si="51"/>
        <v>91.277143908722863</v>
      </c>
      <c r="FS27">
        <f t="shared" si="52"/>
        <v>62.857142857142854</v>
      </c>
      <c r="FT27">
        <f t="shared" si="53"/>
        <v>0.9043587990956381</v>
      </c>
      <c r="FY27">
        <v>2</v>
      </c>
      <c r="FZ27">
        <v>22</v>
      </c>
      <c r="GA27">
        <f t="shared" si="78"/>
        <v>115</v>
      </c>
      <c r="GB27">
        <f t="shared" si="54"/>
        <v>89.285714285714278</v>
      </c>
      <c r="GC27">
        <f t="shared" si="55"/>
        <v>62.857142857142854</v>
      </c>
      <c r="GD27">
        <f t="shared" si="56"/>
        <v>0.95385980479147747</v>
      </c>
      <c r="GI27">
        <v>2</v>
      </c>
      <c r="GJ27">
        <v>22</v>
      </c>
      <c r="GK27">
        <f t="shared" si="79"/>
        <v>119</v>
      </c>
      <c r="GL27">
        <f t="shared" si="57"/>
        <v>90.151515151515156</v>
      </c>
      <c r="GM27">
        <f t="shared" si="58"/>
        <v>66.666666666666657</v>
      </c>
      <c r="GN27">
        <f t="shared" si="59"/>
        <v>0.98714416896235091</v>
      </c>
    </row>
    <row r="28" spans="1:196" x14ac:dyDescent="0.2">
      <c r="A28">
        <v>8</v>
      </c>
      <c r="B28">
        <v>23</v>
      </c>
      <c r="C28">
        <f t="shared" si="60"/>
        <v>610</v>
      </c>
      <c r="D28">
        <f t="shared" si="0"/>
        <v>88.830639289354892</v>
      </c>
      <c r="E28">
        <f t="shared" si="1"/>
        <v>46.938775510204081</v>
      </c>
      <c r="F28">
        <f t="shared" si="2"/>
        <v>0.53494530184288691</v>
      </c>
      <c r="K28">
        <v>6</v>
      </c>
      <c r="L28">
        <v>23</v>
      </c>
      <c r="M28">
        <f t="shared" si="61"/>
        <v>512.5</v>
      </c>
      <c r="N28">
        <f t="shared" si="3"/>
        <v>97.498335394273738</v>
      </c>
      <c r="O28">
        <f t="shared" si="4"/>
        <v>69.696969696969703</v>
      </c>
      <c r="P28">
        <f t="shared" si="5"/>
        <v>0.77825722265939079</v>
      </c>
      <c r="U28">
        <v>8</v>
      </c>
      <c r="V28">
        <v>23</v>
      </c>
      <c r="W28">
        <f t="shared" si="62"/>
        <v>550</v>
      </c>
      <c r="X28">
        <f t="shared" si="6"/>
        <v>95.403295750216827</v>
      </c>
      <c r="Y28">
        <f t="shared" si="7"/>
        <v>69.696969696969703</v>
      </c>
      <c r="Z28">
        <f t="shared" si="8"/>
        <v>0.94614838760545761</v>
      </c>
      <c r="AE28">
        <v>3.5</v>
      </c>
      <c r="AF28">
        <v>23</v>
      </c>
      <c r="AG28">
        <f t="shared" si="63"/>
        <v>408.5</v>
      </c>
      <c r="AH28">
        <f t="shared" si="9"/>
        <v>95.970868084106655</v>
      </c>
      <c r="AI28">
        <f t="shared" si="10"/>
        <v>63.888888888888886</v>
      </c>
      <c r="AJ28">
        <f t="shared" si="11"/>
        <v>0.51391988723129778</v>
      </c>
      <c r="AO28">
        <v>7</v>
      </c>
      <c r="AP28">
        <v>23</v>
      </c>
      <c r="AQ28">
        <f t="shared" si="64"/>
        <v>500</v>
      </c>
      <c r="AR28">
        <f t="shared" si="12"/>
        <v>92.250922509225092</v>
      </c>
      <c r="AS28">
        <f t="shared" si="13"/>
        <v>62.162162162162161</v>
      </c>
      <c r="AT28">
        <f t="shared" si="14"/>
        <v>0.78537947541637299</v>
      </c>
      <c r="AY28">
        <v>6</v>
      </c>
      <c r="AZ28">
        <v>23</v>
      </c>
      <c r="BA28">
        <f t="shared" si="65"/>
        <v>505</v>
      </c>
      <c r="BB28">
        <f t="shared" si="15"/>
        <v>95.023050145827455</v>
      </c>
      <c r="BC28">
        <f t="shared" si="16"/>
        <v>65.714285714285708</v>
      </c>
      <c r="BD28">
        <f t="shared" si="17"/>
        <v>0.72577718640377387</v>
      </c>
      <c r="BI28">
        <v>3.5</v>
      </c>
      <c r="BJ28">
        <v>23</v>
      </c>
      <c r="BK28">
        <f t="shared" si="66"/>
        <v>291</v>
      </c>
      <c r="BL28">
        <f t="shared" si="18"/>
        <v>93.493975903614455</v>
      </c>
      <c r="BM28">
        <f t="shared" si="19"/>
        <v>62.162162162162161</v>
      </c>
      <c r="BN28">
        <f t="shared" si="20"/>
        <v>0.68381634646694012</v>
      </c>
      <c r="BS28">
        <v>3</v>
      </c>
      <c r="BT28">
        <v>23</v>
      </c>
      <c r="BU28">
        <f t="shared" si="67"/>
        <v>252</v>
      </c>
      <c r="BV28">
        <f t="shared" si="21"/>
        <v>95.545023696682463</v>
      </c>
      <c r="BW28">
        <f t="shared" si="22"/>
        <v>69.696969696969703</v>
      </c>
      <c r="BX28">
        <f t="shared" si="23"/>
        <v>0.77552778974579639</v>
      </c>
      <c r="CC28">
        <v>2</v>
      </c>
      <c r="CD28">
        <v>23</v>
      </c>
      <c r="CE28">
        <f t="shared" si="68"/>
        <v>126</v>
      </c>
      <c r="CF28">
        <f t="shared" si="24"/>
        <v>95.744680851063833</v>
      </c>
      <c r="CG28">
        <f t="shared" si="25"/>
        <v>71.875</v>
      </c>
      <c r="CH28">
        <f t="shared" si="26"/>
        <v>1.068579027355625</v>
      </c>
      <c r="CM28">
        <v>0.75</v>
      </c>
      <c r="CN28">
        <v>23</v>
      </c>
      <c r="CO28">
        <f t="shared" si="69"/>
        <v>111.85</v>
      </c>
      <c r="CP28">
        <f t="shared" si="27"/>
        <v>99.688057040998217</v>
      </c>
      <c r="CQ28">
        <f t="shared" si="28"/>
        <v>92</v>
      </c>
      <c r="CR28">
        <f t="shared" si="29"/>
        <v>0.60160427807485628</v>
      </c>
      <c r="CW28">
        <v>5</v>
      </c>
      <c r="CX28">
        <v>23</v>
      </c>
      <c r="CY28">
        <f t="shared" si="70"/>
        <v>253</v>
      </c>
      <c r="CZ28">
        <f t="shared" si="30"/>
        <v>92.657022523347365</v>
      </c>
      <c r="DA28">
        <f t="shared" si="31"/>
        <v>62.162162162162161</v>
      </c>
      <c r="DB28">
        <f t="shared" si="32"/>
        <v>1.1135471673834585</v>
      </c>
      <c r="DG28">
        <v>2.5</v>
      </c>
      <c r="DH28">
        <v>23</v>
      </c>
      <c r="DI28">
        <f t="shared" si="71"/>
        <v>211.5</v>
      </c>
      <c r="DJ28">
        <f t="shared" si="33"/>
        <v>96.729933683969819</v>
      </c>
      <c r="DK28">
        <f t="shared" si="34"/>
        <v>76.666666666666671</v>
      </c>
      <c r="DL28">
        <f t="shared" si="35"/>
        <v>0.85753487308484466</v>
      </c>
      <c r="DQ28">
        <v>1.5</v>
      </c>
      <c r="DR28">
        <v>23</v>
      </c>
      <c r="DS28">
        <f t="shared" si="72"/>
        <v>181</v>
      </c>
      <c r="DT28">
        <f t="shared" si="36"/>
        <v>97.311827956989248</v>
      </c>
      <c r="DU28">
        <f t="shared" si="37"/>
        <v>76.666666666666671</v>
      </c>
      <c r="DV28">
        <f t="shared" si="38"/>
        <v>0.60483870967741282</v>
      </c>
      <c r="EA28">
        <v>3</v>
      </c>
      <c r="EB28">
        <v>23</v>
      </c>
      <c r="EC28">
        <f t="shared" si="73"/>
        <v>214.5</v>
      </c>
      <c r="ED28">
        <f t="shared" si="39"/>
        <v>93.903907190543947</v>
      </c>
      <c r="EE28">
        <f t="shared" si="40"/>
        <v>60.526315789473685</v>
      </c>
      <c r="EF28">
        <f t="shared" si="41"/>
        <v>0.77763633116939446</v>
      </c>
      <c r="EK28">
        <v>2</v>
      </c>
      <c r="EL28">
        <v>23</v>
      </c>
      <c r="EM28">
        <f t="shared" si="74"/>
        <v>146</v>
      </c>
      <c r="EN28">
        <f t="shared" si="42"/>
        <v>92.93443666454489</v>
      </c>
      <c r="EO28">
        <f t="shared" si="43"/>
        <v>63.888888888888886</v>
      </c>
      <c r="EP28">
        <f t="shared" si="44"/>
        <v>0.79567154678549035</v>
      </c>
      <c r="EU28">
        <v>1</v>
      </c>
      <c r="EV28">
        <v>23</v>
      </c>
      <c r="EW28">
        <f t="shared" si="75"/>
        <v>101.5</v>
      </c>
      <c r="EX28">
        <f t="shared" si="45"/>
        <v>94.704921856776309</v>
      </c>
      <c r="EY28">
        <f t="shared" si="46"/>
        <v>67.64705882352942</v>
      </c>
      <c r="EZ28">
        <f t="shared" si="47"/>
        <v>0.61746182027744867</v>
      </c>
      <c r="FE28">
        <v>3</v>
      </c>
      <c r="FF28">
        <v>23</v>
      </c>
      <c r="FG28">
        <f t="shared" si="76"/>
        <v>150.5</v>
      </c>
      <c r="FH28">
        <f t="shared" si="48"/>
        <v>85.681753487048113</v>
      </c>
      <c r="FI28">
        <f t="shared" si="49"/>
        <v>57.499999999999993</v>
      </c>
      <c r="FJ28">
        <f t="shared" si="50"/>
        <v>0.96071733561059769</v>
      </c>
      <c r="FO28">
        <v>2</v>
      </c>
      <c r="FP28">
        <v>23</v>
      </c>
      <c r="FQ28">
        <f t="shared" si="77"/>
        <v>126</v>
      </c>
      <c r="FR28">
        <f t="shared" si="51"/>
        <v>92.749355907250646</v>
      </c>
      <c r="FS28">
        <f t="shared" si="52"/>
        <v>65.714285714285708</v>
      </c>
      <c r="FT28">
        <f t="shared" si="53"/>
        <v>0.9464219990535746</v>
      </c>
      <c r="FY28">
        <v>2</v>
      </c>
      <c r="FZ28">
        <v>23</v>
      </c>
      <c r="GA28">
        <f t="shared" si="78"/>
        <v>117</v>
      </c>
      <c r="GB28">
        <f t="shared" si="54"/>
        <v>90.838509316770171</v>
      </c>
      <c r="GC28">
        <f t="shared" si="55"/>
        <v>65.714285714285708</v>
      </c>
      <c r="GD28">
        <f t="shared" si="56"/>
        <v>0.99822537710736003</v>
      </c>
      <c r="GI28">
        <v>2</v>
      </c>
      <c r="GJ28">
        <v>23</v>
      </c>
      <c r="GK28">
        <f t="shared" si="79"/>
        <v>121</v>
      </c>
      <c r="GL28">
        <f t="shared" si="57"/>
        <v>91.666666666666657</v>
      </c>
      <c r="GM28">
        <f t="shared" si="58"/>
        <v>69.696969696969703</v>
      </c>
      <c r="GN28">
        <f t="shared" si="59"/>
        <v>1.03305785123966</v>
      </c>
    </row>
    <row r="29" spans="1:196" x14ac:dyDescent="0.2">
      <c r="A29">
        <v>8</v>
      </c>
      <c r="B29">
        <v>24</v>
      </c>
      <c r="C29">
        <f t="shared" si="60"/>
        <v>618</v>
      </c>
      <c r="D29">
        <f t="shared" si="0"/>
        <v>89.995631280034956</v>
      </c>
      <c r="E29">
        <f t="shared" si="1"/>
        <v>48.979591836734691</v>
      </c>
      <c r="F29">
        <f t="shared" si="2"/>
        <v>0.55872064859145953</v>
      </c>
      <c r="K29">
        <v>4</v>
      </c>
      <c r="L29">
        <v>24</v>
      </c>
      <c r="M29">
        <f t="shared" si="61"/>
        <v>516.5</v>
      </c>
      <c r="N29">
        <f t="shared" si="3"/>
        <v>98.259298011985138</v>
      </c>
      <c r="O29">
        <f t="shared" si="4"/>
        <v>72.727272727272734</v>
      </c>
      <c r="P29">
        <f t="shared" si="5"/>
        <v>0.54189762170357236</v>
      </c>
      <c r="U29">
        <v>7</v>
      </c>
      <c r="V29">
        <v>24</v>
      </c>
      <c r="W29">
        <f t="shared" si="62"/>
        <v>557</v>
      </c>
      <c r="X29">
        <f t="shared" si="6"/>
        <v>96.617519514310487</v>
      </c>
      <c r="Y29">
        <f t="shared" si="7"/>
        <v>72.727272727272734</v>
      </c>
      <c r="Z29">
        <f t="shared" si="8"/>
        <v>0.86467449867275792</v>
      </c>
      <c r="AE29">
        <v>3.5</v>
      </c>
      <c r="AF29">
        <v>24</v>
      </c>
      <c r="AG29">
        <f t="shared" si="63"/>
        <v>412</v>
      </c>
      <c r="AH29">
        <f t="shared" si="9"/>
        <v>96.793139903676717</v>
      </c>
      <c r="AI29">
        <f t="shared" si="10"/>
        <v>66.666666666666657</v>
      </c>
      <c r="AJ29">
        <f t="shared" si="11"/>
        <v>0.53676077110823495</v>
      </c>
      <c r="AO29">
        <v>7</v>
      </c>
      <c r="AP29">
        <v>24</v>
      </c>
      <c r="AQ29">
        <f t="shared" si="64"/>
        <v>507</v>
      </c>
      <c r="AR29">
        <f t="shared" si="12"/>
        <v>93.542435424354238</v>
      </c>
      <c r="AS29">
        <f t="shared" si="13"/>
        <v>64.86486486486487</v>
      </c>
      <c r="AT29">
        <f t="shared" si="14"/>
        <v>0.82028522987932295</v>
      </c>
      <c r="AY29">
        <v>5</v>
      </c>
      <c r="AZ29">
        <v>24</v>
      </c>
      <c r="BA29">
        <f t="shared" si="65"/>
        <v>510</v>
      </c>
      <c r="BB29">
        <f t="shared" si="15"/>
        <v>95.963872424499002</v>
      </c>
      <c r="BC29">
        <f t="shared" si="16"/>
        <v>68.571428571428569</v>
      </c>
      <c r="BD29">
        <f t="shared" si="17"/>
        <v>0.63169495853661006</v>
      </c>
      <c r="BI29">
        <v>3</v>
      </c>
      <c r="BJ29">
        <v>24</v>
      </c>
      <c r="BK29">
        <f t="shared" si="66"/>
        <v>294</v>
      </c>
      <c r="BL29">
        <f t="shared" si="18"/>
        <v>94.4578313253012</v>
      </c>
      <c r="BM29">
        <f t="shared" si="19"/>
        <v>64.86486486486487</v>
      </c>
      <c r="BN29">
        <f t="shared" si="20"/>
        <v>0.6121784435037434</v>
      </c>
      <c r="BS29">
        <v>2.5</v>
      </c>
      <c r="BT29">
        <v>24</v>
      </c>
      <c r="BU29">
        <f t="shared" si="67"/>
        <v>254.5</v>
      </c>
      <c r="BV29">
        <f t="shared" si="21"/>
        <v>96.492890995260666</v>
      </c>
      <c r="BW29">
        <f t="shared" si="22"/>
        <v>72.727272727272734</v>
      </c>
      <c r="BX29">
        <f t="shared" si="23"/>
        <v>0.67499640959356855</v>
      </c>
      <c r="CC29">
        <v>1</v>
      </c>
      <c r="CD29">
        <v>24</v>
      </c>
      <c r="CE29">
        <f t="shared" si="68"/>
        <v>127</v>
      </c>
      <c r="CF29">
        <f t="shared" si="24"/>
        <v>96.504559270516722</v>
      </c>
      <c r="CG29">
        <f t="shared" si="25"/>
        <v>75</v>
      </c>
      <c r="CH29">
        <f t="shared" si="26"/>
        <v>0.5580357142857153</v>
      </c>
      <c r="CM29">
        <v>0.25</v>
      </c>
      <c r="CN29">
        <v>24</v>
      </c>
      <c r="CO29">
        <f t="shared" si="69"/>
        <v>112.1</v>
      </c>
      <c r="CP29">
        <f t="shared" si="27"/>
        <v>99.910873440285215</v>
      </c>
      <c r="CQ29">
        <f t="shared" si="28"/>
        <v>96</v>
      </c>
      <c r="CR29">
        <f t="shared" si="29"/>
        <v>0.20944741532977815</v>
      </c>
      <c r="CW29">
        <v>5</v>
      </c>
      <c r="CX29">
        <v>24</v>
      </c>
      <c r="CY29">
        <f t="shared" si="70"/>
        <v>258</v>
      </c>
      <c r="CZ29">
        <f t="shared" si="30"/>
        <v>94.488188976377955</v>
      </c>
      <c r="DA29">
        <f t="shared" si="31"/>
        <v>64.86486486486487</v>
      </c>
      <c r="DB29">
        <f t="shared" si="32"/>
        <v>1.1630381526005102</v>
      </c>
      <c r="DG29">
        <v>2.5</v>
      </c>
      <c r="DH29">
        <v>24</v>
      </c>
      <c r="DI29">
        <f t="shared" si="71"/>
        <v>214</v>
      </c>
      <c r="DJ29">
        <f t="shared" si="33"/>
        <v>97.873313514749597</v>
      </c>
      <c r="DK29">
        <f t="shared" si="34"/>
        <v>80</v>
      </c>
      <c r="DL29">
        <f t="shared" si="35"/>
        <v>0.89564753411082676</v>
      </c>
      <c r="DQ29">
        <v>1.5</v>
      </c>
      <c r="DR29">
        <v>24</v>
      </c>
      <c r="DS29">
        <f t="shared" si="72"/>
        <v>182.5</v>
      </c>
      <c r="DT29">
        <f t="shared" si="36"/>
        <v>98.118279569892479</v>
      </c>
      <c r="DU29">
        <f t="shared" si="37"/>
        <v>80</v>
      </c>
      <c r="DV29">
        <f t="shared" si="38"/>
        <v>0.63172043010753132</v>
      </c>
      <c r="EA29">
        <v>3</v>
      </c>
      <c r="EB29">
        <v>24</v>
      </c>
      <c r="EC29">
        <f t="shared" si="73"/>
        <v>217.5</v>
      </c>
      <c r="ED29">
        <f t="shared" si="39"/>
        <v>95.217248549852258</v>
      </c>
      <c r="EE29">
        <f t="shared" si="40"/>
        <v>63.157894736842103</v>
      </c>
      <c r="EF29">
        <f t="shared" si="41"/>
        <v>0.81219794588803407</v>
      </c>
      <c r="EK29">
        <v>2</v>
      </c>
      <c r="EL29">
        <v>24</v>
      </c>
      <c r="EM29">
        <f t="shared" si="74"/>
        <v>148</v>
      </c>
      <c r="EN29">
        <f t="shared" si="42"/>
        <v>94.20751113940166</v>
      </c>
      <c r="EO29">
        <f t="shared" si="43"/>
        <v>66.666666666666657</v>
      </c>
      <c r="EP29">
        <f t="shared" si="44"/>
        <v>0.8310347266426138</v>
      </c>
      <c r="EU29">
        <v>1</v>
      </c>
      <c r="EV29">
        <v>24</v>
      </c>
      <c r="EW29">
        <f t="shared" si="75"/>
        <v>102.5</v>
      </c>
      <c r="EX29">
        <f t="shared" si="45"/>
        <v>95.63797527408444</v>
      </c>
      <c r="EY29">
        <f t="shared" si="46"/>
        <v>70.588235294117652</v>
      </c>
      <c r="EZ29">
        <f t="shared" si="47"/>
        <v>0.64490456784532557</v>
      </c>
      <c r="FE29">
        <v>3</v>
      </c>
      <c r="FF29">
        <v>24</v>
      </c>
      <c r="FG29">
        <f t="shared" si="76"/>
        <v>153.5</v>
      </c>
      <c r="FH29">
        <f t="shared" si="48"/>
        <v>87.38969541702248</v>
      </c>
      <c r="FI29">
        <f t="shared" si="49"/>
        <v>60</v>
      </c>
      <c r="FJ29">
        <f t="shared" si="50"/>
        <v>1.003415883859941</v>
      </c>
      <c r="FO29">
        <v>1.5</v>
      </c>
      <c r="FP29">
        <v>24</v>
      </c>
      <c r="FQ29">
        <f t="shared" si="77"/>
        <v>127.5</v>
      </c>
      <c r="FR29">
        <f t="shared" si="51"/>
        <v>93.853514906146486</v>
      </c>
      <c r="FS29">
        <f t="shared" si="52"/>
        <v>68.571428571428569</v>
      </c>
      <c r="FT29">
        <f t="shared" si="53"/>
        <v>0.74136389925863577</v>
      </c>
      <c r="FY29">
        <v>2</v>
      </c>
      <c r="FZ29">
        <v>24</v>
      </c>
      <c r="GA29">
        <f t="shared" si="78"/>
        <v>119</v>
      </c>
      <c r="GB29">
        <f t="shared" si="54"/>
        <v>92.391304347826079</v>
      </c>
      <c r="GC29">
        <f t="shared" si="55"/>
        <v>68.571428571428569</v>
      </c>
      <c r="GD29">
        <f t="shared" si="56"/>
        <v>1.0425909494232524</v>
      </c>
      <c r="GI29">
        <v>1.5</v>
      </c>
      <c r="GJ29">
        <v>24</v>
      </c>
      <c r="GK29">
        <f t="shared" si="79"/>
        <v>122.5</v>
      </c>
      <c r="GL29">
        <f t="shared" si="57"/>
        <v>92.803030303030297</v>
      </c>
      <c r="GM29">
        <f t="shared" si="58"/>
        <v>72.727272727272734</v>
      </c>
      <c r="GN29">
        <f t="shared" si="59"/>
        <v>0.80922865013774381</v>
      </c>
    </row>
    <row r="30" spans="1:196" x14ac:dyDescent="0.2">
      <c r="A30">
        <v>7.5</v>
      </c>
      <c r="B30">
        <v>25</v>
      </c>
      <c r="C30">
        <f t="shared" si="60"/>
        <v>625.5</v>
      </c>
      <c r="D30">
        <f t="shared" si="0"/>
        <v>91.087811271297511</v>
      </c>
      <c r="E30">
        <f t="shared" si="1"/>
        <v>51.020408163265309</v>
      </c>
      <c r="F30">
        <f t="shared" si="2"/>
        <v>0.54608999563127725</v>
      </c>
      <c r="K30">
        <v>4</v>
      </c>
      <c r="L30">
        <v>25</v>
      </c>
      <c r="M30">
        <f t="shared" si="61"/>
        <v>520.5</v>
      </c>
      <c r="N30">
        <f t="shared" si="3"/>
        <v>99.020260629696537</v>
      </c>
      <c r="O30">
        <f t="shared" si="4"/>
        <v>75.757575757575751</v>
      </c>
      <c r="P30">
        <f t="shared" si="5"/>
        <v>0.5649570949675542</v>
      </c>
      <c r="U30">
        <v>7</v>
      </c>
      <c r="V30">
        <v>25</v>
      </c>
      <c r="W30">
        <f t="shared" si="62"/>
        <v>564</v>
      </c>
      <c r="X30">
        <f t="shared" si="6"/>
        <v>97.831743278404161</v>
      </c>
      <c r="Y30">
        <f t="shared" si="7"/>
        <v>75.757575757575751</v>
      </c>
      <c r="Z30">
        <f t="shared" si="8"/>
        <v>0.90146915819075812</v>
      </c>
      <c r="AE30">
        <v>2.75</v>
      </c>
      <c r="AF30">
        <v>25</v>
      </c>
      <c r="AG30">
        <f t="shared" si="63"/>
        <v>414.75</v>
      </c>
      <c r="AH30">
        <f t="shared" si="9"/>
        <v>97.439210619053213</v>
      </c>
      <c r="AI30">
        <f t="shared" si="10"/>
        <v>69.444444444444443</v>
      </c>
      <c r="AJ30">
        <f t="shared" si="11"/>
        <v>0.43968701463122623</v>
      </c>
      <c r="AO30">
        <v>7</v>
      </c>
      <c r="AP30">
        <v>25</v>
      </c>
      <c r="AQ30">
        <f t="shared" si="64"/>
        <v>514</v>
      </c>
      <c r="AR30">
        <f t="shared" si="12"/>
        <v>94.833948339483399</v>
      </c>
      <c r="AS30">
        <f t="shared" si="13"/>
        <v>67.567567567567565</v>
      </c>
      <c r="AT30">
        <f t="shared" si="14"/>
        <v>0.85519098434228225</v>
      </c>
      <c r="AY30">
        <v>5</v>
      </c>
      <c r="AZ30">
        <v>25</v>
      </c>
      <c r="BA30">
        <f t="shared" si="65"/>
        <v>515</v>
      </c>
      <c r="BB30">
        <f t="shared" si="15"/>
        <v>96.904694703170563</v>
      </c>
      <c r="BC30">
        <f t="shared" si="16"/>
        <v>71.428571428571431</v>
      </c>
      <c r="BD30">
        <f t="shared" si="17"/>
        <v>0.65857559507009289</v>
      </c>
      <c r="BI30">
        <v>2.5</v>
      </c>
      <c r="BJ30">
        <v>25</v>
      </c>
      <c r="BK30">
        <f t="shared" si="66"/>
        <v>296.5</v>
      </c>
      <c r="BL30">
        <f t="shared" si="18"/>
        <v>95.261044176706832</v>
      </c>
      <c r="BM30">
        <f t="shared" si="19"/>
        <v>67.567567567567565</v>
      </c>
      <c r="BN30">
        <f t="shared" si="20"/>
        <v>0.53185715836318914</v>
      </c>
      <c r="BS30">
        <v>2.5</v>
      </c>
      <c r="BT30">
        <v>25</v>
      </c>
      <c r="BU30">
        <f t="shared" si="67"/>
        <v>257</v>
      </c>
      <c r="BV30">
        <f t="shared" si="21"/>
        <v>97.440758293838854</v>
      </c>
      <c r="BW30">
        <f t="shared" si="22"/>
        <v>75.757575757575751</v>
      </c>
      <c r="BX30">
        <f t="shared" si="23"/>
        <v>0.70371966106562478</v>
      </c>
      <c r="CC30">
        <v>1</v>
      </c>
      <c r="CD30">
        <v>25</v>
      </c>
      <c r="CE30">
        <f t="shared" si="68"/>
        <v>128</v>
      </c>
      <c r="CF30">
        <f t="shared" si="24"/>
        <v>97.264437689969611</v>
      </c>
      <c r="CG30">
        <f t="shared" si="25"/>
        <v>78.125</v>
      </c>
      <c r="CH30">
        <f t="shared" si="26"/>
        <v>0.58178191489361808</v>
      </c>
      <c r="CM30">
        <v>0.1</v>
      </c>
      <c r="CN30">
        <v>25</v>
      </c>
      <c r="CO30">
        <f t="shared" si="69"/>
        <v>112.19999999999999</v>
      </c>
      <c r="CP30">
        <f t="shared" si="27"/>
        <v>100</v>
      </c>
      <c r="CQ30">
        <f t="shared" si="28"/>
        <v>100</v>
      </c>
      <c r="CR30">
        <f t="shared" si="29"/>
        <v>8.7344028520489309E-2</v>
      </c>
      <c r="CW30">
        <v>4.5</v>
      </c>
      <c r="CX30">
        <v>25</v>
      </c>
      <c r="CY30">
        <f t="shared" si="70"/>
        <v>262.5</v>
      </c>
      <c r="CZ30">
        <f t="shared" si="30"/>
        <v>96.136238784105473</v>
      </c>
      <c r="DA30">
        <f t="shared" si="31"/>
        <v>67.567567567567565</v>
      </c>
      <c r="DB30">
        <f t="shared" si="32"/>
        <v>1.0912762240357885</v>
      </c>
      <c r="DG30">
        <v>1.5</v>
      </c>
      <c r="DH30">
        <v>25</v>
      </c>
      <c r="DI30">
        <f t="shared" si="71"/>
        <v>215.5</v>
      </c>
      <c r="DJ30">
        <f t="shared" si="33"/>
        <v>98.559341413217467</v>
      </c>
      <c r="DK30">
        <f t="shared" si="34"/>
        <v>83.333333333333343</v>
      </c>
      <c r="DL30">
        <f t="shared" si="35"/>
        <v>0.56025611708209389</v>
      </c>
      <c r="DQ30">
        <v>1</v>
      </c>
      <c r="DR30">
        <v>25</v>
      </c>
      <c r="DS30">
        <f t="shared" si="72"/>
        <v>183.5</v>
      </c>
      <c r="DT30">
        <f t="shared" si="36"/>
        <v>98.655913978494624</v>
      </c>
      <c r="DU30">
        <f t="shared" si="37"/>
        <v>83.333333333333343</v>
      </c>
      <c r="DV30">
        <f t="shared" si="38"/>
        <v>0.4390681003584182</v>
      </c>
      <c r="EA30">
        <v>2</v>
      </c>
      <c r="EB30">
        <v>25</v>
      </c>
      <c r="EC30">
        <f t="shared" si="73"/>
        <v>219.5</v>
      </c>
      <c r="ED30">
        <f t="shared" si="39"/>
        <v>96.092809456057793</v>
      </c>
      <c r="EE30">
        <f t="shared" si="40"/>
        <v>65.789473684210535</v>
      </c>
      <c r="EF30">
        <f t="shared" si="41"/>
        <v>0.56450637373777957</v>
      </c>
      <c r="EK30">
        <v>1.5</v>
      </c>
      <c r="EL30">
        <v>25</v>
      </c>
      <c r="EM30">
        <f t="shared" si="74"/>
        <v>149.5</v>
      </c>
      <c r="EN30">
        <f t="shared" si="42"/>
        <v>95.162316995544245</v>
      </c>
      <c r="EO30">
        <f t="shared" si="43"/>
        <v>69.444444444444443</v>
      </c>
      <c r="EP30">
        <f t="shared" si="44"/>
        <v>0.64979842987481451</v>
      </c>
      <c r="EU30">
        <v>1</v>
      </c>
      <c r="EV30">
        <v>25</v>
      </c>
      <c r="EW30">
        <f t="shared" si="75"/>
        <v>103.5</v>
      </c>
      <c r="EX30">
        <f t="shared" si="45"/>
        <v>96.571028691392584</v>
      </c>
      <c r="EY30">
        <f t="shared" si="46"/>
        <v>73.529411764705884</v>
      </c>
      <c r="EZ30">
        <f t="shared" si="47"/>
        <v>0.6723473154132219</v>
      </c>
      <c r="FE30">
        <v>2.5</v>
      </c>
      <c r="FF30">
        <v>25</v>
      </c>
      <c r="FG30">
        <f t="shared" si="76"/>
        <v>156</v>
      </c>
      <c r="FH30">
        <f t="shared" si="48"/>
        <v>88.812980358667801</v>
      </c>
      <c r="FI30">
        <f t="shared" si="49"/>
        <v>62.5</v>
      </c>
      <c r="FJ30">
        <f t="shared" si="50"/>
        <v>0.87176202675775882</v>
      </c>
      <c r="FO30">
        <v>1.5</v>
      </c>
      <c r="FP30">
        <v>25</v>
      </c>
      <c r="FQ30">
        <f t="shared" si="77"/>
        <v>129</v>
      </c>
      <c r="FR30">
        <f t="shared" si="51"/>
        <v>94.957673905042327</v>
      </c>
      <c r="FS30">
        <f t="shared" si="52"/>
        <v>71.428571428571431</v>
      </c>
      <c r="FT30">
        <f t="shared" si="53"/>
        <v>0.77291129922708846</v>
      </c>
      <c r="FY30">
        <v>2</v>
      </c>
      <c r="FZ30">
        <v>25</v>
      </c>
      <c r="GA30">
        <f t="shared" si="78"/>
        <v>121</v>
      </c>
      <c r="GB30">
        <f t="shared" si="54"/>
        <v>93.944099378881987</v>
      </c>
      <c r="GC30">
        <f t="shared" si="55"/>
        <v>71.428571428571431</v>
      </c>
      <c r="GD30">
        <f t="shared" si="56"/>
        <v>1.0869565217391355</v>
      </c>
      <c r="GI30">
        <v>1.5</v>
      </c>
      <c r="GJ30">
        <v>25</v>
      </c>
      <c r="GK30">
        <f t="shared" si="79"/>
        <v>124</v>
      </c>
      <c r="GL30">
        <f t="shared" si="57"/>
        <v>93.939393939393938</v>
      </c>
      <c r="GM30">
        <f t="shared" si="58"/>
        <v>75.757575757575751</v>
      </c>
      <c r="GN30">
        <f t="shared" si="59"/>
        <v>0.84366391184573297</v>
      </c>
    </row>
    <row r="31" spans="1:196" x14ac:dyDescent="0.2">
      <c r="A31">
        <v>7</v>
      </c>
      <c r="B31">
        <v>26</v>
      </c>
      <c r="C31">
        <f t="shared" si="60"/>
        <v>632.5</v>
      </c>
      <c r="D31">
        <f t="shared" si="0"/>
        <v>92.107179263142584</v>
      </c>
      <c r="E31">
        <f t="shared" si="1"/>
        <v>53.061224489795919</v>
      </c>
      <c r="F31">
        <f t="shared" si="2"/>
        <v>0.53048742432753782</v>
      </c>
      <c r="K31">
        <v>2.5</v>
      </c>
      <c r="L31">
        <v>26</v>
      </c>
      <c r="M31">
        <f t="shared" si="61"/>
        <v>523</v>
      </c>
      <c r="N31">
        <f t="shared" si="3"/>
        <v>99.495862265766178</v>
      </c>
      <c r="O31">
        <f t="shared" si="4"/>
        <v>78.787878787878782</v>
      </c>
      <c r="P31">
        <f t="shared" si="5"/>
        <v>0.3675103551447223</v>
      </c>
      <c r="U31">
        <v>4.5</v>
      </c>
      <c r="V31">
        <v>26</v>
      </c>
      <c r="W31">
        <f t="shared" si="62"/>
        <v>568.5</v>
      </c>
      <c r="X31">
        <f t="shared" si="6"/>
        <v>98.612315698178662</v>
      </c>
      <c r="Y31">
        <f t="shared" si="7"/>
        <v>78.787878787878782</v>
      </c>
      <c r="Z31">
        <f t="shared" si="8"/>
        <v>0.60316959709847784</v>
      </c>
      <c r="AE31">
        <v>2.5</v>
      </c>
      <c r="AF31">
        <v>26</v>
      </c>
      <c r="AG31">
        <f t="shared" si="63"/>
        <v>417.25</v>
      </c>
      <c r="AH31">
        <f t="shared" si="9"/>
        <v>98.026547633031825</v>
      </c>
      <c r="AI31">
        <f t="shared" si="10"/>
        <v>72.222222222222214</v>
      </c>
      <c r="AJ31">
        <f t="shared" si="11"/>
        <v>0.41603038490151667</v>
      </c>
      <c r="AO31">
        <v>6</v>
      </c>
      <c r="AP31">
        <v>26</v>
      </c>
      <c r="AQ31">
        <f t="shared" si="64"/>
        <v>520</v>
      </c>
      <c r="AR31">
        <f t="shared" si="12"/>
        <v>95.9409594095941</v>
      </c>
      <c r="AS31">
        <f t="shared" si="13"/>
        <v>70.270270270270274</v>
      </c>
      <c r="AT31">
        <f t="shared" si="14"/>
        <v>0.76294006183305085</v>
      </c>
      <c r="AY31">
        <v>4.5</v>
      </c>
      <c r="AZ31">
        <v>26</v>
      </c>
      <c r="BA31">
        <f t="shared" si="65"/>
        <v>519.5</v>
      </c>
      <c r="BB31">
        <f t="shared" si="15"/>
        <v>97.751434753974962</v>
      </c>
      <c r="BC31">
        <f t="shared" si="16"/>
        <v>74.285714285714292</v>
      </c>
      <c r="BD31">
        <f t="shared" si="17"/>
        <v>0.61691060844320533</v>
      </c>
      <c r="BI31">
        <v>2</v>
      </c>
      <c r="BJ31">
        <v>26</v>
      </c>
      <c r="BK31">
        <f t="shared" si="66"/>
        <v>298.5</v>
      </c>
      <c r="BL31">
        <f t="shared" si="18"/>
        <v>95.903614457831324</v>
      </c>
      <c r="BM31">
        <f t="shared" si="19"/>
        <v>70.270270270270274</v>
      </c>
      <c r="BN31">
        <f t="shared" si="20"/>
        <v>0.44285249104525781</v>
      </c>
      <c r="BS31">
        <v>2</v>
      </c>
      <c r="BT31">
        <v>26</v>
      </c>
      <c r="BU31">
        <f t="shared" si="67"/>
        <v>259</v>
      </c>
      <c r="BV31">
        <f t="shared" si="21"/>
        <v>98.199052132701425</v>
      </c>
      <c r="BW31">
        <f t="shared" si="22"/>
        <v>78.787878787878782</v>
      </c>
      <c r="BX31">
        <f t="shared" si="23"/>
        <v>0.58595433003016817</v>
      </c>
      <c r="CC31">
        <v>1</v>
      </c>
      <c r="CD31">
        <v>26</v>
      </c>
      <c r="CE31">
        <f t="shared" si="68"/>
        <v>129</v>
      </c>
      <c r="CF31">
        <f t="shared" si="24"/>
        <v>98.0243161094225</v>
      </c>
      <c r="CG31">
        <f t="shared" si="25"/>
        <v>81.25</v>
      </c>
      <c r="CH31">
        <f t="shared" si="26"/>
        <v>0.60552811550152086</v>
      </c>
      <c r="CW31">
        <v>2.5</v>
      </c>
      <c r="CX31">
        <v>26</v>
      </c>
      <c r="CY31">
        <f t="shared" si="70"/>
        <v>265</v>
      </c>
      <c r="CZ31">
        <f t="shared" si="30"/>
        <v>97.051822010620754</v>
      </c>
      <c r="DA31">
        <f t="shared" si="31"/>
        <v>70.270270270270274</v>
      </c>
      <c r="DB31">
        <f t="shared" si="32"/>
        <v>0.63101006151728822</v>
      </c>
      <c r="DG31">
        <v>1.5</v>
      </c>
      <c r="DH31">
        <v>26</v>
      </c>
      <c r="DI31">
        <f t="shared" si="71"/>
        <v>217</v>
      </c>
      <c r="DJ31">
        <f t="shared" si="33"/>
        <v>99.245369311685337</v>
      </c>
      <c r="DK31">
        <f t="shared" si="34"/>
        <v>86.666666666666671</v>
      </c>
      <c r="DL31">
        <f t="shared" si="35"/>
        <v>0.58312371369768956</v>
      </c>
      <c r="DQ31">
        <v>1</v>
      </c>
      <c r="DR31">
        <v>26</v>
      </c>
      <c r="DS31">
        <f t="shared" si="72"/>
        <v>184.5</v>
      </c>
      <c r="DT31">
        <f t="shared" si="36"/>
        <v>99.193548387096769</v>
      </c>
      <c r="DU31">
        <f t="shared" si="37"/>
        <v>86.666666666666671</v>
      </c>
      <c r="DV31">
        <f t="shared" si="38"/>
        <v>0.456989247311823</v>
      </c>
      <c r="EA31">
        <v>2</v>
      </c>
      <c r="EB31">
        <v>26</v>
      </c>
      <c r="EC31">
        <f t="shared" si="73"/>
        <v>221.5</v>
      </c>
      <c r="ED31">
        <f t="shared" si="39"/>
        <v>96.968370362263329</v>
      </c>
      <c r="EE31">
        <f t="shared" si="40"/>
        <v>68.421052631578945</v>
      </c>
      <c r="EF31">
        <f t="shared" si="41"/>
        <v>0.5875474502168726</v>
      </c>
      <c r="EK31">
        <v>1.5</v>
      </c>
      <c r="EL31">
        <v>26</v>
      </c>
      <c r="EM31">
        <f t="shared" si="74"/>
        <v>151</v>
      </c>
      <c r="EN31">
        <f t="shared" si="42"/>
        <v>96.11712285168683</v>
      </c>
      <c r="EO31">
        <f t="shared" si="43"/>
        <v>72.222222222222214</v>
      </c>
      <c r="EP31">
        <f t="shared" si="44"/>
        <v>0.67632081476766415</v>
      </c>
      <c r="EU31">
        <v>0.75</v>
      </c>
      <c r="EV31">
        <v>26</v>
      </c>
      <c r="EW31">
        <f t="shared" si="75"/>
        <v>104.25</v>
      </c>
      <c r="EX31">
        <f t="shared" si="45"/>
        <v>97.270818754373693</v>
      </c>
      <c r="EY31">
        <f t="shared" si="46"/>
        <v>76.470588235294116</v>
      </c>
      <c r="EZ31">
        <f t="shared" si="47"/>
        <v>0.52484254723583135</v>
      </c>
      <c r="FE31">
        <v>2.5</v>
      </c>
      <c r="FF31">
        <v>26</v>
      </c>
      <c r="FG31">
        <f t="shared" si="76"/>
        <v>158.5</v>
      </c>
      <c r="FH31">
        <f t="shared" si="48"/>
        <v>90.236265300313121</v>
      </c>
      <c r="FI31">
        <f t="shared" si="49"/>
        <v>65</v>
      </c>
      <c r="FJ31">
        <f t="shared" si="50"/>
        <v>0.90734415029889193</v>
      </c>
      <c r="FO31">
        <v>1</v>
      </c>
      <c r="FP31">
        <v>26</v>
      </c>
      <c r="FQ31">
        <f t="shared" si="77"/>
        <v>130</v>
      </c>
      <c r="FR31">
        <f t="shared" si="51"/>
        <v>95.693779904306226</v>
      </c>
      <c r="FS31">
        <f t="shared" si="52"/>
        <v>74.285714285714292</v>
      </c>
      <c r="FT31">
        <f t="shared" si="53"/>
        <v>0.5363057994636975</v>
      </c>
      <c r="FY31">
        <v>1.75</v>
      </c>
      <c r="FZ31">
        <v>26</v>
      </c>
      <c r="GA31">
        <f t="shared" si="78"/>
        <v>122.75</v>
      </c>
      <c r="GB31">
        <f t="shared" si="54"/>
        <v>95.302795031055894</v>
      </c>
      <c r="GC31">
        <f t="shared" si="55"/>
        <v>74.285714285714292</v>
      </c>
      <c r="GD31">
        <f t="shared" si="56"/>
        <v>0.98990683229813214</v>
      </c>
      <c r="GI31">
        <v>1.5</v>
      </c>
      <c r="GJ31">
        <v>26</v>
      </c>
      <c r="GK31">
        <f t="shared" si="79"/>
        <v>125.5</v>
      </c>
      <c r="GL31">
        <f t="shared" si="57"/>
        <v>95.075757575757578</v>
      </c>
      <c r="GM31">
        <f t="shared" si="58"/>
        <v>78.787878787878782</v>
      </c>
      <c r="GN31">
        <f t="shared" si="59"/>
        <v>0.87809917355372191</v>
      </c>
    </row>
    <row r="32" spans="1:196" x14ac:dyDescent="0.2">
      <c r="A32">
        <v>5.5</v>
      </c>
      <c r="B32">
        <v>27</v>
      </c>
      <c r="C32">
        <f t="shared" si="60"/>
        <v>638</v>
      </c>
      <c r="D32">
        <f t="shared" si="0"/>
        <v>92.908111256735111</v>
      </c>
      <c r="E32">
        <f t="shared" si="1"/>
        <v>55.102040816326522</v>
      </c>
      <c r="F32">
        <f t="shared" si="2"/>
        <v>0.43315709857555063</v>
      </c>
      <c r="K32">
        <v>1.5</v>
      </c>
      <c r="L32">
        <v>27</v>
      </c>
      <c r="M32">
        <f t="shared" si="61"/>
        <v>524.5</v>
      </c>
      <c r="N32">
        <f t="shared" si="3"/>
        <v>99.781223247407951</v>
      </c>
      <c r="O32">
        <f t="shared" si="4"/>
        <v>81.818181818181827</v>
      </c>
      <c r="P32">
        <f t="shared" si="5"/>
        <v>0.22915351556081778</v>
      </c>
      <c r="U32">
        <v>4</v>
      </c>
      <c r="V32">
        <v>27</v>
      </c>
      <c r="W32">
        <f t="shared" si="62"/>
        <v>572.5</v>
      </c>
      <c r="X32">
        <f t="shared" si="6"/>
        <v>99.306157849089331</v>
      </c>
      <c r="Y32">
        <f t="shared" si="7"/>
        <v>81.818181818181827</v>
      </c>
      <c r="Z32">
        <f t="shared" si="8"/>
        <v>0.55717627270099179</v>
      </c>
      <c r="AE32">
        <v>2</v>
      </c>
      <c r="AF32">
        <v>27</v>
      </c>
      <c r="AG32">
        <f t="shared" si="63"/>
        <v>419.25</v>
      </c>
      <c r="AH32">
        <f t="shared" si="9"/>
        <v>98.496417244214712</v>
      </c>
      <c r="AI32">
        <f t="shared" si="10"/>
        <v>75</v>
      </c>
      <c r="AJ32">
        <f t="shared" si="11"/>
        <v>0.34587624156518049</v>
      </c>
      <c r="AO32">
        <v>6</v>
      </c>
      <c r="AP32">
        <v>27</v>
      </c>
      <c r="AQ32">
        <f t="shared" si="64"/>
        <v>526</v>
      </c>
      <c r="AR32">
        <f t="shared" si="12"/>
        <v>97.047970479704787</v>
      </c>
      <c r="AS32">
        <f t="shared" si="13"/>
        <v>72.972972972972968</v>
      </c>
      <c r="AT32">
        <f t="shared" si="14"/>
        <v>0.79285927994414063</v>
      </c>
      <c r="AY32">
        <v>3</v>
      </c>
      <c r="AZ32">
        <v>27</v>
      </c>
      <c r="BA32">
        <f t="shared" si="65"/>
        <v>522.5</v>
      </c>
      <c r="BB32">
        <f t="shared" si="15"/>
        <v>98.315928121177905</v>
      </c>
      <c r="BC32">
        <f t="shared" si="16"/>
        <v>77.142857142857153</v>
      </c>
      <c r="BD32">
        <f t="shared" si="17"/>
        <v>0.4274021208822279</v>
      </c>
      <c r="BI32">
        <v>2</v>
      </c>
      <c r="BJ32">
        <v>27</v>
      </c>
      <c r="BK32">
        <f t="shared" si="66"/>
        <v>300.5</v>
      </c>
      <c r="BL32">
        <f t="shared" si="18"/>
        <v>96.546184738955816</v>
      </c>
      <c r="BM32">
        <f t="shared" si="19"/>
        <v>72.972972972972968</v>
      </c>
      <c r="BN32">
        <f t="shared" si="20"/>
        <v>0.46021925539997377</v>
      </c>
      <c r="BS32">
        <v>1</v>
      </c>
      <c r="BT32">
        <v>27</v>
      </c>
      <c r="BU32">
        <f t="shared" si="67"/>
        <v>260</v>
      </c>
      <c r="BV32">
        <f t="shared" si="21"/>
        <v>98.578199052132703</v>
      </c>
      <c r="BW32">
        <f t="shared" si="22"/>
        <v>81.818181818181827</v>
      </c>
      <c r="BX32">
        <f t="shared" si="23"/>
        <v>0.30446646560390528</v>
      </c>
      <c r="CC32">
        <v>1</v>
      </c>
      <c r="CD32">
        <v>27</v>
      </c>
      <c r="CE32">
        <f t="shared" si="68"/>
        <v>130</v>
      </c>
      <c r="CF32">
        <f t="shared" si="24"/>
        <v>98.784194528875375</v>
      </c>
      <c r="CG32">
        <f t="shared" si="25"/>
        <v>84.375</v>
      </c>
      <c r="CH32">
        <f t="shared" si="26"/>
        <v>0.62927431610941187</v>
      </c>
      <c r="CW32">
        <v>2</v>
      </c>
      <c r="CX32">
        <v>27</v>
      </c>
      <c r="CY32">
        <f t="shared" si="70"/>
        <v>267</v>
      </c>
      <c r="CZ32">
        <f t="shared" si="30"/>
        <v>97.78428859183299</v>
      </c>
      <c r="DA32">
        <f t="shared" si="31"/>
        <v>72.972972972972968</v>
      </c>
      <c r="DB32">
        <f t="shared" si="32"/>
        <v>0.52460444330065559</v>
      </c>
      <c r="DG32">
        <v>1</v>
      </c>
      <c r="DH32">
        <v>27</v>
      </c>
      <c r="DI32">
        <f t="shared" si="71"/>
        <v>218</v>
      </c>
      <c r="DJ32">
        <f t="shared" si="33"/>
        <v>99.702721243997246</v>
      </c>
      <c r="DK32">
        <f t="shared" si="34"/>
        <v>90</v>
      </c>
      <c r="DL32">
        <f t="shared" si="35"/>
        <v>0.40399420687551929</v>
      </c>
      <c r="DQ32">
        <v>0.75</v>
      </c>
      <c r="DR32">
        <v>27</v>
      </c>
      <c r="DS32">
        <f t="shared" si="72"/>
        <v>185.25</v>
      </c>
      <c r="DT32">
        <f t="shared" si="36"/>
        <v>99.596774193548384</v>
      </c>
      <c r="DU32">
        <f t="shared" si="37"/>
        <v>90</v>
      </c>
      <c r="DV32">
        <f t="shared" si="38"/>
        <v>0.35618279569892719</v>
      </c>
      <c r="EA32">
        <v>1.5</v>
      </c>
      <c r="EB32">
        <v>27</v>
      </c>
      <c r="EC32">
        <f t="shared" si="73"/>
        <v>223</v>
      </c>
      <c r="ED32">
        <f t="shared" si="39"/>
        <v>97.625041041917484</v>
      </c>
      <c r="EE32">
        <f t="shared" si="40"/>
        <v>71.05263157894737</v>
      </c>
      <c r="EF32">
        <f t="shared" si="41"/>
        <v>0.45794139502197667</v>
      </c>
      <c r="EK32">
        <v>1</v>
      </c>
      <c r="EL32">
        <v>27</v>
      </c>
      <c r="EM32">
        <f t="shared" si="74"/>
        <v>152</v>
      </c>
      <c r="EN32">
        <f t="shared" si="42"/>
        <v>96.753660089115215</v>
      </c>
      <c r="EO32">
        <f t="shared" si="43"/>
        <v>75</v>
      </c>
      <c r="EP32">
        <f t="shared" si="44"/>
        <v>0.46856213310700567</v>
      </c>
      <c r="EU32">
        <v>0.75</v>
      </c>
      <c r="EV32">
        <v>27</v>
      </c>
      <c r="EW32">
        <f t="shared" si="75"/>
        <v>105</v>
      </c>
      <c r="EX32">
        <f t="shared" si="45"/>
        <v>97.970608817354801</v>
      </c>
      <c r="EY32">
        <f t="shared" si="46"/>
        <v>79.411764705882348</v>
      </c>
      <c r="EZ32">
        <f t="shared" si="47"/>
        <v>0.5454246079117463</v>
      </c>
      <c r="FE32">
        <v>2</v>
      </c>
      <c r="FF32">
        <v>27</v>
      </c>
      <c r="FG32">
        <f t="shared" si="76"/>
        <v>160.5</v>
      </c>
      <c r="FH32">
        <f t="shared" si="48"/>
        <v>91.374893253629381</v>
      </c>
      <c r="FI32">
        <f t="shared" si="49"/>
        <v>67.5</v>
      </c>
      <c r="FJ32">
        <f t="shared" si="50"/>
        <v>0.75434101907202178</v>
      </c>
      <c r="FO32">
        <v>1</v>
      </c>
      <c r="FP32">
        <v>27</v>
      </c>
      <c r="FQ32">
        <f t="shared" si="77"/>
        <v>131</v>
      </c>
      <c r="FR32">
        <f t="shared" si="51"/>
        <v>96.429885903570124</v>
      </c>
      <c r="FS32">
        <f t="shared" si="52"/>
        <v>77.142857142857153</v>
      </c>
      <c r="FT32">
        <f t="shared" si="53"/>
        <v>0.55733739944266614</v>
      </c>
      <c r="FY32">
        <v>1.5</v>
      </c>
      <c r="FZ32">
        <v>27</v>
      </c>
      <c r="GA32">
        <f t="shared" si="78"/>
        <v>124.25</v>
      </c>
      <c r="GB32">
        <f t="shared" si="54"/>
        <v>96.467391304347814</v>
      </c>
      <c r="GC32">
        <f t="shared" si="55"/>
        <v>77.142857142857153</v>
      </c>
      <c r="GD32">
        <f t="shared" si="56"/>
        <v>0.88176574977816824</v>
      </c>
      <c r="GI32">
        <v>1.5</v>
      </c>
      <c r="GJ32">
        <v>27</v>
      </c>
      <c r="GK32">
        <f t="shared" si="79"/>
        <v>127</v>
      </c>
      <c r="GL32">
        <f t="shared" si="57"/>
        <v>96.212121212121218</v>
      </c>
      <c r="GM32">
        <f t="shared" si="58"/>
        <v>81.818181818181827</v>
      </c>
      <c r="GN32">
        <f t="shared" si="59"/>
        <v>0.9125344352617113</v>
      </c>
    </row>
    <row r="33" spans="1:196" x14ac:dyDescent="0.2">
      <c r="A33">
        <v>5</v>
      </c>
      <c r="B33">
        <v>28</v>
      </c>
      <c r="C33">
        <f t="shared" si="60"/>
        <v>643</v>
      </c>
      <c r="D33">
        <f t="shared" si="0"/>
        <v>93.636231250910157</v>
      </c>
      <c r="E33">
        <f t="shared" si="1"/>
        <v>57.142857142857139</v>
      </c>
      <c r="F33">
        <f t="shared" si="2"/>
        <v>0.40863877224109707</v>
      </c>
      <c r="K33">
        <v>0.5</v>
      </c>
      <c r="L33">
        <v>28</v>
      </c>
      <c r="M33">
        <f t="shared" si="61"/>
        <v>525</v>
      </c>
      <c r="N33">
        <f t="shared" si="3"/>
        <v>99.876343574621885</v>
      </c>
      <c r="O33">
        <f t="shared" si="4"/>
        <v>84.848484848484844</v>
      </c>
      <c r="P33">
        <f t="shared" si="5"/>
        <v>7.9266939344944859E-2</v>
      </c>
      <c r="U33">
        <v>1.5</v>
      </c>
      <c r="V33">
        <v>28</v>
      </c>
      <c r="W33">
        <f t="shared" si="62"/>
        <v>574</v>
      </c>
      <c r="X33">
        <f t="shared" si="6"/>
        <v>99.566348655680841</v>
      </c>
      <c r="Y33">
        <f t="shared" si="7"/>
        <v>84.848484848484844</v>
      </c>
      <c r="Z33">
        <f t="shared" si="8"/>
        <v>0.21682567215959148</v>
      </c>
      <c r="AE33">
        <v>1.5</v>
      </c>
      <c r="AF33">
        <v>28</v>
      </c>
      <c r="AG33">
        <f t="shared" si="63"/>
        <v>420.75</v>
      </c>
      <c r="AH33">
        <f t="shared" si="9"/>
        <v>98.848819452601902</v>
      </c>
      <c r="AI33">
        <f t="shared" si="10"/>
        <v>77.777777777777786</v>
      </c>
      <c r="AJ33">
        <f t="shared" si="11"/>
        <v>0.26919613140688109</v>
      </c>
      <c r="AO33">
        <v>5</v>
      </c>
      <c r="AP33">
        <v>28</v>
      </c>
      <c r="AQ33">
        <f t="shared" si="64"/>
        <v>531</v>
      </c>
      <c r="AR33">
        <f t="shared" si="12"/>
        <v>97.970479704797057</v>
      </c>
      <c r="AS33">
        <f t="shared" si="13"/>
        <v>75.675675675675677</v>
      </c>
      <c r="AT33">
        <f t="shared" si="14"/>
        <v>0.68564874837938983</v>
      </c>
      <c r="AY33">
        <v>2.5</v>
      </c>
      <c r="AZ33">
        <v>28</v>
      </c>
      <c r="BA33">
        <f t="shared" si="65"/>
        <v>525</v>
      </c>
      <c r="BB33">
        <f t="shared" si="15"/>
        <v>98.786339260513671</v>
      </c>
      <c r="BC33">
        <f t="shared" si="16"/>
        <v>80</v>
      </c>
      <c r="BD33">
        <f t="shared" si="17"/>
        <v>0.36960875233524509</v>
      </c>
      <c r="BI33">
        <v>2</v>
      </c>
      <c r="BJ33">
        <v>28</v>
      </c>
      <c r="BK33">
        <f t="shared" si="66"/>
        <v>302.5</v>
      </c>
      <c r="BL33">
        <f t="shared" si="18"/>
        <v>97.188755020080322</v>
      </c>
      <c r="BM33">
        <f t="shared" si="19"/>
        <v>75.675675675675677</v>
      </c>
      <c r="BN33">
        <f t="shared" si="20"/>
        <v>0.47758601975470039</v>
      </c>
      <c r="BS33">
        <v>1</v>
      </c>
      <c r="BT33">
        <v>28</v>
      </c>
      <c r="BU33">
        <f t="shared" si="67"/>
        <v>261</v>
      </c>
      <c r="BV33">
        <f t="shared" si="21"/>
        <v>98.957345971563981</v>
      </c>
      <c r="BW33">
        <f t="shared" si="22"/>
        <v>84.848484848484844</v>
      </c>
      <c r="BX33">
        <f t="shared" si="23"/>
        <v>0.31595576619273191</v>
      </c>
      <c r="CC33">
        <v>0.5</v>
      </c>
      <c r="CD33">
        <v>28</v>
      </c>
      <c r="CE33">
        <f t="shared" si="68"/>
        <v>130.5</v>
      </c>
      <c r="CF33">
        <f t="shared" si="24"/>
        <v>99.164133738601819</v>
      </c>
      <c r="CG33">
        <f t="shared" si="25"/>
        <v>87.5</v>
      </c>
      <c r="CH33">
        <f t="shared" si="26"/>
        <v>0.32651025835866321</v>
      </c>
      <c r="CW33">
        <v>1.5</v>
      </c>
      <c r="CX33">
        <v>28</v>
      </c>
      <c r="CY33">
        <f t="shared" si="70"/>
        <v>268.5</v>
      </c>
      <c r="CZ33">
        <f t="shared" si="30"/>
        <v>98.333638527742167</v>
      </c>
      <c r="DA33">
        <f t="shared" si="31"/>
        <v>75.675675675675677</v>
      </c>
      <c r="DB33">
        <f t="shared" si="32"/>
        <v>0.40830062804060463</v>
      </c>
      <c r="DG33">
        <v>0.5</v>
      </c>
      <c r="DH33">
        <v>28</v>
      </c>
      <c r="DI33">
        <f t="shared" si="71"/>
        <v>218.5</v>
      </c>
      <c r="DJ33">
        <f t="shared" si="33"/>
        <v>99.931397210153207</v>
      </c>
      <c r="DK33">
        <f t="shared" si="34"/>
        <v>93.333333333333329</v>
      </c>
      <c r="DL33">
        <f t="shared" si="35"/>
        <v>0.2096196356429646</v>
      </c>
      <c r="DQ33">
        <v>0.25</v>
      </c>
      <c r="DR33">
        <v>28</v>
      </c>
      <c r="DS33">
        <f t="shared" si="72"/>
        <v>185.5</v>
      </c>
      <c r="DT33">
        <f t="shared" si="36"/>
        <v>99.731182795698928</v>
      </c>
      <c r="DU33">
        <f t="shared" si="37"/>
        <v>93.333333333333329</v>
      </c>
      <c r="DV33">
        <f t="shared" si="38"/>
        <v>0.12320788530466467</v>
      </c>
      <c r="EA33">
        <v>1.5</v>
      </c>
      <c r="EB33">
        <v>28</v>
      </c>
      <c r="EC33">
        <f t="shared" si="73"/>
        <v>224.5</v>
      </c>
      <c r="ED33">
        <f t="shared" si="39"/>
        <v>98.281711721571639</v>
      </c>
      <c r="EE33">
        <f t="shared" si="40"/>
        <v>73.68421052631578</v>
      </c>
      <c r="EF33">
        <f t="shared" si="41"/>
        <v>0.47522220238129653</v>
      </c>
      <c r="EK33">
        <v>1</v>
      </c>
      <c r="EL33">
        <v>28</v>
      </c>
      <c r="EM33">
        <f t="shared" si="74"/>
        <v>153</v>
      </c>
      <c r="EN33">
        <f t="shared" si="42"/>
        <v>97.3901973265436</v>
      </c>
      <c r="EO33">
        <f t="shared" si="43"/>
        <v>77.777777777777786</v>
      </c>
      <c r="EP33">
        <f t="shared" si="44"/>
        <v>0.48624372303557195</v>
      </c>
      <c r="EU33">
        <v>0.5</v>
      </c>
      <c r="EV33">
        <v>28</v>
      </c>
      <c r="EW33">
        <f t="shared" si="75"/>
        <v>105.5</v>
      </c>
      <c r="EX33">
        <f t="shared" si="45"/>
        <v>98.437135526008873</v>
      </c>
      <c r="EY33">
        <f t="shared" si="46"/>
        <v>82.35294117647058</v>
      </c>
      <c r="EZ33">
        <f t="shared" si="47"/>
        <v>0.37733777905844079</v>
      </c>
      <c r="FE33">
        <v>2</v>
      </c>
      <c r="FF33">
        <v>28</v>
      </c>
      <c r="FG33">
        <f t="shared" si="76"/>
        <v>162.5</v>
      </c>
      <c r="FH33">
        <f t="shared" si="48"/>
        <v>92.513521206945626</v>
      </c>
      <c r="FI33">
        <f t="shared" si="49"/>
        <v>70</v>
      </c>
      <c r="FJ33">
        <f t="shared" si="50"/>
        <v>0.78280671790491851</v>
      </c>
      <c r="FO33">
        <v>1</v>
      </c>
      <c r="FP33">
        <v>28</v>
      </c>
      <c r="FQ33">
        <f t="shared" si="77"/>
        <v>132</v>
      </c>
      <c r="FR33">
        <f t="shared" si="51"/>
        <v>97.165991902834008</v>
      </c>
      <c r="FS33">
        <f t="shared" si="52"/>
        <v>80</v>
      </c>
      <c r="FT33">
        <f t="shared" si="53"/>
        <v>0.57836899942162345</v>
      </c>
      <c r="FY33">
        <v>1</v>
      </c>
      <c r="FZ33">
        <v>28</v>
      </c>
      <c r="GA33">
        <f t="shared" si="78"/>
        <v>125.25</v>
      </c>
      <c r="GB33">
        <f t="shared" si="54"/>
        <v>97.243788819875761</v>
      </c>
      <c r="GC33">
        <f t="shared" si="55"/>
        <v>80</v>
      </c>
      <c r="GD33">
        <f t="shared" si="56"/>
        <v>0.61002661934338687</v>
      </c>
      <c r="GI33">
        <v>1</v>
      </c>
      <c r="GJ33">
        <v>28</v>
      </c>
      <c r="GK33">
        <f t="shared" si="79"/>
        <v>128</v>
      </c>
      <c r="GL33">
        <f t="shared" si="57"/>
        <v>96.969696969696969</v>
      </c>
      <c r="GM33">
        <f t="shared" si="58"/>
        <v>84.848484848484844</v>
      </c>
      <c r="GN33">
        <f t="shared" si="59"/>
        <v>0.63131313131312572</v>
      </c>
    </row>
    <row r="34" spans="1:196" x14ac:dyDescent="0.2">
      <c r="A34">
        <v>5</v>
      </c>
      <c r="B34">
        <v>29</v>
      </c>
      <c r="C34">
        <f t="shared" si="60"/>
        <v>648</v>
      </c>
      <c r="D34">
        <f t="shared" si="0"/>
        <v>94.364351245085203</v>
      </c>
      <c r="E34">
        <f t="shared" si="1"/>
        <v>59.183673469387756</v>
      </c>
      <c r="F34">
        <f t="shared" si="2"/>
        <v>0.42349836395895524</v>
      </c>
      <c r="K34">
        <v>0.25</v>
      </c>
      <c r="L34">
        <v>29</v>
      </c>
      <c r="M34">
        <f t="shared" si="61"/>
        <v>525.25</v>
      </c>
      <c r="N34">
        <f t="shared" si="3"/>
        <v>99.923903738228844</v>
      </c>
      <c r="O34">
        <f t="shared" si="4"/>
        <v>87.878787878787875</v>
      </c>
      <c r="P34">
        <f t="shared" si="5"/>
        <v>4.1074686751465285E-2</v>
      </c>
      <c r="U34">
        <v>1</v>
      </c>
      <c r="V34">
        <v>29</v>
      </c>
      <c r="W34">
        <f t="shared" si="62"/>
        <v>575</v>
      </c>
      <c r="X34">
        <f t="shared" si="6"/>
        <v>99.739809193408504</v>
      </c>
      <c r="Y34">
        <f t="shared" si="7"/>
        <v>87.878787878787875</v>
      </c>
      <c r="Z34">
        <f t="shared" si="8"/>
        <v>0.14980682803752771</v>
      </c>
      <c r="AE34">
        <v>1.5</v>
      </c>
      <c r="AF34">
        <v>29</v>
      </c>
      <c r="AG34">
        <f t="shared" si="63"/>
        <v>422.25</v>
      </c>
      <c r="AH34">
        <f t="shared" si="9"/>
        <v>99.201221660989063</v>
      </c>
      <c r="AI34">
        <f t="shared" si="10"/>
        <v>80.555555555555557</v>
      </c>
      <c r="AJ34">
        <f t="shared" si="11"/>
        <v>0.27898508163983615</v>
      </c>
      <c r="AO34">
        <v>3.5</v>
      </c>
      <c r="AP34">
        <v>29</v>
      </c>
      <c r="AQ34">
        <f t="shared" si="64"/>
        <v>534.5</v>
      </c>
      <c r="AR34">
        <f t="shared" si="12"/>
        <v>98.616236162361631</v>
      </c>
      <c r="AS34">
        <f t="shared" si="13"/>
        <v>78.378378378378372</v>
      </c>
      <c r="AT34">
        <f t="shared" si="14"/>
        <v>0.49740700109703623</v>
      </c>
      <c r="AY34">
        <v>2</v>
      </c>
      <c r="AZ34">
        <v>29</v>
      </c>
      <c r="BA34">
        <f t="shared" si="65"/>
        <v>527</v>
      </c>
      <c r="BB34">
        <f t="shared" si="15"/>
        <v>99.162668171982304</v>
      </c>
      <c r="BC34">
        <f t="shared" si="16"/>
        <v>82.857142857142861</v>
      </c>
      <c r="BD34">
        <f t="shared" si="17"/>
        <v>0.3064392564816012</v>
      </c>
      <c r="BI34">
        <v>1.5</v>
      </c>
      <c r="BJ34">
        <v>29</v>
      </c>
      <c r="BK34">
        <f t="shared" si="66"/>
        <v>304</v>
      </c>
      <c r="BL34">
        <f t="shared" si="18"/>
        <v>97.670682730923701</v>
      </c>
      <c r="BM34">
        <f t="shared" si="19"/>
        <v>78.378378378378372</v>
      </c>
      <c r="BN34">
        <f t="shared" si="20"/>
        <v>0.37121458808206265</v>
      </c>
      <c r="BS34">
        <v>1</v>
      </c>
      <c r="BT34">
        <v>29</v>
      </c>
      <c r="BU34">
        <f t="shared" si="67"/>
        <v>262</v>
      </c>
      <c r="BV34">
        <f t="shared" si="21"/>
        <v>99.33649289099526</v>
      </c>
      <c r="BW34">
        <f t="shared" si="22"/>
        <v>87.878787878787875</v>
      </c>
      <c r="BX34">
        <f t="shared" si="23"/>
        <v>0.32744506678155844</v>
      </c>
      <c r="CC34">
        <v>0.5</v>
      </c>
      <c r="CD34">
        <v>29</v>
      </c>
      <c r="CE34">
        <f t="shared" si="68"/>
        <v>131</v>
      </c>
      <c r="CF34">
        <f t="shared" si="24"/>
        <v>99.544072948328278</v>
      </c>
      <c r="CG34">
        <f t="shared" si="25"/>
        <v>90.625</v>
      </c>
      <c r="CH34">
        <f t="shared" si="26"/>
        <v>0.33838335866262725</v>
      </c>
      <c r="CW34">
        <v>1</v>
      </c>
      <c r="CX34">
        <v>29</v>
      </c>
      <c r="CY34">
        <f t="shared" si="70"/>
        <v>269.5</v>
      </c>
      <c r="CZ34">
        <f t="shared" si="30"/>
        <v>98.699871818348285</v>
      </c>
      <c r="DA34">
        <f t="shared" si="31"/>
        <v>78.378378378378372</v>
      </c>
      <c r="DB34">
        <f t="shared" si="32"/>
        <v>0.28209861573714501</v>
      </c>
      <c r="DG34">
        <v>0.1</v>
      </c>
      <c r="DH34">
        <v>29</v>
      </c>
      <c r="DI34">
        <f t="shared" si="71"/>
        <v>218.6</v>
      </c>
      <c r="DJ34">
        <f t="shared" si="33"/>
        <v>99.977132403384388</v>
      </c>
      <c r="DK34">
        <f t="shared" si="34"/>
        <v>96.666666666666671</v>
      </c>
      <c r="DL34">
        <f t="shared" si="35"/>
        <v>4.3448433569621872E-2</v>
      </c>
      <c r="DQ34">
        <v>0.25</v>
      </c>
      <c r="DR34">
        <v>29</v>
      </c>
      <c r="DS34">
        <f t="shared" si="72"/>
        <v>185.75</v>
      </c>
      <c r="DT34">
        <f t="shared" si="36"/>
        <v>99.865591397849457</v>
      </c>
      <c r="DU34">
        <f t="shared" si="37"/>
        <v>96.666666666666671</v>
      </c>
      <c r="DV34">
        <f t="shared" si="38"/>
        <v>0.12768817204300262</v>
      </c>
      <c r="EA34">
        <v>1</v>
      </c>
      <c r="EB34">
        <v>29</v>
      </c>
      <c r="EC34">
        <f t="shared" si="73"/>
        <v>225.5</v>
      </c>
      <c r="ED34">
        <f t="shared" si="39"/>
        <v>98.7194921746744</v>
      </c>
      <c r="EE34">
        <f t="shared" si="40"/>
        <v>76.31578947368422</v>
      </c>
      <c r="EF34">
        <f t="shared" si="41"/>
        <v>0.32833533982707053</v>
      </c>
      <c r="EK34">
        <v>1</v>
      </c>
      <c r="EL34">
        <v>29</v>
      </c>
      <c r="EM34">
        <f t="shared" si="74"/>
        <v>154</v>
      </c>
      <c r="EN34">
        <f t="shared" si="42"/>
        <v>98.026734563971999</v>
      </c>
      <c r="EO34">
        <f t="shared" si="43"/>
        <v>80.555555555555557</v>
      </c>
      <c r="EP34">
        <f t="shared" si="44"/>
        <v>0.50392531296414944</v>
      </c>
      <c r="EU34">
        <v>0.5</v>
      </c>
      <c r="EV34">
        <v>29</v>
      </c>
      <c r="EW34">
        <f t="shared" si="75"/>
        <v>106</v>
      </c>
      <c r="EX34">
        <f t="shared" si="45"/>
        <v>98.903662234662931</v>
      </c>
      <c r="EY34">
        <f t="shared" si="46"/>
        <v>85.294117647058826</v>
      </c>
      <c r="EZ34">
        <f t="shared" si="47"/>
        <v>0.39105915284237219</v>
      </c>
      <c r="FE34">
        <v>2</v>
      </c>
      <c r="FF34">
        <v>29</v>
      </c>
      <c r="FG34">
        <f t="shared" si="76"/>
        <v>164.5</v>
      </c>
      <c r="FH34">
        <f t="shared" si="48"/>
        <v>93.652149160261871</v>
      </c>
      <c r="FI34">
        <f t="shared" si="49"/>
        <v>72.5</v>
      </c>
      <c r="FJ34">
        <f t="shared" si="50"/>
        <v>0.81127241673782469</v>
      </c>
      <c r="FO34">
        <v>1</v>
      </c>
      <c r="FP34">
        <v>29</v>
      </c>
      <c r="FQ34">
        <f t="shared" si="77"/>
        <v>133</v>
      </c>
      <c r="FR34">
        <f t="shared" si="51"/>
        <v>97.902097902097907</v>
      </c>
      <c r="FS34">
        <f t="shared" si="52"/>
        <v>82.857142857142861</v>
      </c>
      <c r="FT34">
        <f t="shared" si="53"/>
        <v>0.59940059940060308</v>
      </c>
      <c r="FY34">
        <v>1</v>
      </c>
      <c r="FZ34">
        <v>29</v>
      </c>
      <c r="GA34">
        <f t="shared" si="78"/>
        <v>126.25</v>
      </c>
      <c r="GB34">
        <f t="shared" si="54"/>
        <v>98.020186335403707</v>
      </c>
      <c r="GC34">
        <f t="shared" si="55"/>
        <v>82.857142857142861</v>
      </c>
      <c r="GD34">
        <f t="shared" si="56"/>
        <v>0.63220940550132809</v>
      </c>
      <c r="GI34">
        <v>1</v>
      </c>
      <c r="GJ34">
        <v>29</v>
      </c>
      <c r="GK34">
        <f t="shared" si="79"/>
        <v>129</v>
      </c>
      <c r="GL34">
        <f t="shared" si="57"/>
        <v>97.727272727272734</v>
      </c>
      <c r="GM34">
        <f t="shared" si="58"/>
        <v>87.878787878787875</v>
      </c>
      <c r="GN34">
        <f t="shared" si="59"/>
        <v>0.65426997245179697</v>
      </c>
    </row>
    <row r="35" spans="1:196" x14ac:dyDescent="0.2">
      <c r="A35">
        <v>5</v>
      </c>
      <c r="B35">
        <v>30</v>
      </c>
      <c r="C35">
        <f t="shared" si="60"/>
        <v>653</v>
      </c>
      <c r="D35">
        <f t="shared" si="0"/>
        <v>95.092471239260234</v>
      </c>
      <c r="E35">
        <f t="shared" si="1"/>
        <v>61.224489795918366</v>
      </c>
      <c r="F35">
        <f t="shared" si="2"/>
        <v>0.43835795567680469</v>
      </c>
      <c r="K35">
        <v>0.1</v>
      </c>
      <c r="L35">
        <v>30</v>
      </c>
      <c r="M35">
        <f t="shared" si="61"/>
        <v>525.35</v>
      </c>
      <c r="N35">
        <f t="shared" si="3"/>
        <v>99.942927803671637</v>
      </c>
      <c r="O35">
        <f t="shared" si="4"/>
        <v>90.909090909090907</v>
      </c>
      <c r="P35">
        <f t="shared" si="5"/>
        <v>1.7006361532193249E-2</v>
      </c>
      <c r="U35">
        <v>0.5</v>
      </c>
      <c r="V35">
        <v>30</v>
      </c>
      <c r="W35">
        <f t="shared" si="62"/>
        <v>575.5</v>
      </c>
      <c r="X35">
        <f t="shared" si="6"/>
        <v>99.826539462272336</v>
      </c>
      <c r="Y35">
        <f t="shared" si="7"/>
        <v>90.909090909090907</v>
      </c>
      <c r="Z35">
        <f t="shared" si="8"/>
        <v>7.7531603984334521E-2</v>
      </c>
      <c r="AE35">
        <v>1</v>
      </c>
      <c r="AF35">
        <v>30</v>
      </c>
      <c r="AG35">
        <f t="shared" si="63"/>
        <v>423.25</v>
      </c>
      <c r="AH35">
        <f t="shared" si="9"/>
        <v>99.436156466580513</v>
      </c>
      <c r="AI35">
        <f t="shared" si="10"/>
        <v>83.333333333333343</v>
      </c>
      <c r="AJ35">
        <f t="shared" si="11"/>
        <v>0.19251602124854969</v>
      </c>
      <c r="AO35">
        <v>2</v>
      </c>
      <c r="AP35">
        <v>30</v>
      </c>
      <c r="AQ35">
        <f t="shared" si="64"/>
        <v>536.5</v>
      </c>
      <c r="AR35">
        <f t="shared" si="12"/>
        <v>98.985239852398522</v>
      </c>
      <c r="AS35">
        <f t="shared" si="13"/>
        <v>81.081081081081081</v>
      </c>
      <c r="AT35">
        <f t="shared" si="14"/>
        <v>0.29420564475914274</v>
      </c>
      <c r="AY35">
        <v>1.5</v>
      </c>
      <c r="AZ35">
        <v>30</v>
      </c>
      <c r="BA35">
        <f t="shared" si="65"/>
        <v>528.5</v>
      </c>
      <c r="BB35">
        <f t="shared" si="15"/>
        <v>99.444914855583775</v>
      </c>
      <c r="BC35">
        <f t="shared" si="16"/>
        <v>85.714285714285708</v>
      </c>
      <c r="BD35">
        <f t="shared" si="17"/>
        <v>0.23789363332123997</v>
      </c>
      <c r="BI35">
        <v>1.5</v>
      </c>
      <c r="BJ35">
        <v>30</v>
      </c>
      <c r="BK35">
        <f t="shared" si="66"/>
        <v>305.5</v>
      </c>
      <c r="BL35">
        <f t="shared" si="18"/>
        <v>98.152610441767067</v>
      </c>
      <c r="BM35">
        <f t="shared" si="19"/>
        <v>81.081081081081081</v>
      </c>
      <c r="BN35">
        <f t="shared" si="20"/>
        <v>0.38423966134808851</v>
      </c>
      <c r="BS35">
        <v>0.75</v>
      </c>
      <c r="BT35">
        <v>30</v>
      </c>
      <c r="BU35">
        <f t="shared" si="67"/>
        <v>262.75</v>
      </c>
      <c r="BV35">
        <f t="shared" si="21"/>
        <v>99.620853080568722</v>
      </c>
      <c r="BW35">
        <f t="shared" si="22"/>
        <v>90.909090909090907</v>
      </c>
      <c r="BX35">
        <f t="shared" si="23"/>
        <v>0.25420077552779197</v>
      </c>
      <c r="CC35">
        <v>0.25</v>
      </c>
      <c r="CD35">
        <v>30</v>
      </c>
      <c r="CE35">
        <f t="shared" si="68"/>
        <v>131.25</v>
      </c>
      <c r="CF35">
        <f t="shared" si="24"/>
        <v>99.7340425531915</v>
      </c>
      <c r="CG35">
        <f t="shared" si="25"/>
        <v>93.75</v>
      </c>
      <c r="CH35">
        <f t="shared" si="26"/>
        <v>0.17512822948328299</v>
      </c>
      <c r="CW35">
        <v>1</v>
      </c>
      <c r="CX35">
        <v>30</v>
      </c>
      <c r="CY35">
        <f t="shared" si="70"/>
        <v>270.5</v>
      </c>
      <c r="CZ35">
        <f t="shared" si="30"/>
        <v>99.066105108954403</v>
      </c>
      <c r="DA35">
        <f t="shared" si="31"/>
        <v>81.081081081081081</v>
      </c>
      <c r="DB35">
        <f t="shared" si="32"/>
        <v>0.29199681278055356</v>
      </c>
      <c r="DG35">
        <v>0.05</v>
      </c>
      <c r="DH35">
        <v>30</v>
      </c>
      <c r="DI35">
        <f t="shared" si="71"/>
        <v>218.65</v>
      </c>
      <c r="DJ35">
        <f t="shared" si="33"/>
        <v>100</v>
      </c>
      <c r="DK35">
        <f t="shared" si="34"/>
        <v>100</v>
      </c>
      <c r="DL35">
        <f t="shared" si="35"/>
        <v>2.2486470005351578E-2</v>
      </c>
      <c r="DQ35">
        <v>0.25</v>
      </c>
      <c r="DR35">
        <v>30</v>
      </c>
      <c r="DS35">
        <f t="shared" si="72"/>
        <v>186</v>
      </c>
      <c r="DT35">
        <f t="shared" si="36"/>
        <v>100</v>
      </c>
      <c r="DU35">
        <f t="shared" si="37"/>
        <v>100</v>
      </c>
      <c r="DV35">
        <f t="shared" si="38"/>
        <v>0.13216845878136757</v>
      </c>
      <c r="EA35">
        <v>1</v>
      </c>
      <c r="EB35">
        <v>30</v>
      </c>
      <c r="EC35">
        <f t="shared" si="73"/>
        <v>226.5</v>
      </c>
      <c r="ED35">
        <f t="shared" si="39"/>
        <v>99.157272627777189</v>
      </c>
      <c r="EE35">
        <f t="shared" si="40"/>
        <v>78.94736842105263</v>
      </c>
      <c r="EF35">
        <f t="shared" si="41"/>
        <v>0.33985587806663892</v>
      </c>
      <c r="EK35">
        <v>1</v>
      </c>
      <c r="EL35">
        <v>30</v>
      </c>
      <c r="EM35">
        <f t="shared" si="74"/>
        <v>155</v>
      </c>
      <c r="EN35">
        <f t="shared" si="42"/>
        <v>98.663271801400384</v>
      </c>
      <c r="EO35">
        <f t="shared" si="43"/>
        <v>83.333333333333343</v>
      </c>
      <c r="EP35">
        <f t="shared" si="44"/>
        <v>0.5216069028927045</v>
      </c>
      <c r="EU35">
        <v>0.5</v>
      </c>
      <c r="EV35">
        <v>30</v>
      </c>
      <c r="EW35">
        <f t="shared" si="75"/>
        <v>106.5</v>
      </c>
      <c r="EX35">
        <f t="shared" si="45"/>
        <v>99.370188943317004</v>
      </c>
      <c r="EY35">
        <f t="shared" si="46"/>
        <v>88.235294117647058</v>
      </c>
      <c r="EZ35">
        <f t="shared" si="47"/>
        <v>0.40478052662632741</v>
      </c>
      <c r="FE35">
        <v>1.75</v>
      </c>
      <c r="FF35">
        <v>30</v>
      </c>
      <c r="FG35">
        <f t="shared" si="76"/>
        <v>166.25</v>
      </c>
      <c r="FH35">
        <f t="shared" si="48"/>
        <v>94.6484486194136</v>
      </c>
      <c r="FI35">
        <f t="shared" si="49"/>
        <v>75</v>
      </c>
      <c r="FJ35">
        <f t="shared" si="50"/>
        <v>0.73477085112439999</v>
      </c>
      <c r="FO35">
        <v>1</v>
      </c>
      <c r="FP35">
        <v>30</v>
      </c>
      <c r="FQ35">
        <f t="shared" si="77"/>
        <v>134</v>
      </c>
      <c r="FR35">
        <f t="shared" si="51"/>
        <v>98.638203901361805</v>
      </c>
      <c r="FS35">
        <f t="shared" si="52"/>
        <v>85.714285714285708</v>
      </c>
      <c r="FT35">
        <f t="shared" si="53"/>
        <v>0.6204321993795715</v>
      </c>
      <c r="FY35">
        <v>1</v>
      </c>
      <c r="FZ35">
        <v>30</v>
      </c>
      <c r="GA35">
        <f t="shared" si="78"/>
        <v>127.25</v>
      </c>
      <c r="GB35">
        <f t="shared" si="54"/>
        <v>98.796583850931668</v>
      </c>
      <c r="GC35">
        <f t="shared" si="55"/>
        <v>85.714285714285708</v>
      </c>
      <c r="GD35">
        <f t="shared" si="56"/>
        <v>0.65439219165928142</v>
      </c>
      <c r="GI35">
        <v>1</v>
      </c>
      <c r="GJ35">
        <v>30</v>
      </c>
      <c r="GK35">
        <f t="shared" si="79"/>
        <v>130</v>
      </c>
      <c r="GL35">
        <f t="shared" si="57"/>
        <v>98.484848484848484</v>
      </c>
      <c r="GM35">
        <f t="shared" si="58"/>
        <v>90.909090909090907</v>
      </c>
      <c r="GN35">
        <f t="shared" si="59"/>
        <v>0.67722681359044368</v>
      </c>
    </row>
    <row r="36" spans="1:196" x14ac:dyDescent="0.2">
      <c r="A36">
        <v>5</v>
      </c>
      <c r="B36">
        <v>31</v>
      </c>
      <c r="C36">
        <f t="shared" si="60"/>
        <v>658</v>
      </c>
      <c r="D36">
        <f t="shared" si="0"/>
        <v>95.82059123343528</v>
      </c>
      <c r="E36">
        <f t="shared" si="1"/>
        <v>63.265306122448983</v>
      </c>
      <c r="F36">
        <f t="shared" si="2"/>
        <v>0.45321754739467141</v>
      </c>
      <c r="K36">
        <v>0.1</v>
      </c>
      <c r="L36">
        <v>31</v>
      </c>
      <c r="M36">
        <f t="shared" si="61"/>
        <v>525.45000000000005</v>
      </c>
      <c r="N36">
        <f t="shared" si="3"/>
        <v>99.961951869114415</v>
      </c>
      <c r="O36">
        <f t="shared" si="4"/>
        <v>93.939393939393938</v>
      </c>
      <c r="P36">
        <f t="shared" si="5"/>
        <v>1.7582848363779886E-2</v>
      </c>
      <c r="U36">
        <v>0.5</v>
      </c>
      <c r="V36">
        <v>31</v>
      </c>
      <c r="W36">
        <f t="shared" si="62"/>
        <v>576</v>
      </c>
      <c r="X36">
        <f t="shared" si="6"/>
        <v>99.913269731136168</v>
      </c>
      <c r="Y36">
        <f t="shared" si="7"/>
        <v>93.939393939393938</v>
      </c>
      <c r="Z36">
        <f t="shared" si="8"/>
        <v>8.0159793949905189E-2</v>
      </c>
      <c r="AE36">
        <v>1</v>
      </c>
      <c r="AF36">
        <v>31</v>
      </c>
      <c r="AG36">
        <f t="shared" si="63"/>
        <v>424.25</v>
      </c>
      <c r="AH36">
        <f t="shared" si="9"/>
        <v>99.671091272171964</v>
      </c>
      <c r="AI36">
        <f t="shared" si="10"/>
        <v>86.111111111111114</v>
      </c>
      <c r="AJ36">
        <f t="shared" si="11"/>
        <v>0.19904198807053441</v>
      </c>
      <c r="AO36">
        <v>1</v>
      </c>
      <c r="AP36">
        <v>31</v>
      </c>
      <c r="AQ36">
        <f t="shared" si="64"/>
        <v>537.5</v>
      </c>
      <c r="AR36">
        <f t="shared" si="12"/>
        <v>99.169741697416967</v>
      </c>
      <c r="AS36">
        <f t="shared" si="13"/>
        <v>83.78378378378379</v>
      </c>
      <c r="AT36">
        <f t="shared" si="14"/>
        <v>0.15208935873142126</v>
      </c>
      <c r="AY36">
        <v>1</v>
      </c>
      <c r="AZ36">
        <v>31</v>
      </c>
      <c r="BA36">
        <f t="shared" si="65"/>
        <v>529.5</v>
      </c>
      <c r="BB36">
        <f t="shared" si="15"/>
        <v>99.633079311318085</v>
      </c>
      <c r="BC36">
        <f t="shared" si="16"/>
        <v>88.571428571428569</v>
      </c>
      <c r="BD36">
        <f t="shared" si="17"/>
        <v>0.1639718828541839</v>
      </c>
      <c r="BI36">
        <v>1.5</v>
      </c>
      <c r="BJ36">
        <v>31</v>
      </c>
      <c r="BK36">
        <f t="shared" si="66"/>
        <v>307</v>
      </c>
      <c r="BL36">
        <f t="shared" si="18"/>
        <v>98.634538152610446</v>
      </c>
      <c r="BM36">
        <f t="shared" si="19"/>
        <v>83.78378378378379</v>
      </c>
      <c r="BN36">
        <f t="shared" si="20"/>
        <v>0.39726473461413719</v>
      </c>
      <c r="BS36">
        <v>0.5</v>
      </c>
      <c r="BT36">
        <v>31</v>
      </c>
      <c r="BU36">
        <f t="shared" si="67"/>
        <v>263.25</v>
      </c>
      <c r="BV36">
        <f t="shared" si="21"/>
        <v>99.810426540284354</v>
      </c>
      <c r="BW36">
        <f t="shared" si="22"/>
        <v>93.939393939393938</v>
      </c>
      <c r="BX36">
        <f t="shared" si="23"/>
        <v>0.17521183397959927</v>
      </c>
      <c r="CC36">
        <v>0.25</v>
      </c>
      <c r="CD36">
        <v>31</v>
      </c>
      <c r="CE36">
        <f t="shared" si="68"/>
        <v>131.5</v>
      </c>
      <c r="CF36">
        <f t="shared" si="24"/>
        <v>99.924012158054722</v>
      </c>
      <c r="CG36">
        <f t="shared" si="25"/>
        <v>96.875</v>
      </c>
      <c r="CH36">
        <f t="shared" si="26"/>
        <v>0.18106477963525869</v>
      </c>
      <c r="CW36">
        <v>0.75</v>
      </c>
      <c r="CX36">
        <v>31</v>
      </c>
      <c r="CY36">
        <f t="shared" si="70"/>
        <v>271.25</v>
      </c>
      <c r="CZ36">
        <f t="shared" si="30"/>
        <v>99.340780076908985</v>
      </c>
      <c r="DA36">
        <f t="shared" si="31"/>
        <v>83.78378378378379</v>
      </c>
      <c r="DB36">
        <f t="shared" si="32"/>
        <v>0.22642125736796578</v>
      </c>
      <c r="EA36">
        <v>0.5</v>
      </c>
      <c r="EB36">
        <v>31</v>
      </c>
      <c r="EC36">
        <f t="shared" si="73"/>
        <v>227</v>
      </c>
      <c r="ED36">
        <f t="shared" si="39"/>
        <v>99.37616285432857</v>
      </c>
      <c r="EE36">
        <f t="shared" si="40"/>
        <v>81.578947368421055</v>
      </c>
      <c r="EF36">
        <f t="shared" si="41"/>
        <v>0.17568820815308162</v>
      </c>
      <c r="EK36">
        <v>0.75</v>
      </c>
      <c r="EL36">
        <v>31</v>
      </c>
      <c r="EM36">
        <f t="shared" si="74"/>
        <v>155.75</v>
      </c>
      <c r="EN36">
        <f t="shared" si="42"/>
        <v>99.140674729471684</v>
      </c>
      <c r="EO36">
        <f t="shared" si="43"/>
        <v>86.111111111111114</v>
      </c>
      <c r="EP36">
        <f t="shared" si="44"/>
        <v>0.40446636961596205</v>
      </c>
      <c r="EU36">
        <v>0.25</v>
      </c>
      <c r="EV36">
        <v>31</v>
      </c>
      <c r="EW36">
        <f t="shared" si="75"/>
        <v>106.75</v>
      </c>
      <c r="EX36">
        <f t="shared" si="45"/>
        <v>99.60345229764404</v>
      </c>
      <c r="EY36">
        <f t="shared" si="46"/>
        <v>91.17647058823529</v>
      </c>
      <c r="EZ36">
        <f t="shared" si="47"/>
        <v>0.20925095020513537</v>
      </c>
      <c r="FE36">
        <v>1.5</v>
      </c>
      <c r="FF36">
        <v>31</v>
      </c>
      <c r="FG36">
        <f t="shared" si="76"/>
        <v>167.75</v>
      </c>
      <c r="FH36">
        <f t="shared" si="48"/>
        <v>95.502419584400798</v>
      </c>
      <c r="FI36">
        <f t="shared" si="49"/>
        <v>77.5</v>
      </c>
      <c r="FJ36">
        <f t="shared" si="50"/>
        <v>0.65115286080273849</v>
      </c>
      <c r="FO36">
        <v>0.75</v>
      </c>
      <c r="FP36">
        <v>31</v>
      </c>
      <c r="FQ36">
        <f t="shared" si="77"/>
        <v>134.75</v>
      </c>
      <c r="FR36">
        <f t="shared" si="51"/>
        <v>99.190283400809719</v>
      </c>
      <c r="FS36">
        <f t="shared" si="52"/>
        <v>88.571428571428569</v>
      </c>
      <c r="FT36">
        <f t="shared" si="53"/>
        <v>0.48109784951889578</v>
      </c>
      <c r="FY36">
        <v>0.5</v>
      </c>
      <c r="FZ36">
        <v>31</v>
      </c>
      <c r="GA36">
        <f t="shared" si="78"/>
        <v>127.75</v>
      </c>
      <c r="GB36">
        <f t="shared" si="54"/>
        <v>99.184782608695642</v>
      </c>
      <c r="GC36">
        <f t="shared" si="55"/>
        <v>88.571428571428569</v>
      </c>
      <c r="GD36">
        <f t="shared" si="56"/>
        <v>0.33828748890860538</v>
      </c>
      <c r="GI36">
        <v>1</v>
      </c>
      <c r="GJ36">
        <v>31</v>
      </c>
      <c r="GK36">
        <f t="shared" si="79"/>
        <v>131</v>
      </c>
      <c r="GL36">
        <f t="shared" si="57"/>
        <v>99.242424242424249</v>
      </c>
      <c r="GM36">
        <f t="shared" si="58"/>
        <v>93.939393939393938</v>
      </c>
      <c r="GN36">
        <f t="shared" si="59"/>
        <v>0.70018365472911592</v>
      </c>
    </row>
    <row r="37" spans="1:196" x14ac:dyDescent="0.2">
      <c r="A37">
        <v>4</v>
      </c>
      <c r="B37">
        <v>32</v>
      </c>
      <c r="C37">
        <f t="shared" si="60"/>
        <v>662</v>
      </c>
      <c r="D37">
        <f t="shared" si="0"/>
        <v>96.403087228775306</v>
      </c>
      <c r="E37">
        <f t="shared" si="1"/>
        <v>65.306122448979593</v>
      </c>
      <c r="F37">
        <f t="shared" si="2"/>
        <v>0.37446171129001626</v>
      </c>
      <c r="K37">
        <v>0.1</v>
      </c>
      <c r="L37">
        <v>32</v>
      </c>
      <c r="M37">
        <f t="shared" si="61"/>
        <v>525.55000000000007</v>
      </c>
      <c r="N37">
        <f t="shared" si="3"/>
        <v>99.980975934557222</v>
      </c>
      <c r="O37">
        <f t="shared" si="4"/>
        <v>96.969696969696969</v>
      </c>
      <c r="P37">
        <f t="shared" si="5"/>
        <v>1.8159335195406356E-2</v>
      </c>
      <c r="U37">
        <v>0.25</v>
      </c>
      <c r="V37">
        <v>32</v>
      </c>
      <c r="W37">
        <f t="shared" si="62"/>
        <v>576.25</v>
      </c>
      <c r="X37">
        <f t="shared" si="6"/>
        <v>99.956634865568077</v>
      </c>
      <c r="Y37">
        <f t="shared" si="7"/>
        <v>96.969696969696969</v>
      </c>
      <c r="Z37">
        <f t="shared" si="8"/>
        <v>4.1393991957731142E-2</v>
      </c>
      <c r="AE37">
        <v>0.5</v>
      </c>
      <c r="AF37">
        <v>32</v>
      </c>
      <c r="AG37">
        <f t="shared" si="63"/>
        <v>424.75</v>
      </c>
      <c r="AH37">
        <f t="shared" si="9"/>
        <v>99.788558674967689</v>
      </c>
      <c r="AI37">
        <f t="shared" si="10"/>
        <v>88.888888888888886</v>
      </c>
      <c r="AJ37">
        <f t="shared" si="11"/>
        <v>0.10278397744625956</v>
      </c>
      <c r="AO37">
        <v>1</v>
      </c>
      <c r="AP37">
        <v>32</v>
      </c>
      <c r="AQ37">
        <f t="shared" si="64"/>
        <v>538.5</v>
      </c>
      <c r="AR37">
        <f t="shared" si="12"/>
        <v>99.354243542435427</v>
      </c>
      <c r="AS37">
        <f t="shared" si="13"/>
        <v>86.486486486486484</v>
      </c>
      <c r="AT37">
        <f t="shared" si="14"/>
        <v>0.15707589508328323</v>
      </c>
      <c r="AY37">
        <v>1</v>
      </c>
      <c r="AZ37">
        <v>32</v>
      </c>
      <c r="BA37">
        <f t="shared" si="65"/>
        <v>530.5</v>
      </c>
      <c r="BB37">
        <f t="shared" si="15"/>
        <v>99.821243767052394</v>
      </c>
      <c r="BC37">
        <f t="shared" si="16"/>
        <v>91.428571428571431</v>
      </c>
      <c r="BD37">
        <f t="shared" si="17"/>
        <v>0.16934801016087847</v>
      </c>
      <c r="BI37">
        <v>1</v>
      </c>
      <c r="BJ37">
        <v>32</v>
      </c>
      <c r="BK37">
        <f t="shared" si="66"/>
        <v>308</v>
      </c>
      <c r="BL37">
        <f t="shared" si="18"/>
        <v>98.955823293172699</v>
      </c>
      <c r="BM37">
        <f t="shared" si="19"/>
        <v>86.486486486486484</v>
      </c>
      <c r="BN37">
        <f t="shared" si="20"/>
        <v>0.27352653858678294</v>
      </c>
      <c r="BS37">
        <v>0.25</v>
      </c>
      <c r="BT37">
        <v>32</v>
      </c>
      <c r="BU37">
        <f t="shared" si="67"/>
        <v>263.5</v>
      </c>
      <c r="BV37">
        <f t="shared" si="21"/>
        <v>99.905213270142184</v>
      </c>
      <c r="BW37">
        <f t="shared" si="22"/>
        <v>96.969696969696969</v>
      </c>
      <c r="BX37">
        <f t="shared" si="23"/>
        <v>9.0478242137019743E-2</v>
      </c>
      <c r="CC37">
        <v>0.1</v>
      </c>
      <c r="CD37">
        <v>32</v>
      </c>
      <c r="CE37">
        <f t="shared" si="68"/>
        <v>131.6</v>
      </c>
      <c r="CF37">
        <f t="shared" si="24"/>
        <v>100</v>
      </c>
      <c r="CG37">
        <f t="shared" si="25"/>
        <v>100</v>
      </c>
      <c r="CH37">
        <f t="shared" si="26"/>
        <v>7.4800531914882562E-2</v>
      </c>
      <c r="CW37">
        <v>0.5</v>
      </c>
      <c r="CX37">
        <v>32</v>
      </c>
      <c r="CY37">
        <f t="shared" si="70"/>
        <v>271.75</v>
      </c>
      <c r="CZ37">
        <f t="shared" si="30"/>
        <v>99.523896722212044</v>
      </c>
      <c r="DA37">
        <f t="shared" si="31"/>
        <v>86.486486486486484</v>
      </c>
      <c r="DB37">
        <f t="shared" si="32"/>
        <v>0.15589660343368539</v>
      </c>
      <c r="EA37">
        <v>0.4</v>
      </c>
      <c r="EB37">
        <v>32</v>
      </c>
      <c r="EC37">
        <f t="shared" si="73"/>
        <v>227.4</v>
      </c>
      <c r="ED37">
        <f t="shared" si="39"/>
        <v>99.551275035569674</v>
      </c>
      <c r="EE37">
        <f t="shared" si="40"/>
        <v>84.210526315789465</v>
      </c>
      <c r="EF37">
        <f t="shared" si="41"/>
        <v>0.14515878181828382</v>
      </c>
      <c r="EK37">
        <v>0.5</v>
      </c>
      <c r="EL37">
        <v>32</v>
      </c>
      <c r="EM37">
        <f t="shared" si="74"/>
        <v>156.25</v>
      </c>
      <c r="EN37">
        <f t="shared" si="42"/>
        <v>99.458943348185869</v>
      </c>
      <c r="EO37">
        <f t="shared" si="43"/>
        <v>88.888888888888886</v>
      </c>
      <c r="EP37">
        <f t="shared" si="44"/>
        <v>0.27848504137491226</v>
      </c>
      <c r="EU37">
        <v>0.25</v>
      </c>
      <c r="EV37">
        <v>32</v>
      </c>
      <c r="EW37">
        <f t="shared" si="75"/>
        <v>107</v>
      </c>
      <c r="EX37">
        <f t="shared" si="45"/>
        <v>99.836715651971076</v>
      </c>
      <c r="EY37">
        <f t="shared" si="46"/>
        <v>94.117647058823522</v>
      </c>
      <c r="EZ37">
        <f t="shared" si="47"/>
        <v>0.21611163709710701</v>
      </c>
      <c r="FE37">
        <v>1.5</v>
      </c>
      <c r="FF37">
        <v>32</v>
      </c>
      <c r="FG37">
        <f t="shared" si="76"/>
        <v>169.25</v>
      </c>
      <c r="FH37">
        <f t="shared" si="48"/>
        <v>96.356390549387982</v>
      </c>
      <c r="FI37">
        <f t="shared" si="49"/>
        <v>80</v>
      </c>
      <c r="FJ37">
        <f t="shared" si="50"/>
        <v>0.67250213492740729</v>
      </c>
      <c r="FO37">
        <v>0.5</v>
      </c>
      <c r="FP37">
        <v>32</v>
      </c>
      <c r="FQ37">
        <f t="shared" si="77"/>
        <v>135.25</v>
      </c>
      <c r="FR37">
        <f t="shared" si="51"/>
        <v>99.558336400441675</v>
      </c>
      <c r="FS37">
        <f t="shared" si="52"/>
        <v>91.428571428571431</v>
      </c>
      <c r="FT37">
        <f t="shared" si="53"/>
        <v>0.33124769966876072</v>
      </c>
      <c r="FY37">
        <v>0.3</v>
      </c>
      <c r="FZ37">
        <v>32</v>
      </c>
      <c r="GA37">
        <f t="shared" si="78"/>
        <v>128.05000000000001</v>
      </c>
      <c r="GB37">
        <f t="shared" si="54"/>
        <v>99.41770186335404</v>
      </c>
      <c r="GC37">
        <f t="shared" si="55"/>
        <v>91.428571428571431</v>
      </c>
      <c r="GD37">
        <f t="shared" si="56"/>
        <v>0.20962732919255841</v>
      </c>
      <c r="GI37">
        <v>0.75</v>
      </c>
      <c r="GJ37">
        <v>32</v>
      </c>
      <c r="GK37">
        <f t="shared" si="79"/>
        <v>131.75</v>
      </c>
      <c r="GL37">
        <f t="shared" si="57"/>
        <v>99.810606060606062</v>
      </c>
      <c r="GM37">
        <f t="shared" si="58"/>
        <v>96.969696969696969</v>
      </c>
      <c r="GN37">
        <f t="shared" si="59"/>
        <v>0.5423553719008215</v>
      </c>
    </row>
    <row r="38" spans="1:196" x14ac:dyDescent="0.2">
      <c r="A38">
        <v>3</v>
      </c>
      <c r="B38">
        <v>33</v>
      </c>
      <c r="C38">
        <f t="shared" si="60"/>
        <v>665</v>
      </c>
      <c r="D38">
        <f t="shared" si="0"/>
        <v>96.839959225280339</v>
      </c>
      <c r="E38">
        <f t="shared" si="1"/>
        <v>67.346938775510196</v>
      </c>
      <c r="F38">
        <f t="shared" si="2"/>
        <v>0.28976203849823629</v>
      </c>
      <c r="K38">
        <v>0.1</v>
      </c>
      <c r="L38">
        <v>33</v>
      </c>
      <c r="M38">
        <f t="shared" si="61"/>
        <v>525.65000000000009</v>
      </c>
      <c r="N38">
        <f t="shared" si="3"/>
        <v>100</v>
      </c>
      <c r="O38">
        <f t="shared" si="4"/>
        <v>100</v>
      </c>
      <c r="P38">
        <f t="shared" si="5"/>
        <v>1.8735822026978568E-2</v>
      </c>
      <c r="U38">
        <v>0.25</v>
      </c>
      <c r="V38">
        <v>33</v>
      </c>
      <c r="W38">
        <f t="shared" si="62"/>
        <v>576.5</v>
      </c>
      <c r="X38">
        <f t="shared" si="6"/>
        <v>100</v>
      </c>
      <c r="Y38">
        <f t="shared" si="7"/>
        <v>100</v>
      </c>
      <c r="Z38">
        <f t="shared" si="8"/>
        <v>4.2708086940530257E-2</v>
      </c>
      <c r="AE38">
        <v>0.5</v>
      </c>
      <c r="AF38">
        <v>33</v>
      </c>
      <c r="AG38">
        <f t="shared" si="63"/>
        <v>425.25</v>
      </c>
      <c r="AH38">
        <f t="shared" si="9"/>
        <v>99.906026077763414</v>
      </c>
      <c r="AI38">
        <f t="shared" si="10"/>
        <v>91.666666666666657</v>
      </c>
      <c r="AJ38">
        <f t="shared" si="11"/>
        <v>0.1060469608572519</v>
      </c>
      <c r="AO38">
        <v>1</v>
      </c>
      <c r="AP38">
        <v>33</v>
      </c>
      <c r="AQ38">
        <f t="shared" si="64"/>
        <v>539.5</v>
      </c>
      <c r="AR38">
        <f t="shared" si="12"/>
        <v>99.538745387453872</v>
      </c>
      <c r="AS38">
        <f t="shared" si="13"/>
        <v>89.189189189189193</v>
      </c>
      <c r="AT38">
        <f t="shared" si="14"/>
        <v>0.162062431435121</v>
      </c>
      <c r="AY38">
        <v>0.75</v>
      </c>
      <c r="AZ38">
        <v>33</v>
      </c>
      <c r="BA38">
        <f t="shared" si="65"/>
        <v>531.25</v>
      </c>
      <c r="BB38">
        <f t="shared" si="15"/>
        <v>99.96236710885313</v>
      </c>
      <c r="BC38">
        <f t="shared" si="16"/>
        <v>94.285714285714278</v>
      </c>
      <c r="BD38">
        <f t="shared" si="17"/>
        <v>0.13104310310068307</v>
      </c>
      <c r="BI38">
        <v>1</v>
      </c>
      <c r="BJ38">
        <v>33</v>
      </c>
      <c r="BK38">
        <f t="shared" si="66"/>
        <v>309</v>
      </c>
      <c r="BL38">
        <f t="shared" si="18"/>
        <v>99.277108433734938</v>
      </c>
      <c r="BM38">
        <f t="shared" si="19"/>
        <v>89.189189189189193</v>
      </c>
      <c r="BN38">
        <f t="shared" si="20"/>
        <v>0.28220992076412865</v>
      </c>
      <c r="BS38">
        <v>0.25</v>
      </c>
      <c r="BT38">
        <v>33</v>
      </c>
      <c r="BU38">
        <f t="shared" si="67"/>
        <v>263.75</v>
      </c>
      <c r="BV38">
        <f t="shared" si="21"/>
        <v>100</v>
      </c>
      <c r="BW38">
        <f t="shared" si="22"/>
        <v>100</v>
      </c>
      <c r="BX38">
        <f t="shared" si="23"/>
        <v>9.3350567284212732E-2</v>
      </c>
      <c r="CW38">
        <v>0.5</v>
      </c>
      <c r="CX38">
        <v>33</v>
      </c>
      <c r="CY38">
        <f t="shared" si="70"/>
        <v>272.25</v>
      </c>
      <c r="CZ38">
        <f t="shared" si="30"/>
        <v>99.707013367515103</v>
      </c>
      <c r="DA38">
        <f t="shared" si="31"/>
        <v>89.189189189189193</v>
      </c>
      <c r="DB38">
        <f t="shared" si="32"/>
        <v>0.16084570195538969</v>
      </c>
      <c r="EA38">
        <v>0.25</v>
      </c>
      <c r="EB38">
        <v>33</v>
      </c>
      <c r="EC38">
        <f t="shared" si="73"/>
        <v>227.65</v>
      </c>
      <c r="ED38">
        <f t="shared" si="39"/>
        <v>99.660720148845357</v>
      </c>
      <c r="EE38">
        <f t="shared" si="40"/>
        <v>86.842105263157904</v>
      </c>
      <c r="EF38">
        <f t="shared" si="41"/>
        <v>9.3604373196307891E-2</v>
      </c>
      <c r="EK38">
        <v>0.25</v>
      </c>
      <c r="EL38">
        <v>33</v>
      </c>
      <c r="EM38">
        <f t="shared" si="74"/>
        <v>156.5</v>
      </c>
      <c r="EN38">
        <f t="shared" si="42"/>
        <v>99.618077657542969</v>
      </c>
      <c r="EO38">
        <f t="shared" si="43"/>
        <v>91.666666666666657</v>
      </c>
      <c r="EP38">
        <f t="shared" si="44"/>
        <v>0.143662918169604</v>
      </c>
      <c r="EU38">
        <v>0.1</v>
      </c>
      <c r="EV38">
        <v>33</v>
      </c>
      <c r="EW38">
        <f t="shared" si="75"/>
        <v>107.1</v>
      </c>
      <c r="EX38">
        <f t="shared" si="45"/>
        <v>99.930020993701888</v>
      </c>
      <c r="EY38">
        <f t="shared" si="46"/>
        <v>97.058823529411768</v>
      </c>
      <c r="EZ38">
        <f t="shared" si="47"/>
        <v>8.9188929595628755E-2</v>
      </c>
      <c r="FE38">
        <v>1</v>
      </c>
      <c r="FF38">
        <v>33</v>
      </c>
      <c r="FG38">
        <f t="shared" si="76"/>
        <v>170.25</v>
      </c>
      <c r="FH38">
        <f t="shared" si="48"/>
        <v>96.925704526046104</v>
      </c>
      <c r="FI38">
        <f t="shared" si="49"/>
        <v>82.5</v>
      </c>
      <c r="FJ38">
        <f t="shared" si="50"/>
        <v>0.46256760603472458</v>
      </c>
      <c r="FO38">
        <v>0.25</v>
      </c>
      <c r="FP38">
        <v>33</v>
      </c>
      <c r="FQ38">
        <f t="shared" si="77"/>
        <v>135.5</v>
      </c>
      <c r="FR38">
        <f t="shared" si="51"/>
        <v>99.742362900257646</v>
      </c>
      <c r="FS38">
        <f t="shared" si="52"/>
        <v>94.285714285714278</v>
      </c>
      <c r="FT38">
        <f t="shared" si="53"/>
        <v>0.170881749829116</v>
      </c>
      <c r="FY38">
        <v>0.25</v>
      </c>
      <c r="FZ38">
        <v>33</v>
      </c>
      <c r="GA38">
        <f t="shared" si="78"/>
        <v>128.30000000000001</v>
      </c>
      <c r="GB38">
        <f t="shared" si="54"/>
        <v>99.611801242236027</v>
      </c>
      <c r="GC38">
        <f t="shared" si="55"/>
        <v>94.285714285714278</v>
      </c>
      <c r="GD38">
        <f t="shared" si="56"/>
        <v>0.18023513753327336</v>
      </c>
      <c r="GI38">
        <v>0.25</v>
      </c>
      <c r="GJ38">
        <v>33</v>
      </c>
      <c r="GK38">
        <f t="shared" si="79"/>
        <v>132</v>
      </c>
      <c r="GL38">
        <f t="shared" si="57"/>
        <v>100</v>
      </c>
      <c r="GM38">
        <f t="shared" si="58"/>
        <v>100</v>
      </c>
      <c r="GN38">
        <f t="shared" si="59"/>
        <v>0.18652433425160528</v>
      </c>
    </row>
    <row r="39" spans="1:196" x14ac:dyDescent="0.2">
      <c r="A39">
        <v>2.5</v>
      </c>
      <c r="B39">
        <v>34</v>
      </c>
      <c r="C39">
        <f t="shared" si="60"/>
        <v>667.5</v>
      </c>
      <c r="D39">
        <f t="shared" si="0"/>
        <v>97.204019222367862</v>
      </c>
      <c r="E39">
        <f t="shared" si="1"/>
        <v>69.387755102040813</v>
      </c>
      <c r="F39">
        <f t="shared" si="2"/>
        <v>0.24889816127412281</v>
      </c>
      <c r="AE39">
        <v>0.2</v>
      </c>
      <c r="AF39">
        <v>34</v>
      </c>
      <c r="AG39">
        <f t="shared" si="63"/>
        <v>425.45</v>
      </c>
      <c r="AH39">
        <f t="shared" si="9"/>
        <v>99.953013038881693</v>
      </c>
      <c r="AI39">
        <f t="shared" si="10"/>
        <v>94.444444444444443</v>
      </c>
      <c r="AJ39">
        <f t="shared" si="11"/>
        <v>4.3723977707287129E-2</v>
      </c>
      <c r="AO39">
        <v>1</v>
      </c>
      <c r="AP39">
        <v>34</v>
      </c>
      <c r="AQ39">
        <f t="shared" si="64"/>
        <v>540.5</v>
      </c>
      <c r="AR39">
        <f t="shared" si="12"/>
        <v>99.723247232472318</v>
      </c>
      <c r="AS39">
        <f t="shared" si="13"/>
        <v>91.891891891891902</v>
      </c>
      <c r="AT39">
        <f t="shared" si="14"/>
        <v>0.1670489677869709</v>
      </c>
      <c r="AY39">
        <v>0.1</v>
      </c>
      <c r="AZ39">
        <v>34</v>
      </c>
      <c r="BA39">
        <f t="shared" si="65"/>
        <v>531.35</v>
      </c>
      <c r="BB39">
        <f t="shared" si="15"/>
        <v>99.981183554426565</v>
      </c>
      <c r="BC39">
        <f t="shared" si="16"/>
        <v>97.142857142857139</v>
      </c>
      <c r="BD39">
        <f t="shared" si="17"/>
        <v>1.8010026477430836E-2</v>
      </c>
      <c r="BI39">
        <v>1</v>
      </c>
      <c r="BJ39">
        <v>34</v>
      </c>
      <c r="BK39">
        <f t="shared" si="66"/>
        <v>310</v>
      </c>
      <c r="BL39">
        <f t="shared" si="18"/>
        <v>99.598393574297177</v>
      </c>
      <c r="BM39">
        <f t="shared" si="19"/>
        <v>91.891891891891902</v>
      </c>
      <c r="BN39">
        <f t="shared" si="20"/>
        <v>0.29089330294148646</v>
      </c>
      <c r="CW39">
        <v>0.4</v>
      </c>
      <c r="CX39">
        <v>34</v>
      </c>
      <c r="CY39">
        <f t="shared" si="70"/>
        <v>272.64999999999998</v>
      </c>
      <c r="CZ39">
        <f t="shared" si="30"/>
        <v>99.853506683757544</v>
      </c>
      <c r="DA39">
        <f t="shared" si="31"/>
        <v>91.891891891891902</v>
      </c>
      <c r="DB39">
        <f t="shared" si="32"/>
        <v>0.13263584038167006</v>
      </c>
      <c r="EA39">
        <v>0.25</v>
      </c>
      <c r="EB39">
        <v>34</v>
      </c>
      <c r="EC39">
        <f t="shared" si="73"/>
        <v>227.9</v>
      </c>
      <c r="ED39">
        <f t="shared" si="39"/>
        <v>99.770165262121054</v>
      </c>
      <c r="EE39">
        <f t="shared" si="40"/>
        <v>89.473684210526315</v>
      </c>
      <c r="EF39">
        <f t="shared" si="41"/>
        <v>9.6484507756206817E-2</v>
      </c>
      <c r="EK39">
        <v>0.25</v>
      </c>
      <c r="EL39">
        <v>34</v>
      </c>
      <c r="EM39">
        <f t="shared" si="74"/>
        <v>156.75</v>
      </c>
      <c r="EN39">
        <f t="shared" si="42"/>
        <v>99.777211966900069</v>
      </c>
      <c r="EO39">
        <f t="shared" si="43"/>
        <v>94.444444444444443</v>
      </c>
      <c r="EP39">
        <f t="shared" si="44"/>
        <v>0.14808331565174565</v>
      </c>
      <c r="EU39">
        <v>7.4999999999999997E-2</v>
      </c>
      <c r="EV39">
        <v>34</v>
      </c>
      <c r="EW39">
        <f t="shared" si="75"/>
        <v>107.175</v>
      </c>
      <c r="EX39">
        <f t="shared" si="45"/>
        <v>100</v>
      </c>
      <c r="EY39">
        <f t="shared" si="46"/>
        <v>100</v>
      </c>
      <c r="EZ39">
        <f t="shared" si="47"/>
        <v>6.8949903264316492E-2</v>
      </c>
      <c r="FE39">
        <v>1</v>
      </c>
      <c r="FF39">
        <v>34</v>
      </c>
      <c r="FG39">
        <f t="shared" si="76"/>
        <v>171.25</v>
      </c>
      <c r="FH39">
        <f t="shared" si="48"/>
        <v>97.495018502704227</v>
      </c>
      <c r="FI39">
        <f t="shared" si="49"/>
        <v>85</v>
      </c>
      <c r="FJ39">
        <f t="shared" si="50"/>
        <v>0.47680045545117766</v>
      </c>
      <c r="FO39">
        <v>0.25</v>
      </c>
      <c r="FP39">
        <v>34</v>
      </c>
      <c r="FQ39">
        <f t="shared" si="77"/>
        <v>135.75</v>
      </c>
      <c r="FR39">
        <f t="shared" si="51"/>
        <v>99.926389400073617</v>
      </c>
      <c r="FS39">
        <f t="shared" si="52"/>
        <v>97.142857142857139</v>
      </c>
      <c r="FT39">
        <f t="shared" si="53"/>
        <v>0.17613964982385802</v>
      </c>
      <c r="FY39">
        <v>0.25</v>
      </c>
      <c r="FZ39">
        <v>34</v>
      </c>
      <c r="GA39">
        <f t="shared" si="78"/>
        <v>128.55000000000001</v>
      </c>
      <c r="GB39">
        <f t="shared" si="54"/>
        <v>99.805900621118013</v>
      </c>
      <c r="GC39">
        <f t="shared" si="55"/>
        <v>97.142857142857139</v>
      </c>
      <c r="GD39">
        <f t="shared" si="56"/>
        <v>0.18578083407275869</v>
      </c>
    </row>
    <row r="40" spans="1:196" x14ac:dyDescent="0.2">
      <c r="A40">
        <v>2.5</v>
      </c>
      <c r="B40">
        <v>35</v>
      </c>
      <c r="C40">
        <f t="shared" si="60"/>
        <v>670</v>
      </c>
      <c r="D40">
        <f t="shared" si="0"/>
        <v>97.56807921945537</v>
      </c>
      <c r="E40">
        <f t="shared" si="1"/>
        <v>71.428571428571431</v>
      </c>
      <c r="F40">
        <f t="shared" si="2"/>
        <v>0.25632795713304179</v>
      </c>
      <c r="AE40">
        <v>0.1</v>
      </c>
      <c r="AF40">
        <v>35</v>
      </c>
      <c r="AG40">
        <f t="shared" si="63"/>
        <v>425.55</v>
      </c>
      <c r="AH40">
        <f t="shared" si="9"/>
        <v>99.976506519440861</v>
      </c>
      <c r="AI40">
        <f t="shared" si="10"/>
        <v>97.222222222222214</v>
      </c>
      <c r="AJ40">
        <f t="shared" si="11"/>
        <v>2.2514585535869117E-2</v>
      </c>
      <c r="AO40">
        <v>0.75</v>
      </c>
      <c r="AP40">
        <v>35</v>
      </c>
      <c r="AQ40">
        <f t="shared" si="64"/>
        <v>541.25</v>
      </c>
      <c r="AR40">
        <f t="shared" si="12"/>
        <v>99.861623616236159</v>
      </c>
      <c r="AS40">
        <f t="shared" si="13"/>
        <v>94.594594594594597</v>
      </c>
      <c r="AT40">
        <f t="shared" si="14"/>
        <v>0.12902662810412222</v>
      </c>
      <c r="AY40">
        <v>0.1</v>
      </c>
      <c r="AZ40">
        <v>35</v>
      </c>
      <c r="BA40">
        <f t="shared" si="65"/>
        <v>531.45000000000005</v>
      </c>
      <c r="BB40">
        <f t="shared" si="15"/>
        <v>100</v>
      </c>
      <c r="BC40">
        <f t="shared" si="16"/>
        <v>100</v>
      </c>
      <c r="BD40">
        <f t="shared" si="17"/>
        <v>1.8547639208100417E-2</v>
      </c>
      <c r="BI40">
        <v>0.5</v>
      </c>
      <c r="BJ40">
        <v>35</v>
      </c>
      <c r="BK40">
        <f t="shared" si="66"/>
        <v>310.5</v>
      </c>
      <c r="BL40">
        <f t="shared" si="18"/>
        <v>99.759036144578317</v>
      </c>
      <c r="BM40">
        <f t="shared" si="19"/>
        <v>94.594594594594597</v>
      </c>
      <c r="BN40">
        <f t="shared" si="20"/>
        <v>0.14978834255944204</v>
      </c>
      <c r="CW40">
        <v>0.25</v>
      </c>
      <c r="CX40">
        <v>35</v>
      </c>
      <c r="CY40">
        <f t="shared" si="70"/>
        <v>272.89999999999998</v>
      </c>
      <c r="CZ40">
        <f t="shared" si="30"/>
        <v>99.945065006409067</v>
      </c>
      <c r="DA40">
        <f t="shared" si="31"/>
        <v>94.594594594594597</v>
      </c>
      <c r="DB40">
        <f t="shared" si="32"/>
        <v>8.5371949499392544E-2</v>
      </c>
      <c r="EA40">
        <v>0.25</v>
      </c>
      <c r="EB40">
        <v>35</v>
      </c>
      <c r="EC40">
        <f t="shared" si="73"/>
        <v>228.15</v>
      </c>
      <c r="ED40">
        <f t="shared" si="39"/>
        <v>99.879610375396737</v>
      </c>
      <c r="EE40">
        <f t="shared" si="40"/>
        <v>92.10526315789474</v>
      </c>
      <c r="EF40">
        <f t="shared" si="41"/>
        <v>9.9364642316080665E-2</v>
      </c>
      <c r="EK40">
        <v>0.25</v>
      </c>
      <c r="EL40">
        <v>35</v>
      </c>
      <c r="EM40">
        <f t="shared" si="74"/>
        <v>157</v>
      </c>
      <c r="EN40">
        <f t="shared" si="42"/>
        <v>99.936346276257154</v>
      </c>
      <c r="EO40">
        <f t="shared" si="43"/>
        <v>97.222222222222214</v>
      </c>
      <c r="EP40">
        <f t="shared" si="44"/>
        <v>0.1525037131338737</v>
      </c>
      <c r="FE40">
        <v>1</v>
      </c>
      <c r="FF40">
        <v>35</v>
      </c>
      <c r="FG40">
        <f t="shared" si="76"/>
        <v>172.25</v>
      </c>
      <c r="FH40">
        <f t="shared" si="48"/>
        <v>98.064332479362378</v>
      </c>
      <c r="FI40">
        <f t="shared" si="49"/>
        <v>87.5</v>
      </c>
      <c r="FJ40">
        <f t="shared" si="50"/>
        <v>0.49103330486765523</v>
      </c>
      <c r="FO40">
        <v>0.1</v>
      </c>
      <c r="FP40">
        <v>35</v>
      </c>
      <c r="FQ40">
        <f t="shared" si="77"/>
        <v>135.85</v>
      </c>
      <c r="FR40">
        <f t="shared" si="51"/>
        <v>100</v>
      </c>
      <c r="FS40">
        <f t="shared" si="52"/>
        <v>100</v>
      </c>
      <c r="FT40">
        <f t="shared" si="53"/>
        <v>7.2559019927434423E-2</v>
      </c>
      <c r="FY40">
        <v>0.25</v>
      </c>
      <c r="FZ40">
        <v>35</v>
      </c>
      <c r="GA40">
        <f t="shared" si="78"/>
        <v>128.80000000000001</v>
      </c>
      <c r="GB40">
        <f t="shared" si="54"/>
        <v>100</v>
      </c>
      <c r="GC40">
        <f t="shared" si="55"/>
        <v>100</v>
      </c>
      <c r="GD40">
        <f t="shared" si="56"/>
        <v>0.19132653061224403</v>
      </c>
    </row>
    <row r="41" spans="1:196" x14ac:dyDescent="0.2">
      <c r="A41">
        <v>2</v>
      </c>
      <c r="B41">
        <v>36</v>
      </c>
      <c r="C41">
        <f t="shared" si="60"/>
        <v>672</v>
      </c>
      <c r="D41">
        <f t="shared" si="0"/>
        <v>97.859327217125397</v>
      </c>
      <c r="E41">
        <f t="shared" si="1"/>
        <v>73.469387755102048</v>
      </c>
      <c r="F41">
        <f t="shared" si="2"/>
        <v>0.21100620239359091</v>
      </c>
      <c r="AE41">
        <v>0.1</v>
      </c>
      <c r="AF41">
        <v>36</v>
      </c>
      <c r="AG41">
        <f t="shared" si="63"/>
        <v>425.65000000000003</v>
      </c>
      <c r="AH41">
        <f t="shared" si="9"/>
        <v>100</v>
      </c>
      <c r="AI41">
        <f t="shared" si="10"/>
        <v>100</v>
      </c>
      <c r="AJ41">
        <f t="shared" si="11"/>
        <v>2.3167182218040198E-2</v>
      </c>
      <c r="AO41">
        <v>0.5</v>
      </c>
      <c r="AP41">
        <v>36</v>
      </c>
      <c r="AQ41">
        <f t="shared" si="64"/>
        <v>541.75</v>
      </c>
      <c r="AR41">
        <f t="shared" si="12"/>
        <v>99.953874538745396</v>
      </c>
      <c r="AS41">
        <f t="shared" si="13"/>
        <v>97.297297297297305</v>
      </c>
      <c r="AT41">
        <f t="shared" si="14"/>
        <v>8.8511020245348959E-2</v>
      </c>
      <c r="BI41">
        <v>0.5</v>
      </c>
      <c r="BJ41">
        <v>36</v>
      </c>
      <c r="BK41">
        <f t="shared" si="66"/>
        <v>311</v>
      </c>
      <c r="BL41">
        <f t="shared" si="18"/>
        <v>99.919678714859444</v>
      </c>
      <c r="BM41">
        <f t="shared" si="19"/>
        <v>97.297297297297305</v>
      </c>
      <c r="BN41">
        <f t="shared" si="20"/>
        <v>0.15413003364810784</v>
      </c>
      <c r="CW41">
        <v>0.1</v>
      </c>
      <c r="CX41">
        <v>36</v>
      </c>
      <c r="CY41">
        <f t="shared" si="70"/>
        <v>273</v>
      </c>
      <c r="CZ41">
        <f t="shared" si="30"/>
        <v>99.981688335469684</v>
      </c>
      <c r="DA41">
        <f t="shared" si="31"/>
        <v>97.297297297297305</v>
      </c>
      <c r="DB41">
        <f t="shared" si="32"/>
        <v>3.5138599504105972E-2</v>
      </c>
      <c r="EA41">
        <v>0.1</v>
      </c>
      <c r="EB41">
        <v>36</v>
      </c>
      <c r="EC41">
        <f t="shared" si="73"/>
        <v>228.25</v>
      </c>
      <c r="ED41">
        <f t="shared" si="39"/>
        <v>99.923388420707028</v>
      </c>
      <c r="EE41">
        <f t="shared" si="40"/>
        <v>94.73684210526315</v>
      </c>
      <c r="EF41">
        <f t="shared" si="41"/>
        <v>4.0897910750402763E-2</v>
      </c>
      <c r="EK41">
        <v>0.1</v>
      </c>
      <c r="EL41">
        <v>36</v>
      </c>
      <c r="EM41">
        <f t="shared" si="74"/>
        <v>157.1</v>
      </c>
      <c r="EN41">
        <f t="shared" si="42"/>
        <v>100</v>
      </c>
      <c r="EO41">
        <f t="shared" si="43"/>
        <v>100</v>
      </c>
      <c r="EP41">
        <f t="shared" si="44"/>
        <v>6.2769644246417206E-2</v>
      </c>
      <c r="FE41">
        <v>1</v>
      </c>
      <c r="FF41">
        <v>36</v>
      </c>
      <c r="FG41">
        <f t="shared" si="76"/>
        <v>173.25</v>
      </c>
      <c r="FH41">
        <f t="shared" si="48"/>
        <v>98.6336464560205</v>
      </c>
      <c r="FI41">
        <f t="shared" si="49"/>
        <v>90</v>
      </c>
      <c r="FJ41">
        <f t="shared" si="50"/>
        <v>0.50526615428408372</v>
      </c>
    </row>
    <row r="42" spans="1:196" x14ac:dyDescent="0.2">
      <c r="A42">
        <v>2</v>
      </c>
      <c r="B42">
        <v>37</v>
      </c>
      <c r="C42">
        <f t="shared" si="60"/>
        <v>674</v>
      </c>
      <c r="D42">
        <f t="shared" si="0"/>
        <v>98.15057521479541</v>
      </c>
      <c r="E42">
        <f t="shared" si="1"/>
        <v>75.510204081632651</v>
      </c>
      <c r="F42">
        <f t="shared" si="2"/>
        <v>0.21695003908072369</v>
      </c>
      <c r="AO42">
        <v>0.25</v>
      </c>
      <c r="AP42">
        <v>37</v>
      </c>
      <c r="AQ42">
        <f t="shared" si="64"/>
        <v>542</v>
      </c>
      <c r="AR42">
        <f t="shared" si="12"/>
        <v>100</v>
      </c>
      <c r="AS42">
        <f t="shared" si="13"/>
        <v>100</v>
      </c>
      <c r="AT42">
        <f t="shared" si="14"/>
        <v>4.5502144210623117E-2</v>
      </c>
      <c r="BI42">
        <v>0.25</v>
      </c>
      <c r="BJ42">
        <v>37</v>
      </c>
      <c r="BK42">
        <f t="shared" si="66"/>
        <v>311.25</v>
      </c>
      <c r="BL42">
        <f t="shared" si="18"/>
        <v>100</v>
      </c>
      <c r="BM42">
        <f t="shared" si="19"/>
        <v>100</v>
      </c>
      <c r="BN42">
        <f t="shared" si="20"/>
        <v>7.9235862368386464E-2</v>
      </c>
      <c r="CW42">
        <v>0.05</v>
      </c>
      <c r="CX42">
        <v>37</v>
      </c>
      <c r="CY42">
        <f t="shared" si="70"/>
        <v>273.05</v>
      </c>
      <c r="CZ42">
        <f t="shared" si="30"/>
        <v>100</v>
      </c>
      <c r="DA42">
        <f t="shared" si="31"/>
        <v>100</v>
      </c>
      <c r="DB42">
        <f t="shared" si="32"/>
        <v>1.80642096042305E-2</v>
      </c>
      <c r="EA42">
        <v>0.1</v>
      </c>
      <c r="EB42">
        <v>37</v>
      </c>
      <c r="EC42">
        <f t="shared" si="73"/>
        <v>228.35</v>
      </c>
      <c r="ED42">
        <f t="shared" si="39"/>
        <v>99.967166466017304</v>
      </c>
      <c r="EE42">
        <f t="shared" si="40"/>
        <v>97.368421052631575</v>
      </c>
      <c r="EF42">
        <f t="shared" si="41"/>
        <v>4.2049964574344116E-2</v>
      </c>
      <c r="FE42">
        <v>1</v>
      </c>
      <c r="FF42">
        <v>37</v>
      </c>
      <c r="FG42">
        <f t="shared" si="76"/>
        <v>174.25</v>
      </c>
      <c r="FH42">
        <f t="shared" si="48"/>
        <v>99.202960432678623</v>
      </c>
      <c r="FI42">
        <f t="shared" si="49"/>
        <v>92.5</v>
      </c>
      <c r="FJ42">
        <f t="shared" si="50"/>
        <v>0.51949900370053681</v>
      </c>
    </row>
    <row r="43" spans="1:196" x14ac:dyDescent="0.2">
      <c r="A43">
        <v>2</v>
      </c>
      <c r="B43">
        <v>38</v>
      </c>
      <c r="C43">
        <f t="shared" si="60"/>
        <v>676</v>
      </c>
      <c r="D43">
        <f t="shared" si="0"/>
        <v>98.441823212465422</v>
      </c>
      <c r="E43">
        <f t="shared" si="1"/>
        <v>77.551020408163268</v>
      </c>
      <c r="F43">
        <f t="shared" si="2"/>
        <v>0.22289387576786679</v>
      </c>
      <c r="EA43">
        <v>7.4999999999999997E-2</v>
      </c>
      <c r="EB43">
        <v>38</v>
      </c>
      <c r="EC43">
        <f t="shared" si="73"/>
        <v>228.42499999999998</v>
      </c>
      <c r="ED43">
        <f t="shared" si="39"/>
        <v>100</v>
      </c>
      <c r="EE43">
        <f t="shared" si="40"/>
        <v>100</v>
      </c>
      <c r="EF43">
        <f t="shared" si="41"/>
        <v>3.2401513798713547E-2</v>
      </c>
      <c r="FE43">
        <v>0.75</v>
      </c>
      <c r="FF43">
        <v>38</v>
      </c>
      <c r="FG43">
        <f t="shared" si="76"/>
        <v>175</v>
      </c>
      <c r="FH43">
        <f t="shared" si="48"/>
        <v>99.629945915172215</v>
      </c>
      <c r="FI43">
        <f t="shared" si="49"/>
        <v>95</v>
      </c>
      <c r="FJ43">
        <f t="shared" si="50"/>
        <v>0.40029888983774242</v>
      </c>
    </row>
    <row r="44" spans="1:196" x14ac:dyDescent="0.2">
      <c r="A44">
        <v>1.5</v>
      </c>
      <c r="B44">
        <v>39</v>
      </c>
      <c r="C44">
        <f t="shared" si="60"/>
        <v>677.5</v>
      </c>
      <c r="D44">
        <f t="shared" si="0"/>
        <v>98.660259210717939</v>
      </c>
      <c r="E44">
        <f t="shared" si="1"/>
        <v>79.591836734693871</v>
      </c>
      <c r="F44">
        <f t="shared" si="2"/>
        <v>0.17162828434126304</v>
      </c>
      <c r="FE44">
        <v>0.4</v>
      </c>
      <c r="FF44">
        <v>39</v>
      </c>
      <c r="FG44">
        <f t="shared" si="76"/>
        <v>175.4</v>
      </c>
      <c r="FH44">
        <f t="shared" si="48"/>
        <v>99.857671505835469</v>
      </c>
      <c r="FI44">
        <f t="shared" si="49"/>
        <v>97.5</v>
      </c>
      <c r="FJ44">
        <f t="shared" si="50"/>
        <v>0.21918588101338266</v>
      </c>
    </row>
    <row r="45" spans="1:196" x14ac:dyDescent="0.2">
      <c r="A45">
        <v>1.5</v>
      </c>
      <c r="B45">
        <v>40</v>
      </c>
      <c r="C45">
        <f t="shared" si="60"/>
        <v>679</v>
      </c>
      <c r="D45">
        <f t="shared" si="0"/>
        <v>98.878695208970441</v>
      </c>
      <c r="E45">
        <f t="shared" si="1"/>
        <v>81.632653061224488</v>
      </c>
      <c r="F45">
        <f t="shared" si="2"/>
        <v>0.17608616185660908</v>
      </c>
      <c r="FE45">
        <v>0.25</v>
      </c>
      <c r="FF45">
        <v>40</v>
      </c>
      <c r="FG45">
        <f t="shared" si="76"/>
        <v>175.65</v>
      </c>
      <c r="FH45">
        <f t="shared" si="48"/>
        <v>100</v>
      </c>
      <c r="FI45">
        <f t="shared" si="49"/>
        <v>100</v>
      </c>
      <c r="FJ45">
        <f t="shared" si="50"/>
        <v>0.14054938798747402</v>
      </c>
    </row>
    <row r="46" spans="1:196" x14ac:dyDescent="0.2">
      <c r="A46">
        <v>1.25</v>
      </c>
      <c r="B46">
        <v>41</v>
      </c>
      <c r="C46">
        <f t="shared" si="60"/>
        <v>680.25</v>
      </c>
      <c r="D46">
        <f t="shared" si="0"/>
        <v>99.06072520751421</v>
      </c>
      <c r="E46">
        <f t="shared" si="1"/>
        <v>83.673469387755105</v>
      </c>
      <c r="F46">
        <f t="shared" si="2"/>
        <v>0.15045336614331889</v>
      </c>
    </row>
    <row r="47" spans="1:196" x14ac:dyDescent="0.2">
      <c r="A47">
        <v>1</v>
      </c>
      <c r="B47">
        <v>42</v>
      </c>
      <c r="C47">
        <f t="shared" si="60"/>
        <v>681.25</v>
      </c>
      <c r="D47">
        <f t="shared" si="0"/>
        <v>99.206349206349216</v>
      </c>
      <c r="E47">
        <f t="shared" si="1"/>
        <v>85.714285714285708</v>
      </c>
      <c r="F47">
        <f t="shared" si="2"/>
        <v>0.12333461125821964</v>
      </c>
    </row>
    <row r="48" spans="1:196" x14ac:dyDescent="0.2">
      <c r="A48">
        <v>1</v>
      </c>
      <c r="B48">
        <v>43</v>
      </c>
      <c r="C48">
        <f t="shared" si="60"/>
        <v>682.25</v>
      </c>
      <c r="D48">
        <f t="shared" si="0"/>
        <v>99.351973205184237</v>
      </c>
      <c r="E48">
        <f t="shared" si="1"/>
        <v>87.755102040816325</v>
      </c>
      <c r="F48">
        <f t="shared" si="2"/>
        <v>0.12630652960180352</v>
      </c>
    </row>
    <row r="49" spans="1:6" x14ac:dyDescent="0.2">
      <c r="A49">
        <v>1</v>
      </c>
      <c r="B49">
        <v>44</v>
      </c>
      <c r="C49">
        <f t="shared" si="60"/>
        <v>683.25</v>
      </c>
      <c r="D49">
        <f t="shared" si="0"/>
        <v>99.497597204019229</v>
      </c>
      <c r="E49">
        <f t="shared" si="1"/>
        <v>89.795918367346943</v>
      </c>
      <c r="F49">
        <f t="shared" si="2"/>
        <v>0.12927844794535012</v>
      </c>
    </row>
    <row r="50" spans="1:6" x14ac:dyDescent="0.2">
      <c r="A50">
        <v>1</v>
      </c>
      <c r="B50">
        <v>45</v>
      </c>
      <c r="C50">
        <f t="shared" si="60"/>
        <v>684.25</v>
      </c>
      <c r="D50">
        <f t="shared" si="0"/>
        <v>99.643221202854235</v>
      </c>
      <c r="E50">
        <f t="shared" si="1"/>
        <v>91.83673469387756</v>
      </c>
      <c r="F50">
        <f t="shared" si="2"/>
        <v>0.13225036628893433</v>
      </c>
    </row>
    <row r="51" spans="1:6" x14ac:dyDescent="0.2">
      <c r="A51">
        <v>0.9</v>
      </c>
      <c r="B51">
        <v>46</v>
      </c>
      <c r="C51">
        <f t="shared" si="60"/>
        <v>685.15</v>
      </c>
      <c r="D51">
        <f t="shared" si="0"/>
        <v>99.774282801805754</v>
      </c>
      <c r="E51">
        <f t="shared" si="1"/>
        <v>93.877551020408163</v>
      </c>
      <c r="F51">
        <f t="shared" si="2"/>
        <v>0.12170005616926716</v>
      </c>
    </row>
    <row r="52" spans="1:6" x14ac:dyDescent="0.2">
      <c r="A52">
        <v>0.9</v>
      </c>
      <c r="B52">
        <v>47</v>
      </c>
      <c r="C52">
        <f t="shared" si="60"/>
        <v>686.05</v>
      </c>
      <c r="D52">
        <f t="shared" si="0"/>
        <v>99.905344400757244</v>
      </c>
      <c r="E52">
        <f t="shared" si="1"/>
        <v>95.918367346938766</v>
      </c>
      <c r="F52">
        <f t="shared" si="2"/>
        <v>0.12437478267845485</v>
      </c>
    </row>
    <row r="53" spans="1:6" x14ac:dyDescent="0.2">
      <c r="A53">
        <v>0.4</v>
      </c>
      <c r="B53">
        <v>48</v>
      </c>
      <c r="C53">
        <f t="shared" si="60"/>
        <v>686.44999999999993</v>
      </c>
      <c r="D53">
        <f t="shared" si="0"/>
        <v>99.963594000291238</v>
      </c>
      <c r="E53">
        <f t="shared" si="1"/>
        <v>97.959183673469383</v>
      </c>
      <c r="F53">
        <f t="shared" si="2"/>
        <v>5.6466448527851314E-2</v>
      </c>
    </row>
    <row r="54" spans="1:6" x14ac:dyDescent="0.2">
      <c r="A54">
        <v>0.25</v>
      </c>
      <c r="B54">
        <v>49</v>
      </c>
      <c r="C54">
        <f t="shared" si="60"/>
        <v>686.69999999999993</v>
      </c>
      <c r="D54">
        <f t="shared" si="0"/>
        <v>100</v>
      </c>
      <c r="E54">
        <f t="shared" si="1"/>
        <v>100</v>
      </c>
      <c r="F54">
        <f t="shared" si="2"/>
        <v>3.6034509915815686E-2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6DA6-7E20-E343-8380-6FD8D5A8566D}">
  <dimension ref="A1:GQ47"/>
  <sheetViews>
    <sheetView workbookViewId="0">
      <selection activeCell="B1" sqref="B1"/>
    </sheetView>
  </sheetViews>
  <sheetFormatPr baseColWidth="10" defaultRowHeight="16" x14ac:dyDescent="0.2"/>
  <cols>
    <col min="6" max="6" width="15.1640625" bestFit="1" customWidth="1"/>
    <col min="8" max="8" width="28.1640625" bestFit="1" customWidth="1"/>
    <col min="16" max="16" width="15.1640625" bestFit="1" customWidth="1"/>
    <col min="18" max="18" width="28.1640625" bestFit="1" customWidth="1"/>
    <col min="26" max="26" width="15.1640625" bestFit="1" customWidth="1"/>
    <col min="28" max="28" width="28.1640625" bestFit="1" customWidth="1"/>
    <col min="36" max="36" width="15.1640625" bestFit="1" customWidth="1"/>
    <col min="38" max="38" width="28.1640625" bestFit="1" customWidth="1"/>
    <col min="41" max="41" width="11.5" bestFit="1" customWidth="1"/>
    <col min="46" max="46" width="15.1640625" bestFit="1" customWidth="1"/>
    <col min="47" max="47" width="11.1640625" bestFit="1" customWidth="1"/>
    <col min="48" max="48" width="28.1640625" bestFit="1" customWidth="1"/>
    <col min="56" max="56" width="15.1640625" bestFit="1" customWidth="1"/>
    <col min="58" max="58" width="28.1640625" bestFit="1" customWidth="1"/>
    <col min="66" max="66" width="15.1640625" bestFit="1" customWidth="1"/>
    <col min="68" max="68" width="28.1640625" bestFit="1" customWidth="1"/>
    <col min="76" max="76" width="15.1640625" bestFit="1" customWidth="1"/>
    <col min="78" max="78" width="28.1640625" bestFit="1" customWidth="1"/>
    <col min="86" max="86" width="15.1640625" bestFit="1" customWidth="1"/>
    <col min="88" max="88" width="28.1640625" bestFit="1" customWidth="1"/>
    <col min="96" max="96" width="15.1640625" bestFit="1" customWidth="1"/>
    <col min="98" max="98" width="28.1640625" bestFit="1" customWidth="1"/>
    <col min="106" max="106" width="15.1640625" bestFit="1" customWidth="1"/>
    <col min="108" max="108" width="28.1640625" bestFit="1" customWidth="1"/>
    <col min="111" max="111" width="12.1640625" bestFit="1" customWidth="1"/>
    <col min="116" max="116" width="15.1640625" bestFit="1" customWidth="1"/>
    <col min="118" max="118" width="28.1640625" bestFit="1" customWidth="1"/>
    <col min="126" max="126" width="15.1640625" bestFit="1" customWidth="1"/>
    <col min="128" max="128" width="28.1640625" bestFit="1" customWidth="1"/>
    <col min="136" max="136" width="15.1640625" bestFit="1" customWidth="1"/>
    <col min="138" max="138" width="28.1640625" bestFit="1" customWidth="1"/>
    <col min="146" max="146" width="15.1640625" bestFit="1" customWidth="1"/>
    <col min="148" max="148" width="28.1640625" bestFit="1" customWidth="1"/>
    <col min="151" max="151" width="11.5" bestFit="1" customWidth="1"/>
    <col min="156" max="156" width="15.1640625" bestFit="1" customWidth="1"/>
    <col min="158" max="158" width="28.1640625" bestFit="1" customWidth="1"/>
    <col min="161" max="161" width="12" bestFit="1" customWidth="1"/>
    <col min="166" max="166" width="15.1640625" bestFit="1" customWidth="1"/>
    <col min="168" max="168" width="28.1640625" bestFit="1" customWidth="1"/>
    <col min="176" max="176" width="15.1640625" bestFit="1" customWidth="1"/>
    <col min="178" max="178" width="28.1640625" bestFit="1" customWidth="1"/>
    <col min="186" max="186" width="15.1640625" bestFit="1" customWidth="1"/>
    <col min="188" max="188" width="28.1640625" bestFit="1" customWidth="1"/>
    <col min="196" max="196" width="15.1640625" bestFit="1" customWidth="1"/>
    <col min="198" max="198" width="28.1640625" bestFit="1" customWidth="1"/>
  </cols>
  <sheetData>
    <row r="1" spans="1:199" x14ac:dyDescent="0.2">
      <c r="A1" t="s">
        <v>107</v>
      </c>
    </row>
    <row r="3" spans="1:199" x14ac:dyDescent="0.2">
      <c r="A3" t="s">
        <v>57</v>
      </c>
      <c r="K3" t="s">
        <v>91</v>
      </c>
      <c r="U3" t="s">
        <v>79</v>
      </c>
      <c r="AE3" t="s">
        <v>65</v>
      </c>
      <c r="AO3" t="s">
        <v>21</v>
      </c>
      <c r="AY3" t="s">
        <v>69</v>
      </c>
      <c r="BI3" t="s">
        <v>74</v>
      </c>
      <c r="BS3" t="s">
        <v>70</v>
      </c>
      <c r="CC3" t="s">
        <v>66</v>
      </c>
      <c r="CM3" t="s">
        <v>71</v>
      </c>
      <c r="CW3" t="s">
        <v>94</v>
      </c>
      <c r="DG3" t="s">
        <v>102</v>
      </c>
      <c r="DQ3" t="s">
        <v>95</v>
      </c>
      <c r="EA3" t="s">
        <v>103</v>
      </c>
      <c r="EK3" t="s">
        <v>73</v>
      </c>
      <c r="EU3" t="s">
        <v>108</v>
      </c>
      <c r="FE3" t="s">
        <v>72</v>
      </c>
      <c r="FO3" t="s">
        <v>92</v>
      </c>
      <c r="FY3" t="s">
        <v>93</v>
      </c>
      <c r="GI3" t="s">
        <v>99</v>
      </c>
    </row>
    <row r="4" spans="1:199" x14ac:dyDescent="0.2">
      <c r="A4" t="s">
        <v>48</v>
      </c>
      <c r="B4" t="s">
        <v>52</v>
      </c>
      <c r="C4" t="s">
        <v>53</v>
      </c>
      <c r="D4" t="s">
        <v>51</v>
      </c>
      <c r="E4" t="s">
        <v>50</v>
      </c>
      <c r="F4" t="s">
        <v>54</v>
      </c>
      <c r="G4" t="s">
        <v>63</v>
      </c>
      <c r="H4" t="s">
        <v>89</v>
      </c>
      <c r="I4" t="s">
        <v>49</v>
      </c>
      <c r="K4" t="s">
        <v>48</v>
      </c>
      <c r="L4" t="s">
        <v>52</v>
      </c>
      <c r="M4" t="s">
        <v>53</v>
      </c>
      <c r="N4" t="s">
        <v>51</v>
      </c>
      <c r="O4" t="s">
        <v>50</v>
      </c>
      <c r="P4" t="s">
        <v>54</v>
      </c>
      <c r="Q4" t="s">
        <v>63</v>
      </c>
      <c r="R4" t="s">
        <v>89</v>
      </c>
      <c r="S4" t="s">
        <v>49</v>
      </c>
      <c r="U4" t="s">
        <v>48</v>
      </c>
      <c r="V4" t="s">
        <v>52</v>
      </c>
      <c r="W4" t="s">
        <v>53</v>
      </c>
      <c r="X4" t="s">
        <v>51</v>
      </c>
      <c r="Y4" t="s">
        <v>50</v>
      </c>
      <c r="Z4" t="s">
        <v>54</v>
      </c>
      <c r="AA4" t="s">
        <v>63</v>
      </c>
      <c r="AB4" t="s">
        <v>89</v>
      </c>
      <c r="AC4" t="s">
        <v>49</v>
      </c>
      <c r="AE4" t="s">
        <v>48</v>
      </c>
      <c r="AF4" t="s">
        <v>52</v>
      </c>
      <c r="AG4" t="s">
        <v>53</v>
      </c>
      <c r="AH4" t="s">
        <v>51</v>
      </c>
      <c r="AI4" t="s">
        <v>50</v>
      </c>
      <c r="AJ4" t="s">
        <v>54</v>
      </c>
      <c r="AK4" t="s">
        <v>63</v>
      </c>
      <c r="AL4" t="s">
        <v>89</v>
      </c>
      <c r="AM4" t="s">
        <v>49</v>
      </c>
      <c r="AO4" t="s">
        <v>48</v>
      </c>
      <c r="AP4" t="s">
        <v>52</v>
      </c>
      <c r="AQ4" t="s">
        <v>53</v>
      </c>
      <c r="AR4" t="s">
        <v>51</v>
      </c>
      <c r="AS4" t="s">
        <v>50</v>
      </c>
      <c r="AT4" t="s">
        <v>54</v>
      </c>
      <c r="AU4" t="s">
        <v>63</v>
      </c>
      <c r="AV4" t="s">
        <v>89</v>
      </c>
      <c r="AW4" t="s">
        <v>49</v>
      </c>
      <c r="AY4" t="s">
        <v>48</v>
      </c>
      <c r="AZ4" t="s">
        <v>52</v>
      </c>
      <c r="BA4" t="s">
        <v>53</v>
      </c>
      <c r="BB4" t="s">
        <v>51</v>
      </c>
      <c r="BC4" t="s">
        <v>50</v>
      </c>
      <c r="BD4" t="s">
        <v>54</v>
      </c>
      <c r="BE4" t="s">
        <v>63</v>
      </c>
      <c r="BF4" t="s">
        <v>89</v>
      </c>
      <c r="BG4" t="s">
        <v>49</v>
      </c>
      <c r="BI4" t="s">
        <v>48</v>
      </c>
      <c r="BJ4" t="s">
        <v>52</v>
      </c>
      <c r="BK4" t="s">
        <v>53</v>
      </c>
      <c r="BL4" t="s">
        <v>51</v>
      </c>
      <c r="BM4" t="s">
        <v>50</v>
      </c>
      <c r="BN4" t="s">
        <v>54</v>
      </c>
      <c r="BO4" t="s">
        <v>63</v>
      </c>
      <c r="BP4" t="s">
        <v>89</v>
      </c>
      <c r="BQ4" t="s">
        <v>49</v>
      </c>
      <c r="BS4" t="s">
        <v>48</v>
      </c>
      <c r="BT4" t="s">
        <v>52</v>
      </c>
      <c r="BU4" t="s">
        <v>53</v>
      </c>
      <c r="BV4" t="s">
        <v>51</v>
      </c>
      <c r="BW4" t="s">
        <v>50</v>
      </c>
      <c r="BX4" t="s">
        <v>54</v>
      </c>
      <c r="BY4" t="s">
        <v>63</v>
      </c>
      <c r="BZ4" t="s">
        <v>89</v>
      </c>
      <c r="CA4" t="s">
        <v>49</v>
      </c>
      <c r="CC4" t="s">
        <v>48</v>
      </c>
      <c r="CD4" t="s">
        <v>52</v>
      </c>
      <c r="CE4" t="s">
        <v>53</v>
      </c>
      <c r="CF4" t="s">
        <v>51</v>
      </c>
      <c r="CG4" t="s">
        <v>50</v>
      </c>
      <c r="CH4" t="s">
        <v>54</v>
      </c>
      <c r="CI4" t="s">
        <v>63</v>
      </c>
      <c r="CJ4" t="s">
        <v>89</v>
      </c>
      <c r="CK4" t="s">
        <v>49</v>
      </c>
      <c r="CM4" t="s">
        <v>48</v>
      </c>
      <c r="CN4" t="s">
        <v>52</v>
      </c>
      <c r="CO4" t="s">
        <v>53</v>
      </c>
      <c r="CP4" t="s">
        <v>51</v>
      </c>
      <c r="CQ4" t="s">
        <v>50</v>
      </c>
      <c r="CR4" t="s">
        <v>54</v>
      </c>
      <c r="CS4" t="s">
        <v>63</v>
      </c>
      <c r="CT4" t="s">
        <v>89</v>
      </c>
      <c r="CU4" t="s">
        <v>49</v>
      </c>
      <c r="CW4" t="s">
        <v>48</v>
      </c>
      <c r="CX4" t="s">
        <v>52</v>
      </c>
      <c r="CY4" t="s">
        <v>53</v>
      </c>
      <c r="CZ4" t="s">
        <v>51</v>
      </c>
      <c r="DA4" t="s">
        <v>50</v>
      </c>
      <c r="DB4" t="s">
        <v>54</v>
      </c>
      <c r="DC4" t="s">
        <v>63</v>
      </c>
      <c r="DD4" t="s">
        <v>89</v>
      </c>
      <c r="DE4" t="s">
        <v>49</v>
      </c>
      <c r="DG4" t="s">
        <v>48</v>
      </c>
      <c r="DH4" t="s">
        <v>52</v>
      </c>
      <c r="DI4" t="s">
        <v>53</v>
      </c>
      <c r="DJ4" t="s">
        <v>51</v>
      </c>
      <c r="DK4" t="s">
        <v>50</v>
      </c>
      <c r="DL4" t="s">
        <v>54</v>
      </c>
      <c r="DM4" t="s">
        <v>63</v>
      </c>
      <c r="DN4" t="s">
        <v>89</v>
      </c>
      <c r="DO4" t="s">
        <v>49</v>
      </c>
      <c r="DQ4" t="s">
        <v>48</v>
      </c>
      <c r="DR4" t="s">
        <v>52</v>
      </c>
      <c r="DS4" t="s">
        <v>53</v>
      </c>
      <c r="DT4" t="s">
        <v>51</v>
      </c>
      <c r="DU4" t="s">
        <v>50</v>
      </c>
      <c r="DV4" t="s">
        <v>54</v>
      </c>
      <c r="DW4" t="s">
        <v>63</v>
      </c>
      <c r="DX4" t="s">
        <v>89</v>
      </c>
      <c r="DY4" t="s">
        <v>49</v>
      </c>
      <c r="EA4" t="s">
        <v>48</v>
      </c>
      <c r="EB4" t="s">
        <v>52</v>
      </c>
      <c r="EC4" t="s">
        <v>53</v>
      </c>
      <c r="ED4" t="s">
        <v>51</v>
      </c>
      <c r="EE4" t="s">
        <v>50</v>
      </c>
      <c r="EF4" t="s">
        <v>54</v>
      </c>
      <c r="EG4" t="s">
        <v>63</v>
      </c>
      <c r="EH4" t="s">
        <v>89</v>
      </c>
      <c r="EI4" t="s">
        <v>49</v>
      </c>
      <c r="EK4" t="s">
        <v>48</v>
      </c>
      <c r="EL4" t="s">
        <v>52</v>
      </c>
      <c r="EM4" t="s">
        <v>53</v>
      </c>
      <c r="EN4" t="s">
        <v>51</v>
      </c>
      <c r="EO4" t="s">
        <v>50</v>
      </c>
      <c r="EP4" t="s">
        <v>54</v>
      </c>
      <c r="EQ4" t="s">
        <v>63</v>
      </c>
      <c r="ER4" t="s">
        <v>89</v>
      </c>
      <c r="ES4" t="s">
        <v>49</v>
      </c>
      <c r="EU4" t="s">
        <v>48</v>
      </c>
      <c r="EV4" t="s">
        <v>52</v>
      </c>
      <c r="EW4" t="s">
        <v>53</v>
      </c>
      <c r="EX4" t="s">
        <v>51</v>
      </c>
      <c r="EY4" t="s">
        <v>50</v>
      </c>
      <c r="EZ4" t="s">
        <v>54</v>
      </c>
      <c r="FA4" t="s">
        <v>63</v>
      </c>
      <c r="FB4" t="s">
        <v>89</v>
      </c>
      <c r="FC4" t="s">
        <v>49</v>
      </c>
      <c r="FE4" t="s">
        <v>48</v>
      </c>
      <c r="FF4" t="s">
        <v>52</v>
      </c>
      <c r="FG4" t="s">
        <v>53</v>
      </c>
      <c r="FH4" t="s">
        <v>51</v>
      </c>
      <c r="FI4" t="s">
        <v>50</v>
      </c>
      <c r="FJ4" t="s">
        <v>54</v>
      </c>
      <c r="FK4" t="s">
        <v>63</v>
      </c>
      <c r="FL4" t="s">
        <v>89</v>
      </c>
      <c r="FM4" t="s">
        <v>49</v>
      </c>
      <c r="FO4" t="s">
        <v>48</v>
      </c>
      <c r="FP4" t="s">
        <v>52</v>
      </c>
      <c r="FQ4" t="s">
        <v>53</v>
      </c>
      <c r="FR4" t="s">
        <v>51</v>
      </c>
      <c r="FS4" t="s">
        <v>50</v>
      </c>
      <c r="FT4" t="s">
        <v>54</v>
      </c>
      <c r="FU4" t="s">
        <v>63</v>
      </c>
      <c r="FV4" t="s">
        <v>89</v>
      </c>
      <c r="FW4" t="s">
        <v>49</v>
      </c>
      <c r="FY4" t="s">
        <v>48</v>
      </c>
      <c r="FZ4" t="s">
        <v>52</v>
      </c>
      <c r="GA4" t="s">
        <v>53</v>
      </c>
      <c r="GB4" t="s">
        <v>51</v>
      </c>
      <c r="GC4" t="s">
        <v>50</v>
      </c>
      <c r="GD4" t="s">
        <v>54</v>
      </c>
      <c r="GE4" t="s">
        <v>63</v>
      </c>
      <c r="GF4" t="s">
        <v>89</v>
      </c>
      <c r="GG4" t="s">
        <v>49</v>
      </c>
      <c r="GI4" t="s">
        <v>48</v>
      </c>
      <c r="GJ4" t="s">
        <v>52</v>
      </c>
      <c r="GK4" t="s">
        <v>53</v>
      </c>
      <c r="GL4" t="s">
        <v>51</v>
      </c>
      <c r="GM4" t="s">
        <v>50</v>
      </c>
      <c r="GN4" t="s">
        <v>54</v>
      </c>
      <c r="GO4" t="s">
        <v>63</v>
      </c>
      <c r="GP4" t="s">
        <v>89</v>
      </c>
      <c r="GQ4" t="s">
        <v>49</v>
      </c>
    </row>
    <row r="5" spans="1:199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f>SUM(F6:F34)</f>
        <v>23.885034687809711</v>
      </c>
      <c r="H5">
        <f>50-G5</f>
        <v>26.114965312190289</v>
      </c>
      <c r="I5">
        <f>H5/50</f>
        <v>0.52229930624380583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f>SUM(P6:P38)</f>
        <v>23.613975708216543</v>
      </c>
      <c r="R5">
        <f>50-Q5</f>
        <v>26.386024291783457</v>
      </c>
      <c r="S5">
        <f>R5/50</f>
        <v>0.52772048583566911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f>SUM(Z6:Z35)</f>
        <v>23.198730311796851</v>
      </c>
      <c r="AB5">
        <f>50-AA5</f>
        <v>26.801269688203149</v>
      </c>
      <c r="AC5">
        <f>AB5/50</f>
        <v>0.536025393764063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>SUM(AJ6:AJ38)</f>
        <v>22.354448272815617</v>
      </c>
      <c r="AL5">
        <f>50-AK5</f>
        <v>27.645551727184383</v>
      </c>
      <c r="AM5">
        <f>AL5/50</f>
        <v>0.55291103454368762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f>SUM(AT6:AT47)</f>
        <v>22.868115298140737</v>
      </c>
      <c r="AV5">
        <f>50-AU5</f>
        <v>27.131884701859263</v>
      </c>
      <c r="AW5">
        <f>AV5/50</f>
        <v>0.54263769403718531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f>SUM(BD6:BD42)</f>
        <v>22.013416293991835</v>
      </c>
      <c r="BF5">
        <f>50-BE5</f>
        <v>27.986583706008165</v>
      </c>
      <c r="BG5">
        <f>BF5/50</f>
        <v>0.55973167412016334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f>SUM(BN6:BN34)</f>
        <v>29.062493235491488</v>
      </c>
      <c r="BP5">
        <f>50-BO5</f>
        <v>20.937506764508512</v>
      </c>
      <c r="BQ5">
        <f>BP5/50</f>
        <v>0.41875013529017024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f>SUM(BX6:BX44)</f>
        <v>27.387137452711215</v>
      </c>
      <c r="BZ5">
        <f>50-BY5</f>
        <v>22.612862547288785</v>
      </c>
      <c r="CA5">
        <f>BZ5/50</f>
        <v>0.45225725094577568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f>SUM(CH6:CH36)</f>
        <v>23.639568478808275</v>
      </c>
      <c r="CJ5">
        <f>50-CI5</f>
        <v>26.360431521191725</v>
      </c>
      <c r="CK5">
        <f>CJ5/50</f>
        <v>0.52720863042383448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f>SUM(CR6:CR41)</f>
        <v>27.08775123701302</v>
      </c>
      <c r="CT5">
        <f>50-CS5</f>
        <v>22.91224876298698</v>
      </c>
      <c r="CU5">
        <f>CT5/50</f>
        <v>0.45824497525973962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f>SUM(DB6:DB41)</f>
        <v>22.831483369199976</v>
      </c>
      <c r="DD5">
        <f>50-DC5</f>
        <v>27.168516630800024</v>
      </c>
      <c r="DE5">
        <f>DD5/50</f>
        <v>0.54337033261600043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f>SUM(DL6:DL35)</f>
        <v>25.011534025374857</v>
      </c>
      <c r="DN5">
        <f>50-DM5</f>
        <v>24.988465974625143</v>
      </c>
      <c r="DO5">
        <f>DN5/50</f>
        <v>0.49976931949250286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f>SUM(DV6:DV39)</f>
        <v>26.904541555685977</v>
      </c>
      <c r="DX5">
        <f>50-DW5</f>
        <v>23.095458444314023</v>
      </c>
      <c r="DY5">
        <f>DX5/50</f>
        <v>0.46190916888628047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f>SUM(EF6:EF39)</f>
        <v>26.811974789915968</v>
      </c>
      <c r="EH5">
        <f>50-EG5</f>
        <v>23.188025210084032</v>
      </c>
      <c r="EI5">
        <f>EH5/50</f>
        <v>0.46376050420168063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f>SUM(EP6:EP39)</f>
        <v>23.56019382769988</v>
      </c>
      <c r="ER5">
        <f>50-EQ5</f>
        <v>26.43980617230012</v>
      </c>
      <c r="ES5">
        <f>ER5/50</f>
        <v>0.52879612344600235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f>SUM(EZ6:EZ39)</f>
        <v>22.990681421083281</v>
      </c>
      <c r="FB5">
        <f>50-FA5</f>
        <v>27.009318578916719</v>
      </c>
      <c r="FC5">
        <f>FB5/50</f>
        <v>0.54018637157833438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f>SUM(FJ6:FJ33)</f>
        <v>28.105459355459349</v>
      </c>
      <c r="FL5">
        <f>50-FK5</f>
        <v>21.894540644540651</v>
      </c>
      <c r="FM5">
        <f>FL5/50</f>
        <v>0.437890812890813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f>SUM(FT6:FT38)</f>
        <v>24.597751031372397</v>
      </c>
      <c r="FV5">
        <f>50-FU5</f>
        <v>25.402248968627603</v>
      </c>
      <c r="FW5">
        <f>FV5/50</f>
        <v>0.50804497937255211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f>SUM(GD6:GD37)</f>
        <v>23.294370229007626</v>
      </c>
      <c r="GF5">
        <f>50-GE5</f>
        <v>26.705629770992374</v>
      </c>
      <c r="GG5">
        <f>GF5/50</f>
        <v>0.53411259541984746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f>SUM(GN6:GN33)</f>
        <v>25.156441996996303</v>
      </c>
      <c r="GP5">
        <f>50-GO5</f>
        <v>24.843558003003697</v>
      </c>
      <c r="GQ5">
        <f>GP5/50</f>
        <v>0.49687116006007392</v>
      </c>
    </row>
    <row r="6" spans="1:199" x14ac:dyDescent="0.2">
      <c r="A6">
        <v>150</v>
      </c>
      <c r="B6">
        <v>1</v>
      </c>
      <c r="C6">
        <f>A6</f>
        <v>150</v>
      </c>
      <c r="D6">
        <f>C6/C$34*100</f>
        <v>14.866204162537166</v>
      </c>
      <c r="E6">
        <f>B6/B$34*100</f>
        <v>3.4482758620689653</v>
      </c>
      <c r="F6">
        <f>(E6+E5)/2*(D6-D5)/100</f>
        <v>0.2563138648713304</v>
      </c>
      <c r="K6">
        <v>90</v>
      </c>
      <c r="L6">
        <v>1</v>
      </c>
      <c r="M6">
        <f>K6</f>
        <v>90</v>
      </c>
      <c r="N6">
        <f>M6/M$38*100</f>
        <v>10.471204188481675</v>
      </c>
      <c r="O6">
        <f>L6/L$38*100</f>
        <v>3.0303030303030303</v>
      </c>
      <c r="P6">
        <f>(O6+O5)/2*(N6-N5)/100</f>
        <v>0.15865460891638902</v>
      </c>
      <c r="U6">
        <v>150</v>
      </c>
      <c r="V6">
        <v>1</v>
      </c>
      <c r="W6">
        <f>U6</f>
        <v>150</v>
      </c>
      <c r="X6">
        <f>W6/W$35*100</f>
        <v>18.081002892960463</v>
      </c>
      <c r="Y6">
        <f>V6/V$35*100</f>
        <v>3.3333333333333335</v>
      </c>
      <c r="Z6">
        <f>(Y6+Y5)/2*(X6-X5)/100</f>
        <v>0.30135004821600775</v>
      </c>
      <c r="AE6">
        <v>150</v>
      </c>
      <c r="AF6">
        <v>1</v>
      </c>
      <c r="AG6">
        <f>AE6</f>
        <v>150</v>
      </c>
      <c r="AH6">
        <f>AG6/AG$38*100</f>
        <v>17.492711370262391</v>
      </c>
      <c r="AI6">
        <f>AF6/AF$38*100</f>
        <v>3.0303030303030303</v>
      </c>
      <c r="AJ6">
        <f>(AI6+AI5)/2*(AH6-AH5)/100</f>
        <v>0.26504108136761201</v>
      </c>
      <c r="AO6">
        <v>110</v>
      </c>
      <c r="AP6">
        <v>1</v>
      </c>
      <c r="AQ6">
        <f>AO6</f>
        <v>110</v>
      </c>
      <c r="AR6">
        <f>AQ6/AQ$47*100</f>
        <v>12.439920836867401</v>
      </c>
      <c r="AS6">
        <f>AP6/AP$47*100</f>
        <v>2.3809523809523809</v>
      </c>
      <c r="AT6">
        <f>(AS6+AS5)/2*(AR6-AR5)/100</f>
        <v>0.14809429567699287</v>
      </c>
      <c r="AY6">
        <v>75</v>
      </c>
      <c r="AZ6">
        <v>1</v>
      </c>
      <c r="BA6">
        <f>AY6</f>
        <v>75</v>
      </c>
      <c r="BB6">
        <f>BA6/BA$42*100</f>
        <v>10.791366906474821</v>
      </c>
      <c r="BC6">
        <f>AZ6/AZ$42*100</f>
        <v>2.7027027027027026</v>
      </c>
      <c r="BD6">
        <f>(BC6+BC5)/2*(BB6-BB5)/100</f>
        <v>0.14582928251992999</v>
      </c>
      <c r="BI6">
        <v>18</v>
      </c>
      <c r="BJ6">
        <v>1</v>
      </c>
      <c r="BK6">
        <f>BI6</f>
        <v>18</v>
      </c>
      <c r="BL6">
        <f>BK6/BK$34*100</f>
        <v>11.299435028248586</v>
      </c>
      <c r="BM6">
        <f>BJ6/BJ$34*100</f>
        <v>3.4482758620689653</v>
      </c>
      <c r="BN6">
        <f>(BM6+BM5)/2*(BL6-BL5)/100</f>
        <v>0.19481784531463078</v>
      </c>
      <c r="BS6">
        <v>30</v>
      </c>
      <c r="BT6">
        <v>1</v>
      </c>
      <c r="BU6">
        <f>BS6</f>
        <v>30</v>
      </c>
      <c r="BV6">
        <f>BU6/BU$44*100</f>
        <v>7.8688524590163942</v>
      </c>
      <c r="BW6">
        <f>BT6/BT$44*100</f>
        <v>2.5641025641025639</v>
      </c>
      <c r="BX6">
        <f>(BW6+BW5)/2*(BV6-BV5)/100</f>
        <v>0.10088272383354351</v>
      </c>
      <c r="CC6">
        <v>50</v>
      </c>
      <c r="CD6">
        <v>1</v>
      </c>
      <c r="CE6">
        <f>CC6</f>
        <v>50</v>
      </c>
      <c r="CF6">
        <f>CE6/CE$36*100</f>
        <v>16.433853738701725</v>
      </c>
      <c r="CG6">
        <f>CD6/CD$36*100</f>
        <v>3.225806451612903</v>
      </c>
      <c r="CH6">
        <f>(CG6+CG5)/2*(CF6-CF5)/100</f>
        <v>0.26506215707583425</v>
      </c>
      <c r="CM6">
        <v>18</v>
      </c>
      <c r="CN6">
        <v>1</v>
      </c>
      <c r="CO6">
        <f>CM6</f>
        <v>18</v>
      </c>
      <c r="CP6">
        <f>CO6/CO$41*100</f>
        <v>8.6424198775657199</v>
      </c>
      <c r="CQ6">
        <f>CN6/CN$41*100</f>
        <v>2.7777777777777777</v>
      </c>
      <c r="CR6">
        <f>(CQ6+CQ5)/2*(CP6-CP5)/100</f>
        <v>0.120033609410635</v>
      </c>
      <c r="CW6">
        <v>30</v>
      </c>
      <c r="CX6">
        <v>1</v>
      </c>
      <c r="CY6">
        <f>CW6</f>
        <v>30</v>
      </c>
      <c r="CZ6">
        <f>CY6/CY$41*100</f>
        <v>13.591573224600747</v>
      </c>
      <c r="DA6">
        <f>CX6/CX$41*100</f>
        <v>2.7777777777777777</v>
      </c>
      <c r="DB6">
        <f>(DA6+DA5)/2*(CZ6-CZ5)/100</f>
        <v>0.18877185034167701</v>
      </c>
      <c r="DG6">
        <v>20</v>
      </c>
      <c r="DH6">
        <v>1</v>
      </c>
      <c r="DI6">
        <f>DG6</f>
        <v>20</v>
      </c>
      <c r="DJ6">
        <f>DI6/DI$35*100</f>
        <v>13.84083044982699</v>
      </c>
      <c r="DK6">
        <f>DH6/DH$35*100</f>
        <v>3.3333333333333335</v>
      </c>
      <c r="DL6">
        <f>(DK6+DK5)/2*(DJ6-DJ5)/100</f>
        <v>0.23068050749711652</v>
      </c>
      <c r="DQ6">
        <v>25</v>
      </c>
      <c r="DR6">
        <v>1</v>
      </c>
      <c r="DS6">
        <f>DQ6</f>
        <v>25</v>
      </c>
      <c r="DT6">
        <f>DS6/DS$39*100</f>
        <v>9.593246354566384</v>
      </c>
      <c r="DU6">
        <f>DR6/DR$39*100</f>
        <v>2.9411764705882351</v>
      </c>
      <c r="DV6">
        <f>(DU6+DU5)/2*(DT6-DT5)/100</f>
        <v>0.14107715227303505</v>
      </c>
      <c r="EA6">
        <v>25</v>
      </c>
      <c r="EB6">
        <v>1</v>
      </c>
      <c r="EC6">
        <f>EA6</f>
        <v>25</v>
      </c>
      <c r="ED6">
        <f>EC6/EC$39*100</f>
        <v>12.755102040816327</v>
      </c>
      <c r="EE6">
        <f>EB6/EB$39*100</f>
        <v>2.9411764705882351</v>
      </c>
      <c r="EF6">
        <f>(EE6+EE5)/2*(ED6-ED5)/100</f>
        <v>0.18757503001200479</v>
      </c>
      <c r="EK6">
        <v>15</v>
      </c>
      <c r="EL6">
        <v>1</v>
      </c>
      <c r="EM6">
        <f>EK6</f>
        <v>15</v>
      </c>
      <c r="EN6">
        <f>EM6/EM$39*100</f>
        <v>10.12829169480081</v>
      </c>
      <c r="EO6">
        <f>EL6/EL$39*100</f>
        <v>2.9411764705882351</v>
      </c>
      <c r="EP6">
        <f>(EO6+EO5)/2*(EN6-EN5)/100</f>
        <v>0.14894546610001189</v>
      </c>
      <c r="EU6">
        <v>10</v>
      </c>
      <c r="EV6">
        <v>1</v>
      </c>
      <c r="EW6">
        <f>EU6</f>
        <v>10</v>
      </c>
      <c r="EX6">
        <f>EW6/EW$39*100</f>
        <v>9.4295143800094312</v>
      </c>
      <c r="EY6">
        <f>EV6/EV$39*100</f>
        <v>2.9411764705882351</v>
      </c>
      <c r="EZ6">
        <f>(EY6+EY5)/2*(EX6-EX5)/100</f>
        <v>0.13866932911778573</v>
      </c>
      <c r="FE6">
        <v>50</v>
      </c>
      <c r="FF6">
        <v>1</v>
      </c>
      <c r="FG6">
        <f>FE6</f>
        <v>50</v>
      </c>
      <c r="FH6">
        <f>FG6/FG$33*100</f>
        <v>16.835016835016837</v>
      </c>
      <c r="FI6">
        <f>FF6/FF$33*100</f>
        <v>3.5714285714285712</v>
      </c>
      <c r="FJ6">
        <f>(FI6+FI5)/2*(FH6-FH5)/100</f>
        <v>0.30062530062530063</v>
      </c>
      <c r="FO6">
        <v>20</v>
      </c>
      <c r="FP6">
        <v>1</v>
      </c>
      <c r="FQ6">
        <f>FO6</f>
        <v>20</v>
      </c>
      <c r="FR6">
        <f>FQ6/FQ$38*100</f>
        <v>12.085322375974378</v>
      </c>
      <c r="FS6">
        <f>FP6/FP$38*100</f>
        <v>3.0303030303030303</v>
      </c>
      <c r="FT6">
        <f>(FS6+FS5)/2*(FR6-FR5)/100</f>
        <v>0.18311094509052089</v>
      </c>
      <c r="FY6">
        <v>22</v>
      </c>
      <c r="FZ6">
        <v>1</v>
      </c>
      <c r="GA6">
        <f>FY6</f>
        <v>22</v>
      </c>
      <c r="GB6">
        <f>GA6/GA$37*100</f>
        <v>11.581995261911029</v>
      </c>
      <c r="GC6">
        <f>FZ6/FZ$37*100</f>
        <v>3.125</v>
      </c>
      <c r="GD6">
        <f>(GC6+GC5)/2*(GB6-GB5)/100</f>
        <v>0.18096867596735983</v>
      </c>
      <c r="GI6">
        <v>18</v>
      </c>
      <c r="GJ6">
        <v>1</v>
      </c>
      <c r="GK6">
        <f>GI6</f>
        <v>18</v>
      </c>
      <c r="GL6">
        <f>GK6/GK$33*100</f>
        <v>11.468620579802485</v>
      </c>
      <c r="GM6">
        <f>GJ6/GJ$33*100</f>
        <v>3.5714285714285712</v>
      </c>
      <c r="GN6">
        <f>(GM6+GM5)/2*(GL6-GL5)/100</f>
        <v>0.20479679606790149</v>
      </c>
    </row>
    <row r="7" spans="1:199" x14ac:dyDescent="0.2">
      <c r="A7">
        <v>90</v>
      </c>
      <c r="B7">
        <v>2</v>
      </c>
      <c r="C7">
        <f>C6+A7</f>
        <v>240</v>
      </c>
      <c r="D7">
        <f t="shared" ref="D7:D34" si="0">C7/C$34*100</f>
        <v>23.785926660059463</v>
      </c>
      <c r="E7">
        <f t="shared" ref="E7:E34" si="1">B7/B$34*100</f>
        <v>6.8965517241379306</v>
      </c>
      <c r="F7">
        <f>(E7+E6)/2*(D7-D6)/100</f>
        <v>0.46136495676839467</v>
      </c>
      <c r="K7">
        <v>90</v>
      </c>
      <c r="L7">
        <v>2</v>
      </c>
      <c r="M7">
        <f>M6+K7</f>
        <v>180</v>
      </c>
      <c r="N7">
        <f t="shared" ref="N7:N38" si="2">M7/M$38*100</f>
        <v>20.94240837696335</v>
      </c>
      <c r="O7">
        <f t="shared" ref="O7:O38" si="3">L7/L$38*100</f>
        <v>6.0606060606060606</v>
      </c>
      <c r="P7">
        <f>(O7+O6)/2*(N7-N6)/100</f>
        <v>0.47596382674916698</v>
      </c>
      <c r="U7">
        <v>100</v>
      </c>
      <c r="V7">
        <v>2</v>
      </c>
      <c r="W7">
        <f>W6+U7</f>
        <v>250</v>
      </c>
      <c r="X7">
        <f t="shared" ref="X7:X35" si="4">W7/W$35*100</f>
        <v>30.13500482160077</v>
      </c>
      <c r="Y7">
        <f t="shared" ref="Y7:Y35" si="5">V7/V$35*100</f>
        <v>6.666666666666667</v>
      </c>
      <c r="Z7">
        <f>(Y7+Y6)/2*(X7-X6)/100</f>
        <v>0.60270009643201528</v>
      </c>
      <c r="AE7">
        <v>100</v>
      </c>
      <c r="AF7">
        <v>2</v>
      </c>
      <c r="AG7">
        <f>AG6+AE7</f>
        <v>250</v>
      </c>
      <c r="AH7">
        <f t="shared" ref="AH7:AH38" si="6">AG7/AG$38*100</f>
        <v>29.154518950437318</v>
      </c>
      <c r="AI7">
        <f t="shared" ref="AI7:AI38" si="7">AF7/AF$38*100</f>
        <v>6.0606060606060606</v>
      </c>
      <c r="AJ7">
        <f>(AI7+AI6)/2*(AH7-AH6)/100</f>
        <v>0.53008216273522391</v>
      </c>
      <c r="AO7">
        <v>65</v>
      </c>
      <c r="AP7">
        <v>2</v>
      </c>
      <c r="AQ7">
        <f>AQ6+AO7</f>
        <v>175</v>
      </c>
      <c r="AR7">
        <f t="shared" ref="AR7:AR47" si="8">AQ7/AQ$47*100</f>
        <v>19.790783149561776</v>
      </c>
      <c r="AS7">
        <f t="shared" ref="AS7:AS47" si="9">AP7/AP$47*100</f>
        <v>4.7619047619047619</v>
      </c>
      <c r="AT7">
        <f>(AS7+AS6)/2*(AR7-AR6)/100</f>
        <v>0.26253079688194192</v>
      </c>
      <c r="AY7">
        <v>70</v>
      </c>
      <c r="AZ7">
        <v>2</v>
      </c>
      <c r="BA7">
        <f>BA6+AY7</f>
        <v>145</v>
      </c>
      <c r="BB7">
        <f t="shared" ref="BB7:BB42" si="10">BA7/BA$42*100</f>
        <v>20.863309352517987</v>
      </c>
      <c r="BC7">
        <f t="shared" ref="BC7:BC42" si="11">AZ7/AZ$42*100</f>
        <v>5.4054054054054053</v>
      </c>
      <c r="BD7">
        <f>(BC7+BC6)/2*(BB7-BB6)/100</f>
        <v>0.40832199105580408</v>
      </c>
      <c r="BI7">
        <v>15</v>
      </c>
      <c r="BJ7">
        <v>2</v>
      </c>
      <c r="BK7">
        <f>BK6+BI7</f>
        <v>33</v>
      </c>
      <c r="BL7">
        <f t="shared" ref="BL7:BL34" si="12">BK7/BK$34*100</f>
        <v>20.715630885122412</v>
      </c>
      <c r="BM7">
        <f t="shared" ref="BM7:BM34" si="13">BJ7/BJ$34*100</f>
        <v>6.8965517241379306</v>
      </c>
      <c r="BN7">
        <f>(BM7+BM6)/2*(BL7-BL6)/100</f>
        <v>0.48704461328657722</v>
      </c>
      <c r="BS7">
        <v>30</v>
      </c>
      <c r="BT7">
        <v>2</v>
      </c>
      <c r="BU7">
        <f>BU6+BS7</f>
        <v>60</v>
      </c>
      <c r="BV7">
        <f t="shared" ref="BV7:BV44" si="14">BU7/BU$44*100</f>
        <v>15.737704918032788</v>
      </c>
      <c r="BW7">
        <f t="shared" ref="BW7:BW44" si="15">BT7/BT$44*100</f>
        <v>5.1282051282051277</v>
      </c>
      <c r="BX7">
        <f>(BW7+BW6)/2*(BV7-BV6)/100</f>
        <v>0.3026481715006305</v>
      </c>
      <c r="CC7">
        <v>25</v>
      </c>
      <c r="CD7">
        <v>2</v>
      </c>
      <c r="CE7">
        <f>CE6+CC7</f>
        <v>75</v>
      </c>
      <c r="CF7">
        <f t="shared" ref="CF7:CF36" si="16">CE7/CE$36*100</f>
        <v>24.650780608052589</v>
      </c>
      <c r="CG7">
        <f t="shared" ref="CG7:CG36" si="17">CD7/CD$36*100</f>
        <v>6.4516129032258061</v>
      </c>
      <c r="CH7">
        <f>(CG7+CG6)/2*(CF7-CF6)/100</f>
        <v>0.39759323561375143</v>
      </c>
      <c r="CM7">
        <v>15</v>
      </c>
      <c r="CN7">
        <v>2</v>
      </c>
      <c r="CO7">
        <f>CO6+CM7</f>
        <v>33</v>
      </c>
      <c r="CP7">
        <f t="shared" ref="CP7:CP41" si="18">CO7/CO$41*100</f>
        <v>15.844436442203818</v>
      </c>
      <c r="CQ7">
        <f t="shared" ref="CQ7:CQ41" si="19">CN7/CN$41*100</f>
        <v>5.5555555555555554</v>
      </c>
      <c r="CR7">
        <f>(CQ7+CQ6)/2*(CP7-CP6)/100</f>
        <v>0.30008402352658736</v>
      </c>
      <c r="CW7">
        <v>22</v>
      </c>
      <c r="CX7">
        <v>2</v>
      </c>
      <c r="CY7">
        <f>CY6+CW7</f>
        <v>52</v>
      </c>
      <c r="CZ7">
        <f t="shared" ref="CZ7:CZ41" si="20">CY7/CY$41*100</f>
        <v>23.558726922641295</v>
      </c>
      <c r="DA7">
        <f t="shared" ref="DA7:DA41" si="21">CX7/CX$41*100</f>
        <v>5.5555555555555554</v>
      </c>
      <c r="DB7">
        <f>(DA7+DA6)/2*(CZ7-CZ6)/100</f>
        <v>0.41529807075168945</v>
      </c>
      <c r="DG7">
        <v>15</v>
      </c>
      <c r="DH7">
        <v>2</v>
      </c>
      <c r="DI7">
        <f>DI6+DG7</f>
        <v>35</v>
      </c>
      <c r="DJ7">
        <f t="shared" ref="DJ7:DJ35" si="22">DI7/DI$35*100</f>
        <v>24.221453287197232</v>
      </c>
      <c r="DK7">
        <f t="shared" ref="DK7:DK35" si="23">DH7/DH$35*100</f>
        <v>6.666666666666667</v>
      </c>
      <c r="DL7">
        <f>(DK7+DK6)/2*(DJ7-DJ6)/100</f>
        <v>0.51903114186851207</v>
      </c>
      <c r="DQ7">
        <v>25</v>
      </c>
      <c r="DR7">
        <v>2</v>
      </c>
      <c r="DS7">
        <f>DS6+DQ7</f>
        <v>50</v>
      </c>
      <c r="DT7">
        <f t="shared" ref="DT7:DT39" si="24">DS7/DS$39*100</f>
        <v>19.186492709132768</v>
      </c>
      <c r="DU7">
        <f t="shared" ref="DU7:DU39" si="25">DR7/DR$39*100</f>
        <v>5.8823529411764701</v>
      </c>
      <c r="DV7">
        <f>(DU7+DU6)/2*(DT7-DT6)/100</f>
        <v>0.42323145681910512</v>
      </c>
      <c r="EA7">
        <v>15</v>
      </c>
      <c r="EB7">
        <v>2</v>
      </c>
      <c r="EC7">
        <f>EC6+EA7</f>
        <v>40</v>
      </c>
      <c r="ED7">
        <f t="shared" ref="ED7:ED39" si="26">EC7/EC$39*100</f>
        <v>20.408163265306122</v>
      </c>
      <c r="EE7">
        <f t="shared" ref="EE7:EE39" si="27">EB7/EB$39*100</f>
        <v>5.8823529411764701</v>
      </c>
      <c r="EF7">
        <f>(EE7+EE6)/2*(ED7-ED6)/100</f>
        <v>0.33763505402160854</v>
      </c>
      <c r="EK7">
        <v>15</v>
      </c>
      <c r="EL7">
        <v>2</v>
      </c>
      <c r="EM7">
        <f>EM6+EK7</f>
        <v>30</v>
      </c>
      <c r="EN7">
        <f t="shared" ref="EN7:EN39" si="28">EM7/EM$39*100</f>
        <v>20.256583389601619</v>
      </c>
      <c r="EO7">
        <f t="shared" ref="EO7:EO39" si="29">EL7/EL$39*100</f>
        <v>5.8823529411764701</v>
      </c>
      <c r="EP7">
        <f>(EO7+EO6)/2*(EN7-EN6)/100</f>
        <v>0.44683639830003563</v>
      </c>
      <c r="EU7">
        <v>10</v>
      </c>
      <c r="EV7">
        <v>2</v>
      </c>
      <c r="EW7">
        <f>EW6+EU7</f>
        <v>20</v>
      </c>
      <c r="EX7">
        <f t="shared" ref="EX7:EX39" si="30">EW7/EW$39*100</f>
        <v>18.859028760018862</v>
      </c>
      <c r="EY7">
        <f t="shared" ref="EY7:EY39" si="31">EV7/EV$39*100</f>
        <v>5.8823529411764701</v>
      </c>
      <c r="EZ7">
        <f>(EY7+EY6)/2*(EX7-EX6)/100</f>
        <v>0.4160079873533572</v>
      </c>
      <c r="FE7">
        <v>20</v>
      </c>
      <c r="FF7">
        <v>2</v>
      </c>
      <c r="FG7">
        <f>FG6+FE7</f>
        <v>70</v>
      </c>
      <c r="FH7">
        <f t="shared" ref="FH7:FH33" si="32">FG7/FG$33*100</f>
        <v>23.569023569023571</v>
      </c>
      <c r="FI7">
        <f t="shared" ref="FI7:FI33" si="33">FF7/FF$33*100</f>
        <v>7.1428571428571423</v>
      </c>
      <c r="FJ7">
        <f>(FI7+FI6)/2*(FH7-FH6)/100</f>
        <v>0.36075036075036065</v>
      </c>
      <c r="FO7">
        <v>15</v>
      </c>
      <c r="FP7">
        <v>2</v>
      </c>
      <c r="FQ7">
        <f>FQ6+FO7</f>
        <v>35</v>
      </c>
      <c r="FR7">
        <f t="shared" ref="FR7:FR38" si="34">FQ7/FQ$38*100</f>
        <v>21.149314157955164</v>
      </c>
      <c r="FS7">
        <f t="shared" ref="FS7:FS38" si="35">FP7/FP$38*100</f>
        <v>6.0606060606060606</v>
      </c>
      <c r="FT7">
        <f>(FS7+FS6)/2*(FR7-FR6)/100</f>
        <v>0.411999626453672</v>
      </c>
      <c r="FY7">
        <v>18</v>
      </c>
      <c r="FZ7">
        <v>2</v>
      </c>
      <c r="GA7">
        <f>GA6+FY7</f>
        <v>40</v>
      </c>
      <c r="GB7">
        <f t="shared" ref="GB7:GB37" si="36">GA7/GA$37*100</f>
        <v>21.058173203474599</v>
      </c>
      <c r="GC7">
        <f t="shared" ref="GC7:GC37" si="37">FZ7/FZ$37*100</f>
        <v>6.25</v>
      </c>
      <c r="GD7">
        <f>(GC7+GC6)/2*(GB7-GB6)/100</f>
        <v>0.4441958410107924</v>
      </c>
      <c r="GI7">
        <v>15</v>
      </c>
      <c r="GJ7">
        <v>2</v>
      </c>
      <c r="GK7">
        <f>GK6+GI7</f>
        <v>33</v>
      </c>
      <c r="GL7">
        <f t="shared" ref="GL7:GL33" si="38">GK7/GK$33*100</f>
        <v>21.025804396304558</v>
      </c>
      <c r="GM7">
        <f t="shared" ref="GM7:GM33" si="39">GJ7/GJ$33*100</f>
        <v>7.1428571428571423</v>
      </c>
      <c r="GN7">
        <f>(GM7+GM6)/2*(GL7-GL6)/100</f>
        <v>0.51199199016975394</v>
      </c>
    </row>
    <row r="8" spans="1:199" x14ac:dyDescent="0.2">
      <c r="A8">
        <v>90</v>
      </c>
      <c r="B8">
        <v>3</v>
      </c>
      <c r="C8">
        <f t="shared" ref="C8:C34" si="40">C7+A8</f>
        <v>330</v>
      </c>
      <c r="D8">
        <f t="shared" si="0"/>
        <v>32.70564915758176</v>
      </c>
      <c r="E8">
        <f t="shared" si="1"/>
        <v>10.344827586206897</v>
      </c>
      <c r="F8">
        <f t="shared" ref="F8:F33" si="41">(E8+E7)/2*(D8-D7)/100</f>
        <v>0.76894159461399114</v>
      </c>
      <c r="K8">
        <v>70</v>
      </c>
      <c r="L8">
        <v>3</v>
      </c>
      <c r="M8">
        <f t="shared" ref="M8:M32" si="42">M7+K8</f>
        <v>250</v>
      </c>
      <c r="N8">
        <f t="shared" si="2"/>
        <v>29.086678301337987</v>
      </c>
      <c r="O8">
        <f t="shared" si="3"/>
        <v>9.0909090909090917</v>
      </c>
      <c r="P8">
        <f t="shared" ref="P8:P33" si="43">(O8+O7)/2*(N8-N7)/100</f>
        <v>0.61699014578595734</v>
      </c>
      <c r="U8">
        <v>80</v>
      </c>
      <c r="V8">
        <v>3</v>
      </c>
      <c r="W8">
        <f t="shared" ref="W8:W32" si="44">W7+U8</f>
        <v>330</v>
      </c>
      <c r="X8">
        <f t="shared" si="4"/>
        <v>39.778206364513018</v>
      </c>
      <c r="Y8">
        <f t="shared" si="5"/>
        <v>10</v>
      </c>
      <c r="Z8">
        <f t="shared" ref="Z8:Z33" si="45">(Y8+Y7)/2*(X8-X7)/100</f>
        <v>0.8036001285760207</v>
      </c>
      <c r="AE8">
        <v>80</v>
      </c>
      <c r="AF8">
        <v>3</v>
      </c>
      <c r="AG8">
        <f t="shared" ref="AG8:AG32" si="46">AG7+AE8</f>
        <v>330</v>
      </c>
      <c r="AH8">
        <f t="shared" si="6"/>
        <v>38.483965014577258</v>
      </c>
      <c r="AI8">
        <f t="shared" si="7"/>
        <v>9.0909090909090917</v>
      </c>
      <c r="AJ8">
        <f t="shared" ref="AJ8:AJ33" si="47">(AI8+AI7)/2*(AH8-AH7)/100</f>
        <v>0.70677621698029858</v>
      </c>
      <c r="AO8">
        <v>60</v>
      </c>
      <c r="AP8">
        <v>3</v>
      </c>
      <c r="AQ8">
        <f t="shared" ref="AQ8:AQ32" si="48">AQ7+AO8</f>
        <v>235</v>
      </c>
      <c r="AR8">
        <f t="shared" si="8"/>
        <v>26.576194515125813</v>
      </c>
      <c r="AS8">
        <f t="shared" si="9"/>
        <v>7.1428571428571423</v>
      </c>
      <c r="AT8">
        <f t="shared" ref="AT8:AT33" si="49">(AS8+AS7)/2*(AR8-AR7)/100</f>
        <v>0.40389353366452602</v>
      </c>
      <c r="AY8">
        <v>60</v>
      </c>
      <c r="AZ8">
        <v>3</v>
      </c>
      <c r="BA8">
        <f t="shared" ref="BA8:BA32" si="50">BA7+AY8</f>
        <v>205</v>
      </c>
      <c r="BB8">
        <f t="shared" si="10"/>
        <v>29.496402877697843</v>
      </c>
      <c r="BC8">
        <f t="shared" si="11"/>
        <v>8.1081081081081088</v>
      </c>
      <c r="BD8">
        <f t="shared" ref="BD8:BD33" si="51">(BC8+BC7)/2*(BB8-BB7)/100</f>
        <v>0.58331713007971997</v>
      </c>
      <c r="BI8">
        <v>5</v>
      </c>
      <c r="BJ8">
        <v>3</v>
      </c>
      <c r="BK8">
        <f t="shared" ref="BK8:BK32" si="52">BK7+BI8</f>
        <v>38</v>
      </c>
      <c r="BL8">
        <f t="shared" si="12"/>
        <v>23.854362837413685</v>
      </c>
      <c r="BM8">
        <f t="shared" si="13"/>
        <v>10.344827586206897</v>
      </c>
      <c r="BN8">
        <f t="shared" ref="BN8:BN33" si="53">(BM8+BM7)/2*(BL8-BL7)/100</f>
        <v>0.27058034071476489</v>
      </c>
      <c r="BS8">
        <v>23</v>
      </c>
      <c r="BT8">
        <v>3</v>
      </c>
      <c r="BU8">
        <f t="shared" ref="BU8:BU32" si="54">BU7+BS8</f>
        <v>83</v>
      </c>
      <c r="BV8">
        <f t="shared" si="14"/>
        <v>21.770491803278688</v>
      </c>
      <c r="BW8">
        <f t="shared" si="15"/>
        <v>7.6923076923076925</v>
      </c>
      <c r="BX8">
        <f t="shared" ref="BX8:BX33" si="55">(BW8+BW7)/2*(BV8-BV7)/100</f>
        <v>0.38671710802858328</v>
      </c>
      <c r="CC8">
        <v>25</v>
      </c>
      <c r="CD8">
        <v>3</v>
      </c>
      <c r="CE8">
        <f t="shared" ref="CE8:CE32" si="56">CE7+CC8</f>
        <v>100</v>
      </c>
      <c r="CF8">
        <f t="shared" si="16"/>
        <v>32.867707477403449</v>
      </c>
      <c r="CG8">
        <f t="shared" si="17"/>
        <v>9.67741935483871</v>
      </c>
      <c r="CH8">
        <f t="shared" ref="CH8:CH33" si="57">(CG8+CG7)/2*(CF8-CF7)/100</f>
        <v>0.66265539268958551</v>
      </c>
      <c r="CM8">
        <v>15</v>
      </c>
      <c r="CN8">
        <v>3</v>
      </c>
      <c r="CO8">
        <f t="shared" ref="CO8:CO32" si="58">CO7+CM8</f>
        <v>48</v>
      </c>
      <c r="CP8">
        <f t="shared" si="18"/>
        <v>23.046453006841919</v>
      </c>
      <c r="CQ8">
        <f t="shared" si="19"/>
        <v>8.3333333333333321</v>
      </c>
      <c r="CR8">
        <f t="shared" ref="CR8:CR33" si="59">(CQ8+CQ7)/2*(CP8-CP7)/100</f>
        <v>0.50014003921097916</v>
      </c>
      <c r="CW8">
        <v>15</v>
      </c>
      <c r="CX8">
        <v>3</v>
      </c>
      <c r="CY8">
        <f t="shared" ref="CY8:CY32" si="60">CY7+CW8</f>
        <v>67</v>
      </c>
      <c r="CZ8">
        <f t="shared" si="20"/>
        <v>30.354513534941667</v>
      </c>
      <c r="DA8">
        <f t="shared" si="21"/>
        <v>8.3333333333333321</v>
      </c>
      <c r="DB8">
        <f t="shared" ref="DB8:DB33" si="61">(DA8+DA7)/2*(CZ8-CZ7)/100</f>
        <v>0.47192962585419246</v>
      </c>
      <c r="DG8">
        <v>10</v>
      </c>
      <c r="DH8">
        <v>3</v>
      </c>
      <c r="DI8">
        <f t="shared" ref="DI8:DI32" si="62">DI7+DG8</f>
        <v>45</v>
      </c>
      <c r="DJ8">
        <f t="shared" si="22"/>
        <v>31.141868512110726</v>
      </c>
      <c r="DK8">
        <f t="shared" si="23"/>
        <v>10</v>
      </c>
      <c r="DL8">
        <f t="shared" ref="DL8:DL33" si="63">(DK8+DK7)/2*(DJ8-DJ7)/100</f>
        <v>0.57670126874279115</v>
      </c>
      <c r="DQ8">
        <v>20</v>
      </c>
      <c r="DR8">
        <v>3</v>
      </c>
      <c r="DS8">
        <f t="shared" ref="DS8:DS32" si="64">DS7+DQ8</f>
        <v>70</v>
      </c>
      <c r="DT8">
        <f t="shared" si="24"/>
        <v>26.861089792785876</v>
      </c>
      <c r="DU8">
        <f t="shared" si="25"/>
        <v>8.8235294117647065</v>
      </c>
      <c r="DV8">
        <f t="shared" ref="DV8:DV33" si="65">(DU8+DU7)/2*(DT8-DT7)/100</f>
        <v>0.56430860909214031</v>
      </c>
      <c r="EA8">
        <v>15</v>
      </c>
      <c r="EB8">
        <v>3</v>
      </c>
      <c r="EC8">
        <f t="shared" ref="EC8:EC32" si="66">EC7+EA8</f>
        <v>55</v>
      </c>
      <c r="ED8">
        <f t="shared" si="26"/>
        <v>28.061224489795915</v>
      </c>
      <c r="EE8">
        <f t="shared" si="27"/>
        <v>8.8235294117647065</v>
      </c>
      <c r="EF8">
        <f t="shared" ref="EF8:EF33" si="67">(EE8+EE7)/2*(ED8-ED7)/100</f>
        <v>0.56272509003601423</v>
      </c>
      <c r="EK8">
        <v>14</v>
      </c>
      <c r="EL8">
        <v>3</v>
      </c>
      <c r="EM8">
        <f t="shared" ref="EM8:EM32" si="68">EM7+EK8</f>
        <v>44</v>
      </c>
      <c r="EN8">
        <f t="shared" si="28"/>
        <v>29.709655638082378</v>
      </c>
      <c r="EO8">
        <f t="shared" si="29"/>
        <v>8.8235294117647065</v>
      </c>
      <c r="EP8">
        <f t="shared" ref="EP8:EP33" si="69">(EO8+EO7)/2*(EN8-EN7)/100</f>
        <v>0.69507884180005575</v>
      </c>
      <c r="EU8">
        <v>10</v>
      </c>
      <c r="EV8">
        <v>3</v>
      </c>
      <c r="EW8">
        <f t="shared" ref="EW8:EW32" si="70">EW7+EU8</f>
        <v>30</v>
      </c>
      <c r="EX8">
        <f t="shared" si="30"/>
        <v>28.288543140028295</v>
      </c>
      <c r="EY8">
        <f t="shared" si="31"/>
        <v>8.8235294117647065</v>
      </c>
      <c r="EZ8">
        <f t="shared" ref="EZ8:EZ33" si="71">(EY8+EY7)/2*(EX8-EX7)/100</f>
        <v>0.693346645588929</v>
      </c>
      <c r="FE8">
        <v>18</v>
      </c>
      <c r="FF8">
        <v>3</v>
      </c>
      <c r="FG8">
        <f t="shared" ref="FG8:FG32" si="72">FG7+FE8</f>
        <v>88</v>
      </c>
      <c r="FH8">
        <f t="shared" si="32"/>
        <v>29.629629629629626</v>
      </c>
      <c r="FI8">
        <f t="shared" si="33"/>
        <v>10.714285714285714</v>
      </c>
      <c r="FJ8">
        <f t="shared" ref="FJ8:FJ33" si="73">(FI8+FI7)/2*(FH8-FH7)/100</f>
        <v>0.54112554112554057</v>
      </c>
      <c r="FO8">
        <v>15</v>
      </c>
      <c r="FP8">
        <v>3</v>
      </c>
      <c r="FQ8">
        <f t="shared" ref="FQ8:FQ32" si="74">FQ7+FO8</f>
        <v>50</v>
      </c>
      <c r="FR8">
        <f t="shared" si="34"/>
        <v>30.213305939935946</v>
      </c>
      <c r="FS8">
        <f t="shared" si="35"/>
        <v>9.0909090909090917</v>
      </c>
      <c r="FT8">
        <f t="shared" ref="FT8:FT38" si="75">(FS8+FS7)/2*(FR8-FR7)/100</f>
        <v>0.6866660440894532</v>
      </c>
      <c r="FY8">
        <v>18</v>
      </c>
      <c r="FZ8">
        <v>3</v>
      </c>
      <c r="GA8">
        <f t="shared" ref="GA8:GA32" si="76">GA7+FY8</f>
        <v>58</v>
      </c>
      <c r="GB8">
        <f t="shared" si="36"/>
        <v>30.534351145038169</v>
      </c>
      <c r="GC8">
        <f t="shared" si="37"/>
        <v>9.375</v>
      </c>
      <c r="GD8">
        <f t="shared" ref="GD8:GD37" si="77">(GC8+GC7)/2*(GB8-GB7)/100</f>
        <v>0.74032640168465391</v>
      </c>
      <c r="GI8">
        <v>15</v>
      </c>
      <c r="GJ8">
        <v>3</v>
      </c>
      <c r="GK8">
        <f t="shared" ref="GK8:GK32" si="78">GK7+GI8</f>
        <v>48</v>
      </c>
      <c r="GL8">
        <f t="shared" si="38"/>
        <v>30.582988212806626</v>
      </c>
      <c r="GM8">
        <f t="shared" si="39"/>
        <v>10.714285714285714</v>
      </c>
      <c r="GN8">
        <f t="shared" ref="GN8:GN33" si="79">(GM8+GM7)/2*(GL8-GL7)/100</f>
        <v>0.85331998361625594</v>
      </c>
    </row>
    <row r="9" spans="1:199" x14ac:dyDescent="0.2">
      <c r="A9">
        <v>80</v>
      </c>
      <c r="B9">
        <v>4</v>
      </c>
      <c r="C9">
        <f t="shared" si="40"/>
        <v>410</v>
      </c>
      <c r="D9">
        <f t="shared" si="0"/>
        <v>40.634291377601585</v>
      </c>
      <c r="E9">
        <f t="shared" si="1"/>
        <v>13.793103448275861</v>
      </c>
      <c r="F9">
        <f t="shared" si="41"/>
        <v>0.95690509551963399</v>
      </c>
      <c r="K9">
        <v>70</v>
      </c>
      <c r="L9">
        <v>4</v>
      </c>
      <c r="M9">
        <f t="shared" si="42"/>
        <v>320</v>
      </c>
      <c r="N9">
        <f t="shared" si="2"/>
        <v>37.230948225712623</v>
      </c>
      <c r="O9">
        <f t="shared" si="3"/>
        <v>12.121212121212121</v>
      </c>
      <c r="P9">
        <f t="shared" si="43"/>
        <v>0.86378620410034013</v>
      </c>
      <c r="U9">
        <v>50</v>
      </c>
      <c r="V9">
        <v>4</v>
      </c>
      <c r="W9">
        <f t="shared" si="44"/>
        <v>380</v>
      </c>
      <c r="X9">
        <f t="shared" si="4"/>
        <v>45.80520732883317</v>
      </c>
      <c r="Y9">
        <f t="shared" si="5"/>
        <v>13.333333333333334</v>
      </c>
      <c r="Z9">
        <f t="shared" si="45"/>
        <v>0.70315011250401782</v>
      </c>
      <c r="AE9">
        <v>70</v>
      </c>
      <c r="AF9">
        <v>4</v>
      </c>
      <c r="AG9">
        <f t="shared" si="46"/>
        <v>400</v>
      </c>
      <c r="AH9">
        <f t="shared" si="6"/>
        <v>46.647230320699705</v>
      </c>
      <c r="AI9">
        <f t="shared" si="7"/>
        <v>12.121212121212121</v>
      </c>
      <c r="AJ9">
        <f t="shared" si="47"/>
        <v>0.86580086580086557</v>
      </c>
      <c r="AO9">
        <v>60</v>
      </c>
      <c r="AP9">
        <v>4</v>
      </c>
      <c r="AQ9">
        <f t="shared" si="48"/>
        <v>295</v>
      </c>
      <c r="AR9">
        <f t="shared" si="8"/>
        <v>33.361605880689851</v>
      </c>
      <c r="AS9">
        <f t="shared" si="9"/>
        <v>9.5238095238095237</v>
      </c>
      <c r="AT9">
        <f t="shared" si="49"/>
        <v>0.56545094713033639</v>
      </c>
      <c r="AY9">
        <v>50</v>
      </c>
      <c r="AZ9">
        <v>4</v>
      </c>
      <c r="BA9">
        <f t="shared" si="50"/>
        <v>255</v>
      </c>
      <c r="BB9">
        <f t="shared" si="10"/>
        <v>36.690647482014391</v>
      </c>
      <c r="BC9">
        <f t="shared" si="11"/>
        <v>10.810810810810811</v>
      </c>
      <c r="BD9">
        <f t="shared" si="51"/>
        <v>0.68053665175967348</v>
      </c>
      <c r="BI9">
        <v>10</v>
      </c>
      <c r="BJ9">
        <v>4</v>
      </c>
      <c r="BK9">
        <f t="shared" si="52"/>
        <v>48</v>
      </c>
      <c r="BL9">
        <f t="shared" si="12"/>
        <v>30.131826741996232</v>
      </c>
      <c r="BM9">
        <f t="shared" si="13"/>
        <v>13.793103448275861</v>
      </c>
      <c r="BN9">
        <f t="shared" si="53"/>
        <v>0.75762495400134189</v>
      </c>
      <c r="BS9">
        <v>20</v>
      </c>
      <c r="BT9">
        <v>4</v>
      </c>
      <c r="BU9">
        <f t="shared" si="54"/>
        <v>103</v>
      </c>
      <c r="BV9">
        <f t="shared" si="14"/>
        <v>27.016393442622949</v>
      </c>
      <c r="BW9">
        <f t="shared" si="15"/>
        <v>10.256410256410255</v>
      </c>
      <c r="BX9">
        <f t="shared" si="55"/>
        <v>0.47078604455653628</v>
      </c>
      <c r="CC9">
        <v>20</v>
      </c>
      <c r="CD9">
        <v>4</v>
      </c>
      <c r="CE9">
        <f t="shared" si="56"/>
        <v>120</v>
      </c>
      <c r="CF9">
        <f t="shared" si="16"/>
        <v>39.441248972884139</v>
      </c>
      <c r="CG9">
        <f t="shared" si="17"/>
        <v>12.903225806451612</v>
      </c>
      <c r="CH9">
        <f t="shared" si="57"/>
        <v>0.74217403981233587</v>
      </c>
      <c r="CM9">
        <v>15</v>
      </c>
      <c r="CN9">
        <v>4</v>
      </c>
      <c r="CO9">
        <f t="shared" si="58"/>
        <v>63</v>
      </c>
      <c r="CP9">
        <f t="shared" si="18"/>
        <v>30.248469571480019</v>
      </c>
      <c r="CQ9">
        <f t="shared" si="19"/>
        <v>11.111111111111111</v>
      </c>
      <c r="CR9">
        <f t="shared" si="59"/>
        <v>0.70019605489537085</v>
      </c>
      <c r="CW9">
        <v>15</v>
      </c>
      <c r="CX9">
        <v>4</v>
      </c>
      <c r="CY9">
        <f t="shared" si="60"/>
        <v>82</v>
      </c>
      <c r="CZ9">
        <f t="shared" si="20"/>
        <v>37.150300147242042</v>
      </c>
      <c r="DA9">
        <f t="shared" si="21"/>
        <v>11.111111111111111</v>
      </c>
      <c r="DB9">
        <f t="shared" si="61"/>
        <v>0.66070147619586972</v>
      </c>
      <c r="DG9">
        <v>10</v>
      </c>
      <c r="DH9">
        <v>4</v>
      </c>
      <c r="DI9">
        <f t="shared" si="62"/>
        <v>55</v>
      </c>
      <c r="DJ9">
        <f t="shared" si="22"/>
        <v>38.062283737024224</v>
      </c>
      <c r="DK9">
        <f t="shared" si="23"/>
        <v>13.333333333333334</v>
      </c>
      <c r="DL9">
        <f t="shared" si="63"/>
        <v>0.80738177623990826</v>
      </c>
      <c r="DQ9">
        <v>15</v>
      </c>
      <c r="DR9">
        <v>4</v>
      </c>
      <c r="DS9">
        <f t="shared" si="64"/>
        <v>85</v>
      </c>
      <c r="DT9">
        <f t="shared" si="24"/>
        <v>32.617037605525709</v>
      </c>
      <c r="DU9">
        <f t="shared" si="25"/>
        <v>11.76470588235294</v>
      </c>
      <c r="DV9">
        <f t="shared" si="65"/>
        <v>0.59252403954674759</v>
      </c>
      <c r="EA9">
        <v>14</v>
      </c>
      <c r="EB9">
        <v>4</v>
      </c>
      <c r="EC9">
        <f t="shared" si="66"/>
        <v>69</v>
      </c>
      <c r="ED9">
        <f t="shared" si="26"/>
        <v>35.204081632653065</v>
      </c>
      <c r="EE9">
        <f t="shared" si="27"/>
        <v>11.76470588235294</v>
      </c>
      <c r="EF9">
        <f t="shared" si="67"/>
        <v>0.73529411764705943</v>
      </c>
      <c r="EK9">
        <v>12</v>
      </c>
      <c r="EL9">
        <v>4</v>
      </c>
      <c r="EM9">
        <f t="shared" si="68"/>
        <v>56</v>
      </c>
      <c r="EN9">
        <f t="shared" si="28"/>
        <v>37.812288993923026</v>
      </c>
      <c r="EO9">
        <f t="shared" si="29"/>
        <v>11.76470588235294</v>
      </c>
      <c r="EP9">
        <f t="shared" si="69"/>
        <v>0.8340946101600667</v>
      </c>
      <c r="EU9">
        <v>10</v>
      </c>
      <c r="EV9">
        <v>4</v>
      </c>
      <c r="EW9">
        <f t="shared" si="70"/>
        <v>40</v>
      </c>
      <c r="EX9">
        <f t="shared" si="30"/>
        <v>37.718057520037725</v>
      </c>
      <c r="EY9">
        <f t="shared" si="31"/>
        <v>11.76470588235294</v>
      </c>
      <c r="EZ9">
        <f t="shared" si="71"/>
        <v>0.97068530382449991</v>
      </c>
      <c r="FE9">
        <v>18</v>
      </c>
      <c r="FF9">
        <v>4</v>
      </c>
      <c r="FG9">
        <f t="shared" si="72"/>
        <v>106</v>
      </c>
      <c r="FH9">
        <f t="shared" si="32"/>
        <v>35.690235690235689</v>
      </c>
      <c r="FI9">
        <f t="shared" si="33"/>
        <v>14.285714285714285</v>
      </c>
      <c r="FJ9">
        <f t="shared" si="73"/>
        <v>0.75757575757575779</v>
      </c>
      <c r="FO9">
        <v>10</v>
      </c>
      <c r="FP9">
        <v>4</v>
      </c>
      <c r="FQ9">
        <f t="shared" si="74"/>
        <v>60</v>
      </c>
      <c r="FR9">
        <f t="shared" si="34"/>
        <v>36.255967127923135</v>
      </c>
      <c r="FS9">
        <f t="shared" si="35"/>
        <v>12.121212121212121</v>
      </c>
      <c r="FT9">
        <f t="shared" si="75"/>
        <v>0.64088830781682304</v>
      </c>
      <c r="FY9">
        <v>15</v>
      </c>
      <c r="FZ9">
        <v>4</v>
      </c>
      <c r="GA9">
        <f t="shared" si="76"/>
        <v>73</v>
      </c>
      <c r="GB9">
        <f t="shared" si="36"/>
        <v>38.431166096341144</v>
      </c>
      <c r="GC9">
        <f t="shared" si="37"/>
        <v>12.5</v>
      </c>
      <c r="GD9">
        <f t="shared" si="77"/>
        <v>0.86371413529876295</v>
      </c>
      <c r="GI9">
        <v>13</v>
      </c>
      <c r="GJ9">
        <v>4</v>
      </c>
      <c r="GK9">
        <f t="shared" si="78"/>
        <v>61</v>
      </c>
      <c r="GL9">
        <f t="shared" si="38"/>
        <v>38.865880853775096</v>
      </c>
      <c r="GM9">
        <f t="shared" si="39"/>
        <v>14.285714285714285</v>
      </c>
      <c r="GN9">
        <f t="shared" si="79"/>
        <v>1.0353615801210587</v>
      </c>
    </row>
    <row r="10" spans="1:199" x14ac:dyDescent="0.2">
      <c r="A10">
        <v>80</v>
      </c>
      <c r="B10">
        <v>5</v>
      </c>
      <c r="C10">
        <f t="shared" si="40"/>
        <v>490</v>
      </c>
      <c r="D10">
        <f t="shared" si="0"/>
        <v>48.562933597621402</v>
      </c>
      <c r="E10">
        <f t="shared" si="1"/>
        <v>17.241379310344829</v>
      </c>
      <c r="F10">
        <f t="shared" si="41"/>
        <v>1.2303065513823854</v>
      </c>
      <c r="K10">
        <v>65</v>
      </c>
      <c r="L10">
        <v>5</v>
      </c>
      <c r="M10">
        <f t="shared" si="42"/>
        <v>385</v>
      </c>
      <c r="N10">
        <f t="shared" si="2"/>
        <v>44.793484584060501</v>
      </c>
      <c r="O10">
        <f t="shared" si="3"/>
        <v>15.151515151515152</v>
      </c>
      <c r="P10">
        <f t="shared" si="43"/>
        <v>1.0312549579565289</v>
      </c>
      <c r="U10">
        <v>40</v>
      </c>
      <c r="V10">
        <v>5</v>
      </c>
      <c r="W10">
        <f t="shared" si="44"/>
        <v>420</v>
      </c>
      <c r="X10">
        <f t="shared" si="4"/>
        <v>50.626808100289303</v>
      </c>
      <c r="Y10">
        <f t="shared" si="5"/>
        <v>16.666666666666664</v>
      </c>
      <c r="Z10">
        <f t="shared" si="45"/>
        <v>0.72324011571841995</v>
      </c>
      <c r="AE10">
        <v>50</v>
      </c>
      <c r="AF10">
        <v>5</v>
      </c>
      <c r="AG10">
        <f t="shared" si="46"/>
        <v>450</v>
      </c>
      <c r="AH10">
        <f t="shared" si="6"/>
        <v>52.478134110787167</v>
      </c>
      <c r="AI10">
        <f t="shared" si="7"/>
        <v>15.151515151515152</v>
      </c>
      <c r="AJ10">
        <f t="shared" si="47"/>
        <v>0.79512324410283564</v>
      </c>
      <c r="AO10">
        <v>40</v>
      </c>
      <c r="AP10">
        <v>5</v>
      </c>
      <c r="AQ10">
        <f t="shared" si="48"/>
        <v>335</v>
      </c>
      <c r="AR10">
        <f t="shared" si="8"/>
        <v>37.88521345773254</v>
      </c>
      <c r="AS10">
        <f t="shared" si="9"/>
        <v>11.904761904761903</v>
      </c>
      <c r="AT10">
        <f t="shared" si="49"/>
        <v>0.48467224039743095</v>
      </c>
      <c r="AY10">
        <v>45</v>
      </c>
      <c r="AZ10">
        <v>5</v>
      </c>
      <c r="BA10">
        <f t="shared" si="50"/>
        <v>300</v>
      </c>
      <c r="BB10">
        <f t="shared" si="10"/>
        <v>43.165467625899282</v>
      </c>
      <c r="BC10">
        <f t="shared" si="11"/>
        <v>13.513513513513514</v>
      </c>
      <c r="BD10">
        <f t="shared" si="51"/>
        <v>0.78747812560762187</v>
      </c>
      <c r="BI10">
        <v>10</v>
      </c>
      <c r="BJ10">
        <v>5</v>
      </c>
      <c r="BK10">
        <f t="shared" si="52"/>
        <v>58</v>
      </c>
      <c r="BL10">
        <f t="shared" si="12"/>
        <v>36.409290646578782</v>
      </c>
      <c r="BM10">
        <f t="shared" si="13"/>
        <v>17.241379310344829</v>
      </c>
      <c r="BN10">
        <f t="shared" si="53"/>
        <v>0.97408922657315444</v>
      </c>
      <c r="BS10">
        <v>20</v>
      </c>
      <c r="BT10">
        <v>5</v>
      </c>
      <c r="BU10">
        <f t="shared" si="54"/>
        <v>123</v>
      </c>
      <c r="BV10">
        <f t="shared" si="14"/>
        <v>32.26229508196721</v>
      </c>
      <c r="BW10">
        <f t="shared" si="15"/>
        <v>12.820512820512819</v>
      </c>
      <c r="BX10">
        <f t="shared" si="55"/>
        <v>0.60529634300126078</v>
      </c>
      <c r="CC10">
        <v>20</v>
      </c>
      <c r="CD10">
        <v>5</v>
      </c>
      <c r="CE10">
        <f t="shared" si="56"/>
        <v>140</v>
      </c>
      <c r="CF10">
        <f t="shared" si="16"/>
        <v>46.014790468364829</v>
      </c>
      <c r="CG10">
        <f t="shared" si="17"/>
        <v>16.129032258064516</v>
      </c>
      <c r="CH10">
        <f t="shared" si="57"/>
        <v>0.95422376547300336</v>
      </c>
      <c r="CM10">
        <v>12</v>
      </c>
      <c r="CN10">
        <v>5</v>
      </c>
      <c r="CO10">
        <f t="shared" si="58"/>
        <v>75</v>
      </c>
      <c r="CP10">
        <f t="shared" si="18"/>
        <v>36.010082823190501</v>
      </c>
      <c r="CQ10">
        <f t="shared" si="19"/>
        <v>13.888888888888889</v>
      </c>
      <c r="CR10">
        <f t="shared" si="59"/>
        <v>0.72020165646381029</v>
      </c>
      <c r="CW10">
        <v>15</v>
      </c>
      <c r="CX10">
        <v>5</v>
      </c>
      <c r="CY10">
        <f t="shared" si="60"/>
        <v>97</v>
      </c>
      <c r="CZ10">
        <f t="shared" si="20"/>
        <v>43.946086759542418</v>
      </c>
      <c r="DA10">
        <f t="shared" si="21"/>
        <v>13.888888888888889</v>
      </c>
      <c r="DB10">
        <f t="shared" si="61"/>
        <v>0.84947332653754704</v>
      </c>
      <c r="DG10">
        <v>10</v>
      </c>
      <c r="DH10">
        <v>5</v>
      </c>
      <c r="DI10">
        <f t="shared" si="62"/>
        <v>65</v>
      </c>
      <c r="DJ10">
        <f t="shared" si="22"/>
        <v>44.982698961937714</v>
      </c>
      <c r="DK10">
        <f t="shared" si="23"/>
        <v>16.666666666666664</v>
      </c>
      <c r="DL10">
        <f t="shared" si="63"/>
        <v>1.0380622837370237</v>
      </c>
      <c r="DQ10">
        <v>15</v>
      </c>
      <c r="DR10">
        <v>5</v>
      </c>
      <c r="DS10">
        <f t="shared" si="64"/>
        <v>100</v>
      </c>
      <c r="DT10">
        <f t="shared" si="24"/>
        <v>38.372985418265536</v>
      </c>
      <c r="DU10">
        <f t="shared" si="25"/>
        <v>14.705882352941178</v>
      </c>
      <c r="DV10">
        <f t="shared" si="65"/>
        <v>0.76181662227438873</v>
      </c>
      <c r="EA10">
        <v>10</v>
      </c>
      <c r="EB10">
        <v>5</v>
      </c>
      <c r="EC10">
        <f t="shared" si="66"/>
        <v>79</v>
      </c>
      <c r="ED10">
        <f t="shared" si="26"/>
        <v>40.306122448979593</v>
      </c>
      <c r="EE10">
        <f t="shared" si="27"/>
        <v>14.705882352941178</v>
      </c>
      <c r="EF10">
        <f t="shared" si="67"/>
        <v>0.67527010804321708</v>
      </c>
      <c r="EK10">
        <v>10</v>
      </c>
      <c r="EL10">
        <v>5</v>
      </c>
      <c r="EM10">
        <f t="shared" si="68"/>
        <v>66</v>
      </c>
      <c r="EN10">
        <f t="shared" si="28"/>
        <v>44.564483457123565</v>
      </c>
      <c r="EO10">
        <f t="shared" si="29"/>
        <v>14.705882352941178</v>
      </c>
      <c r="EP10">
        <f t="shared" si="69"/>
        <v>0.89367279660007126</v>
      </c>
      <c r="EU10">
        <v>8</v>
      </c>
      <c r="EV10">
        <v>5</v>
      </c>
      <c r="EW10">
        <f t="shared" si="70"/>
        <v>48</v>
      </c>
      <c r="EX10">
        <f t="shared" si="30"/>
        <v>45.261669024045268</v>
      </c>
      <c r="EY10">
        <f t="shared" si="31"/>
        <v>14.705882352941178</v>
      </c>
      <c r="EZ10">
        <f t="shared" si="71"/>
        <v>0.99841916964805721</v>
      </c>
      <c r="FE10">
        <v>15</v>
      </c>
      <c r="FF10">
        <v>5</v>
      </c>
      <c r="FG10">
        <f t="shared" si="72"/>
        <v>121</v>
      </c>
      <c r="FH10">
        <f t="shared" si="32"/>
        <v>40.74074074074074</v>
      </c>
      <c r="FI10">
        <f t="shared" si="33"/>
        <v>17.857142857142858</v>
      </c>
      <c r="FJ10">
        <f t="shared" si="73"/>
        <v>0.81168831168831179</v>
      </c>
      <c r="FO10">
        <v>10</v>
      </c>
      <c r="FP10">
        <v>5</v>
      </c>
      <c r="FQ10">
        <f t="shared" si="74"/>
        <v>70</v>
      </c>
      <c r="FR10">
        <f t="shared" si="34"/>
        <v>42.298628315910328</v>
      </c>
      <c r="FS10">
        <f t="shared" si="35"/>
        <v>15.151515151515152</v>
      </c>
      <c r="FT10">
        <f t="shared" si="75"/>
        <v>0.82399925290734444</v>
      </c>
      <c r="FY10">
        <v>15</v>
      </c>
      <c r="FZ10">
        <v>5</v>
      </c>
      <c r="GA10">
        <f t="shared" si="76"/>
        <v>88</v>
      </c>
      <c r="GB10">
        <f t="shared" si="36"/>
        <v>46.327981047644116</v>
      </c>
      <c r="GC10">
        <f t="shared" si="37"/>
        <v>15.625</v>
      </c>
      <c r="GD10">
        <f t="shared" si="77"/>
        <v>1.1104896025269804</v>
      </c>
      <c r="GI10">
        <v>12</v>
      </c>
      <c r="GJ10">
        <v>5</v>
      </c>
      <c r="GK10">
        <f t="shared" si="78"/>
        <v>73</v>
      </c>
      <c r="GL10">
        <f t="shared" si="38"/>
        <v>46.511627906976749</v>
      </c>
      <c r="GM10">
        <f t="shared" si="39"/>
        <v>17.857142857142858</v>
      </c>
      <c r="GN10">
        <f t="shared" si="79"/>
        <v>1.2287807764074083</v>
      </c>
    </row>
    <row r="11" spans="1:199" x14ac:dyDescent="0.2">
      <c r="A11">
        <v>50</v>
      </c>
      <c r="B11">
        <v>6</v>
      </c>
      <c r="C11">
        <f t="shared" si="40"/>
        <v>540</v>
      </c>
      <c r="D11">
        <f t="shared" si="0"/>
        <v>53.518334985133798</v>
      </c>
      <c r="E11">
        <f t="shared" si="1"/>
        <v>20.689655172413794</v>
      </c>
      <c r="F11">
        <f t="shared" si="41"/>
        <v>0.93981750452821289</v>
      </c>
      <c r="K11">
        <v>65</v>
      </c>
      <c r="L11">
        <v>6</v>
      </c>
      <c r="M11">
        <f t="shared" si="42"/>
        <v>450</v>
      </c>
      <c r="N11">
        <f t="shared" si="2"/>
        <v>52.356020942408378</v>
      </c>
      <c r="O11">
        <f t="shared" si="3"/>
        <v>18.181818181818183</v>
      </c>
      <c r="P11">
        <f t="shared" si="43"/>
        <v>1.260422726391313</v>
      </c>
      <c r="U11">
        <v>40</v>
      </c>
      <c r="V11">
        <v>6</v>
      </c>
      <c r="W11">
        <f t="shared" si="44"/>
        <v>460</v>
      </c>
      <c r="X11">
        <f t="shared" si="4"/>
        <v>55.448408871745414</v>
      </c>
      <c r="Y11">
        <f t="shared" si="5"/>
        <v>20</v>
      </c>
      <c r="Z11">
        <f t="shared" si="45"/>
        <v>0.88396014143362034</v>
      </c>
      <c r="AE11">
        <v>40</v>
      </c>
      <c r="AF11">
        <v>6</v>
      </c>
      <c r="AG11">
        <f t="shared" si="46"/>
        <v>490</v>
      </c>
      <c r="AH11">
        <f t="shared" si="6"/>
        <v>57.142857142857139</v>
      </c>
      <c r="AI11">
        <f t="shared" si="7"/>
        <v>18.181818181818183</v>
      </c>
      <c r="AJ11">
        <f t="shared" si="47"/>
        <v>0.77745383867832873</v>
      </c>
      <c r="AO11">
        <v>40</v>
      </c>
      <c r="AP11">
        <v>6</v>
      </c>
      <c r="AQ11">
        <f t="shared" si="48"/>
        <v>375</v>
      </c>
      <c r="AR11">
        <f t="shared" si="8"/>
        <v>42.408821034775237</v>
      </c>
      <c r="AS11">
        <f t="shared" si="9"/>
        <v>14.285714285714285</v>
      </c>
      <c r="AT11">
        <f t="shared" si="49"/>
        <v>0.59237718270797213</v>
      </c>
      <c r="AY11">
        <v>40</v>
      </c>
      <c r="AZ11">
        <v>6</v>
      </c>
      <c r="BA11">
        <f t="shared" si="50"/>
        <v>340</v>
      </c>
      <c r="BB11">
        <f t="shared" si="10"/>
        <v>48.920863309352519</v>
      </c>
      <c r="BC11">
        <f t="shared" si="11"/>
        <v>16.216216216216218</v>
      </c>
      <c r="BD11">
        <f t="shared" si="51"/>
        <v>0.85553179078358932</v>
      </c>
      <c r="BI11">
        <v>10</v>
      </c>
      <c r="BJ11">
        <v>6</v>
      </c>
      <c r="BK11">
        <f t="shared" si="52"/>
        <v>68</v>
      </c>
      <c r="BL11">
        <f t="shared" si="12"/>
        <v>42.686754551161329</v>
      </c>
      <c r="BM11">
        <f t="shared" si="13"/>
        <v>20.689655172413794</v>
      </c>
      <c r="BN11">
        <f t="shared" si="53"/>
        <v>1.1905534991449658</v>
      </c>
      <c r="BS11">
        <v>20</v>
      </c>
      <c r="BT11">
        <v>6</v>
      </c>
      <c r="BU11">
        <f t="shared" si="54"/>
        <v>143</v>
      </c>
      <c r="BV11">
        <f t="shared" si="14"/>
        <v>37.508196721311478</v>
      </c>
      <c r="BW11">
        <f t="shared" si="15"/>
        <v>15.384615384615385</v>
      </c>
      <c r="BX11">
        <f t="shared" si="55"/>
        <v>0.73980664144598651</v>
      </c>
      <c r="CC11">
        <v>20</v>
      </c>
      <c r="CD11">
        <v>6</v>
      </c>
      <c r="CE11">
        <f t="shared" si="56"/>
        <v>160</v>
      </c>
      <c r="CF11">
        <f t="shared" si="16"/>
        <v>52.588331963845526</v>
      </c>
      <c r="CG11">
        <f t="shared" si="17"/>
        <v>19.35483870967742</v>
      </c>
      <c r="CH11">
        <f t="shared" si="57"/>
        <v>1.1662734911336721</v>
      </c>
      <c r="CM11">
        <v>10</v>
      </c>
      <c r="CN11">
        <v>6</v>
      </c>
      <c r="CO11">
        <f t="shared" si="58"/>
        <v>85</v>
      </c>
      <c r="CP11">
        <f t="shared" si="18"/>
        <v>40.811427199615899</v>
      </c>
      <c r="CQ11">
        <f t="shared" si="19"/>
        <v>16.666666666666664</v>
      </c>
      <c r="CR11">
        <f t="shared" si="59"/>
        <v>0.73353872417610233</v>
      </c>
      <c r="CW11">
        <v>15</v>
      </c>
      <c r="CX11">
        <v>6</v>
      </c>
      <c r="CY11">
        <f t="shared" si="60"/>
        <v>112</v>
      </c>
      <c r="CZ11">
        <f t="shared" si="20"/>
        <v>50.741873371842793</v>
      </c>
      <c r="DA11">
        <f t="shared" si="21"/>
        <v>16.666666666666664</v>
      </c>
      <c r="DB11">
        <f t="shared" si="61"/>
        <v>1.038245176879224</v>
      </c>
      <c r="DG11">
        <v>9</v>
      </c>
      <c r="DH11">
        <v>6</v>
      </c>
      <c r="DI11">
        <f t="shared" si="62"/>
        <v>74</v>
      </c>
      <c r="DJ11">
        <f t="shared" si="22"/>
        <v>51.211072664359861</v>
      </c>
      <c r="DK11">
        <f t="shared" si="23"/>
        <v>20</v>
      </c>
      <c r="DL11">
        <f t="shared" si="63"/>
        <v>1.1418685121107268</v>
      </c>
      <c r="DQ11">
        <v>15</v>
      </c>
      <c r="DR11">
        <v>6</v>
      </c>
      <c r="DS11">
        <f t="shared" si="64"/>
        <v>115</v>
      </c>
      <c r="DT11">
        <f t="shared" si="24"/>
        <v>44.128933231005369</v>
      </c>
      <c r="DU11">
        <f t="shared" si="25"/>
        <v>17.647058823529413</v>
      </c>
      <c r="DV11">
        <f t="shared" si="65"/>
        <v>0.93110920500203209</v>
      </c>
      <c r="EA11">
        <v>10</v>
      </c>
      <c r="EB11">
        <v>6</v>
      </c>
      <c r="EC11">
        <f t="shared" si="66"/>
        <v>89</v>
      </c>
      <c r="ED11">
        <f t="shared" si="26"/>
        <v>45.408163265306122</v>
      </c>
      <c r="EE11">
        <f t="shared" si="27"/>
        <v>17.647058823529413</v>
      </c>
      <c r="EF11">
        <f t="shared" si="67"/>
        <v>0.82533013205282102</v>
      </c>
      <c r="EK11">
        <v>10</v>
      </c>
      <c r="EL11">
        <v>6</v>
      </c>
      <c r="EM11">
        <f t="shared" si="68"/>
        <v>76</v>
      </c>
      <c r="EN11">
        <f t="shared" si="28"/>
        <v>51.316677920324103</v>
      </c>
      <c r="EO11">
        <f t="shared" si="29"/>
        <v>17.647058823529413</v>
      </c>
      <c r="EP11">
        <f t="shared" si="69"/>
        <v>1.0922667514000874</v>
      </c>
      <c r="EU11">
        <v>6</v>
      </c>
      <c r="EV11">
        <v>6</v>
      </c>
      <c r="EW11">
        <f t="shared" si="70"/>
        <v>54</v>
      </c>
      <c r="EX11">
        <f t="shared" si="30"/>
        <v>50.919377652050926</v>
      </c>
      <c r="EY11">
        <f t="shared" si="31"/>
        <v>17.647058823529413</v>
      </c>
      <c r="EZ11">
        <f t="shared" si="71"/>
        <v>0.91521757217738597</v>
      </c>
      <c r="FE11">
        <v>15</v>
      </c>
      <c r="FF11">
        <v>6</v>
      </c>
      <c r="FG11">
        <f t="shared" si="72"/>
        <v>136</v>
      </c>
      <c r="FH11">
        <f t="shared" si="32"/>
        <v>45.791245791245792</v>
      </c>
      <c r="FI11">
        <f t="shared" si="33"/>
        <v>21.428571428571427</v>
      </c>
      <c r="FJ11">
        <f t="shared" si="73"/>
        <v>0.99206349206349231</v>
      </c>
      <c r="FO11">
        <v>8</v>
      </c>
      <c r="FP11">
        <v>6</v>
      </c>
      <c r="FQ11">
        <f t="shared" si="74"/>
        <v>78</v>
      </c>
      <c r="FR11">
        <f t="shared" si="34"/>
        <v>47.132757266300075</v>
      </c>
      <c r="FS11">
        <f t="shared" si="35"/>
        <v>18.181818181818183</v>
      </c>
      <c r="FT11">
        <f t="shared" si="75"/>
        <v>0.80568815839829133</v>
      </c>
      <c r="FY11">
        <v>10</v>
      </c>
      <c r="FZ11">
        <v>6</v>
      </c>
      <c r="GA11">
        <f t="shared" si="76"/>
        <v>98</v>
      </c>
      <c r="GB11">
        <f t="shared" si="36"/>
        <v>51.592524348512768</v>
      </c>
      <c r="GC11">
        <f t="shared" si="37"/>
        <v>18.75</v>
      </c>
      <c r="GD11">
        <f t="shared" si="77"/>
        <v>0.90484337983679963</v>
      </c>
      <c r="GI11">
        <v>10</v>
      </c>
      <c r="GJ11">
        <v>6</v>
      </c>
      <c r="GK11">
        <f t="shared" si="78"/>
        <v>83</v>
      </c>
      <c r="GL11">
        <f t="shared" si="38"/>
        <v>52.883083784644789</v>
      </c>
      <c r="GM11">
        <f t="shared" si="39"/>
        <v>21.428571428571427</v>
      </c>
      <c r="GN11">
        <f t="shared" si="79"/>
        <v>1.2515359759705078</v>
      </c>
    </row>
    <row r="12" spans="1:199" x14ac:dyDescent="0.2">
      <c r="A12">
        <v>50</v>
      </c>
      <c r="B12">
        <v>7</v>
      </c>
      <c r="C12">
        <f t="shared" si="40"/>
        <v>590</v>
      </c>
      <c r="D12">
        <f t="shared" si="0"/>
        <v>58.473736372646179</v>
      </c>
      <c r="E12">
        <f t="shared" si="1"/>
        <v>24.137931034482758</v>
      </c>
      <c r="F12">
        <f t="shared" si="41"/>
        <v>1.1106934144424303</v>
      </c>
      <c r="K12">
        <v>40</v>
      </c>
      <c r="L12">
        <v>7</v>
      </c>
      <c r="M12">
        <f t="shared" si="42"/>
        <v>490</v>
      </c>
      <c r="N12">
        <f t="shared" si="2"/>
        <v>57.009889470622454</v>
      </c>
      <c r="O12">
        <f t="shared" si="3"/>
        <v>21.212121212121211</v>
      </c>
      <c r="P12">
        <f t="shared" si="43"/>
        <v>0.91667107373913614</v>
      </c>
      <c r="U12">
        <v>40</v>
      </c>
      <c r="V12">
        <v>7</v>
      </c>
      <c r="W12">
        <f t="shared" si="44"/>
        <v>500</v>
      </c>
      <c r="X12">
        <f t="shared" si="4"/>
        <v>60.27000964320154</v>
      </c>
      <c r="Y12">
        <f t="shared" si="5"/>
        <v>23.333333333333332</v>
      </c>
      <c r="Z12">
        <f t="shared" si="45"/>
        <v>1.0446801671488271</v>
      </c>
      <c r="AE12">
        <v>30</v>
      </c>
      <c r="AF12">
        <v>7</v>
      </c>
      <c r="AG12">
        <f t="shared" si="46"/>
        <v>520</v>
      </c>
      <c r="AH12">
        <f t="shared" si="6"/>
        <v>60.641399416909621</v>
      </c>
      <c r="AI12">
        <f t="shared" si="7"/>
        <v>21.212121212121211</v>
      </c>
      <c r="AJ12">
        <f t="shared" si="47"/>
        <v>0.68910681155579201</v>
      </c>
      <c r="AO12">
        <v>40</v>
      </c>
      <c r="AP12">
        <v>7</v>
      </c>
      <c r="AQ12">
        <f t="shared" si="48"/>
        <v>415</v>
      </c>
      <c r="AR12">
        <f t="shared" si="8"/>
        <v>46.932428611817926</v>
      </c>
      <c r="AS12">
        <f t="shared" si="9"/>
        <v>16.666666666666664</v>
      </c>
      <c r="AT12">
        <f t="shared" si="49"/>
        <v>0.7000821250185113</v>
      </c>
      <c r="AY12">
        <v>40</v>
      </c>
      <c r="AZ12">
        <v>7</v>
      </c>
      <c r="BA12">
        <f t="shared" si="50"/>
        <v>380</v>
      </c>
      <c r="BB12">
        <f t="shared" si="10"/>
        <v>54.676258992805757</v>
      </c>
      <c r="BC12">
        <f t="shared" si="11"/>
        <v>18.918918918918919</v>
      </c>
      <c r="BD12">
        <f t="shared" si="51"/>
        <v>1.0110830254715146</v>
      </c>
      <c r="BI12">
        <v>10</v>
      </c>
      <c r="BJ12">
        <v>7</v>
      </c>
      <c r="BK12">
        <f t="shared" si="52"/>
        <v>78</v>
      </c>
      <c r="BL12">
        <f t="shared" si="12"/>
        <v>48.964218455743875</v>
      </c>
      <c r="BM12">
        <f t="shared" si="13"/>
        <v>24.137931034482758</v>
      </c>
      <c r="BN12">
        <f t="shared" si="53"/>
        <v>1.4070177717167778</v>
      </c>
      <c r="BS12">
        <v>20</v>
      </c>
      <c r="BT12">
        <v>7</v>
      </c>
      <c r="BU12">
        <f t="shared" si="54"/>
        <v>163</v>
      </c>
      <c r="BV12">
        <f t="shared" si="14"/>
        <v>42.754098360655739</v>
      </c>
      <c r="BW12">
        <f t="shared" si="15"/>
        <v>17.948717948717949</v>
      </c>
      <c r="BX12">
        <f t="shared" si="55"/>
        <v>0.87431693989071024</v>
      </c>
      <c r="CC12">
        <v>18</v>
      </c>
      <c r="CD12">
        <v>7</v>
      </c>
      <c r="CE12">
        <f t="shared" si="56"/>
        <v>178</v>
      </c>
      <c r="CF12">
        <f t="shared" si="16"/>
        <v>58.504519309778146</v>
      </c>
      <c r="CG12">
        <f t="shared" si="17"/>
        <v>22.58064516129032</v>
      </c>
      <c r="CH12">
        <f t="shared" si="57"/>
        <v>1.2404908951149043</v>
      </c>
      <c r="CM12">
        <v>10</v>
      </c>
      <c r="CN12">
        <v>7</v>
      </c>
      <c r="CO12">
        <f t="shared" si="58"/>
        <v>95</v>
      </c>
      <c r="CP12">
        <f t="shared" si="18"/>
        <v>45.612771576041297</v>
      </c>
      <c r="CQ12">
        <f t="shared" si="19"/>
        <v>19.444444444444446</v>
      </c>
      <c r="CR12">
        <f t="shared" si="59"/>
        <v>0.86690940129903027</v>
      </c>
      <c r="CW12">
        <v>10</v>
      </c>
      <c r="CX12">
        <v>7</v>
      </c>
      <c r="CY12">
        <f t="shared" si="60"/>
        <v>122</v>
      </c>
      <c r="CZ12">
        <f t="shared" si="20"/>
        <v>55.272397780043036</v>
      </c>
      <c r="DA12">
        <f t="shared" si="21"/>
        <v>19.444444444444446</v>
      </c>
      <c r="DB12">
        <f t="shared" si="61"/>
        <v>0.81801135148059956</v>
      </c>
      <c r="DG12">
        <v>8</v>
      </c>
      <c r="DH12">
        <v>7</v>
      </c>
      <c r="DI12">
        <f t="shared" si="62"/>
        <v>82</v>
      </c>
      <c r="DJ12">
        <f t="shared" si="22"/>
        <v>56.747404844290664</v>
      </c>
      <c r="DK12">
        <f t="shared" si="23"/>
        <v>23.333333333333332</v>
      </c>
      <c r="DL12">
        <f t="shared" si="63"/>
        <v>1.1995386389850071</v>
      </c>
      <c r="DQ12">
        <v>12</v>
      </c>
      <c r="DR12">
        <v>7</v>
      </c>
      <c r="DS12">
        <f t="shared" si="64"/>
        <v>127</v>
      </c>
      <c r="DT12">
        <f t="shared" si="24"/>
        <v>48.733691481197233</v>
      </c>
      <c r="DU12">
        <f t="shared" si="25"/>
        <v>20.588235294117645</v>
      </c>
      <c r="DV12">
        <f t="shared" si="65"/>
        <v>0.88032143018373876</v>
      </c>
      <c r="EA12">
        <v>10</v>
      </c>
      <c r="EB12">
        <v>7</v>
      </c>
      <c r="EC12">
        <f t="shared" si="66"/>
        <v>99</v>
      </c>
      <c r="ED12">
        <f t="shared" si="26"/>
        <v>50.510204081632651</v>
      </c>
      <c r="EE12">
        <f t="shared" si="27"/>
        <v>20.588235294117645</v>
      </c>
      <c r="EF12">
        <f t="shared" si="67"/>
        <v>0.97539015606242463</v>
      </c>
      <c r="EK12">
        <v>8</v>
      </c>
      <c r="EL12">
        <v>7</v>
      </c>
      <c r="EM12">
        <f t="shared" si="68"/>
        <v>84</v>
      </c>
      <c r="EN12">
        <f t="shared" si="28"/>
        <v>56.718433490884536</v>
      </c>
      <c r="EO12">
        <f t="shared" si="29"/>
        <v>20.588235294117645</v>
      </c>
      <c r="EP12">
        <f t="shared" si="69"/>
        <v>1.0326885649600828</v>
      </c>
      <c r="EU12">
        <v>5</v>
      </c>
      <c r="EV12">
        <v>7</v>
      </c>
      <c r="EW12">
        <f t="shared" si="70"/>
        <v>59</v>
      </c>
      <c r="EX12">
        <f t="shared" si="30"/>
        <v>55.634134842055637</v>
      </c>
      <c r="EY12">
        <f t="shared" si="31"/>
        <v>20.588235294117645</v>
      </c>
      <c r="EZ12">
        <f t="shared" si="71"/>
        <v>0.90135063926560643</v>
      </c>
      <c r="FE12">
        <v>15</v>
      </c>
      <c r="FF12">
        <v>7</v>
      </c>
      <c r="FG12">
        <f t="shared" si="72"/>
        <v>151</v>
      </c>
      <c r="FH12">
        <f t="shared" si="32"/>
        <v>50.841750841750844</v>
      </c>
      <c r="FI12">
        <f t="shared" si="33"/>
        <v>25</v>
      </c>
      <c r="FJ12">
        <f t="shared" si="73"/>
        <v>1.1724386724386728</v>
      </c>
      <c r="FO12">
        <v>8</v>
      </c>
      <c r="FP12">
        <v>7</v>
      </c>
      <c r="FQ12">
        <f t="shared" si="74"/>
        <v>86</v>
      </c>
      <c r="FR12">
        <f t="shared" si="34"/>
        <v>51.966886216689822</v>
      </c>
      <c r="FS12">
        <f t="shared" si="35"/>
        <v>21.212121212121211</v>
      </c>
      <c r="FT12">
        <f t="shared" si="75"/>
        <v>0.95217691447070762</v>
      </c>
      <c r="FY12">
        <v>10</v>
      </c>
      <c r="FZ12">
        <v>7</v>
      </c>
      <c r="GA12">
        <f t="shared" si="76"/>
        <v>108</v>
      </c>
      <c r="GB12">
        <f t="shared" si="36"/>
        <v>56.85706764938142</v>
      </c>
      <c r="GC12">
        <f t="shared" si="37"/>
        <v>21.875</v>
      </c>
      <c r="GD12">
        <f t="shared" si="77"/>
        <v>1.069360357988945</v>
      </c>
      <c r="GI12">
        <v>10</v>
      </c>
      <c r="GJ12">
        <v>7</v>
      </c>
      <c r="GK12">
        <f t="shared" si="78"/>
        <v>93</v>
      </c>
      <c r="GL12">
        <f t="shared" si="38"/>
        <v>59.254539662312844</v>
      </c>
      <c r="GM12">
        <f t="shared" si="39"/>
        <v>25</v>
      </c>
      <c r="GN12">
        <f t="shared" si="79"/>
        <v>1.4790879716015126</v>
      </c>
    </row>
    <row r="13" spans="1:199" x14ac:dyDescent="0.2">
      <c r="A13">
        <v>50</v>
      </c>
      <c r="B13">
        <v>8</v>
      </c>
      <c r="C13">
        <f t="shared" si="40"/>
        <v>640</v>
      </c>
      <c r="D13">
        <f t="shared" si="0"/>
        <v>63.429137760158568</v>
      </c>
      <c r="E13">
        <f t="shared" si="1"/>
        <v>27.586206896551722</v>
      </c>
      <c r="F13">
        <f t="shared" si="41"/>
        <v>1.2815693243566519</v>
      </c>
      <c r="K13">
        <v>35</v>
      </c>
      <c r="L13">
        <v>8</v>
      </c>
      <c r="M13">
        <f t="shared" si="42"/>
        <v>525</v>
      </c>
      <c r="N13">
        <f t="shared" si="2"/>
        <v>61.082024432809781</v>
      </c>
      <c r="O13">
        <f t="shared" si="3"/>
        <v>24.242424242424242</v>
      </c>
      <c r="P13">
        <f t="shared" si="43"/>
        <v>0.92548521867893796</v>
      </c>
      <c r="U13">
        <v>32</v>
      </c>
      <c r="V13">
        <v>8</v>
      </c>
      <c r="W13">
        <f t="shared" si="44"/>
        <v>532</v>
      </c>
      <c r="X13">
        <f t="shared" si="4"/>
        <v>64.127290260366436</v>
      </c>
      <c r="Y13">
        <f t="shared" si="5"/>
        <v>26.666666666666668</v>
      </c>
      <c r="Z13">
        <f t="shared" si="45"/>
        <v>0.96432015429122397</v>
      </c>
      <c r="AE13">
        <v>30</v>
      </c>
      <c r="AF13">
        <v>8</v>
      </c>
      <c r="AG13">
        <f t="shared" si="46"/>
        <v>550</v>
      </c>
      <c r="AH13">
        <f t="shared" si="6"/>
        <v>64.139941690962104</v>
      </c>
      <c r="AI13">
        <f t="shared" si="7"/>
        <v>24.242424242424242</v>
      </c>
      <c r="AJ13">
        <f t="shared" si="47"/>
        <v>0.79512324410283697</v>
      </c>
      <c r="AO13">
        <v>40</v>
      </c>
      <c r="AP13">
        <v>8</v>
      </c>
      <c r="AQ13">
        <f t="shared" si="48"/>
        <v>455</v>
      </c>
      <c r="AR13">
        <f t="shared" si="8"/>
        <v>51.456036188860622</v>
      </c>
      <c r="AS13">
        <f t="shared" si="9"/>
        <v>19.047619047619047</v>
      </c>
      <c r="AT13">
        <f t="shared" si="49"/>
        <v>0.80778706732905281</v>
      </c>
      <c r="AY13">
        <v>40</v>
      </c>
      <c r="AZ13">
        <v>8</v>
      </c>
      <c r="BA13">
        <f t="shared" si="50"/>
        <v>420</v>
      </c>
      <c r="BB13">
        <f t="shared" si="10"/>
        <v>60.431654676258994</v>
      </c>
      <c r="BC13">
        <f t="shared" si="11"/>
        <v>21.621621621621621</v>
      </c>
      <c r="BD13">
        <f t="shared" si="51"/>
        <v>1.1666342601594399</v>
      </c>
      <c r="BI13">
        <v>10</v>
      </c>
      <c r="BJ13">
        <v>8</v>
      </c>
      <c r="BK13">
        <f t="shared" si="52"/>
        <v>88</v>
      </c>
      <c r="BL13">
        <f t="shared" si="12"/>
        <v>55.241682360326429</v>
      </c>
      <c r="BM13">
        <f t="shared" si="13"/>
        <v>27.586206896551722</v>
      </c>
      <c r="BN13">
        <f t="shared" si="53"/>
        <v>1.6234820442885913</v>
      </c>
      <c r="BS13">
        <v>18</v>
      </c>
      <c r="BT13">
        <v>8</v>
      </c>
      <c r="BU13">
        <f t="shared" si="54"/>
        <v>181</v>
      </c>
      <c r="BV13">
        <f t="shared" si="14"/>
        <v>47.475409836065573</v>
      </c>
      <c r="BW13">
        <f t="shared" si="15"/>
        <v>20.512820512820511</v>
      </c>
      <c r="BX13">
        <f t="shared" si="55"/>
        <v>0.90794451450189118</v>
      </c>
      <c r="CC13">
        <v>15</v>
      </c>
      <c r="CD13">
        <v>8</v>
      </c>
      <c r="CE13">
        <f t="shared" si="56"/>
        <v>193</v>
      </c>
      <c r="CF13">
        <f t="shared" si="16"/>
        <v>63.434675431388662</v>
      </c>
      <c r="CG13">
        <f t="shared" si="17"/>
        <v>25.806451612903224</v>
      </c>
      <c r="CH13">
        <f t="shared" si="57"/>
        <v>1.1927797068412536</v>
      </c>
      <c r="CM13">
        <v>10</v>
      </c>
      <c r="CN13">
        <v>8</v>
      </c>
      <c r="CO13">
        <f t="shared" si="58"/>
        <v>105</v>
      </c>
      <c r="CP13">
        <f t="shared" si="18"/>
        <v>50.414115952466702</v>
      </c>
      <c r="CQ13">
        <f t="shared" si="19"/>
        <v>22.222222222222221</v>
      </c>
      <c r="CR13">
        <f t="shared" si="59"/>
        <v>1.0002800784219594</v>
      </c>
      <c r="CW13">
        <v>9</v>
      </c>
      <c r="CX13">
        <v>8</v>
      </c>
      <c r="CY13">
        <f t="shared" si="60"/>
        <v>131</v>
      </c>
      <c r="CZ13">
        <f t="shared" si="20"/>
        <v>59.34986974742327</v>
      </c>
      <c r="DA13">
        <f t="shared" si="21"/>
        <v>22.222222222222221</v>
      </c>
      <c r="DB13">
        <f t="shared" si="61"/>
        <v>0.84947332653754881</v>
      </c>
      <c r="DG13">
        <v>7</v>
      </c>
      <c r="DH13">
        <v>8</v>
      </c>
      <c r="DI13">
        <f t="shared" si="62"/>
        <v>89</v>
      </c>
      <c r="DJ13">
        <f t="shared" si="22"/>
        <v>61.591695501730101</v>
      </c>
      <c r="DK13">
        <f t="shared" si="23"/>
        <v>26.666666666666668</v>
      </c>
      <c r="DL13">
        <f t="shared" si="63"/>
        <v>1.2110726643598593</v>
      </c>
      <c r="DQ13">
        <v>12</v>
      </c>
      <c r="DR13">
        <v>8</v>
      </c>
      <c r="DS13">
        <f t="shared" si="64"/>
        <v>139</v>
      </c>
      <c r="DT13">
        <f t="shared" si="24"/>
        <v>53.33844973138909</v>
      </c>
      <c r="DU13">
        <f t="shared" si="25"/>
        <v>23.52941176470588</v>
      </c>
      <c r="DV13">
        <f t="shared" si="65"/>
        <v>1.0157554963658506</v>
      </c>
      <c r="EA13">
        <v>9</v>
      </c>
      <c r="EB13">
        <v>8</v>
      </c>
      <c r="EC13">
        <f t="shared" si="66"/>
        <v>108</v>
      </c>
      <c r="ED13">
        <f t="shared" si="26"/>
        <v>55.102040816326522</v>
      </c>
      <c r="EE13">
        <f t="shared" si="27"/>
        <v>23.52941176470588</v>
      </c>
      <c r="EF13">
        <f t="shared" si="67"/>
        <v>1.0129051620648242</v>
      </c>
      <c r="EK13">
        <v>8</v>
      </c>
      <c r="EL13">
        <v>8</v>
      </c>
      <c r="EM13">
        <f t="shared" si="68"/>
        <v>92</v>
      </c>
      <c r="EN13">
        <f t="shared" si="28"/>
        <v>62.120189061444975</v>
      </c>
      <c r="EO13">
        <f t="shared" si="29"/>
        <v>23.52941176470588</v>
      </c>
      <c r="EP13">
        <f t="shared" si="69"/>
        <v>1.1915637288000966</v>
      </c>
      <c r="EU13">
        <v>5</v>
      </c>
      <c r="EV13">
        <v>8</v>
      </c>
      <c r="EW13">
        <f t="shared" si="70"/>
        <v>64</v>
      </c>
      <c r="EX13">
        <f t="shared" si="30"/>
        <v>60.348892032060363</v>
      </c>
      <c r="EY13">
        <f t="shared" si="31"/>
        <v>23.52941176470588</v>
      </c>
      <c r="EZ13">
        <f t="shared" si="71"/>
        <v>1.0400199683833951</v>
      </c>
      <c r="FE13">
        <v>15</v>
      </c>
      <c r="FF13">
        <v>8</v>
      </c>
      <c r="FG13">
        <f t="shared" si="72"/>
        <v>166</v>
      </c>
      <c r="FH13">
        <f t="shared" si="32"/>
        <v>55.892255892255896</v>
      </c>
      <c r="FI13">
        <f t="shared" si="33"/>
        <v>28.571428571428569</v>
      </c>
      <c r="FJ13">
        <f t="shared" si="73"/>
        <v>1.3528138528138534</v>
      </c>
      <c r="FO13">
        <v>8</v>
      </c>
      <c r="FP13">
        <v>8</v>
      </c>
      <c r="FQ13">
        <f t="shared" si="74"/>
        <v>94</v>
      </c>
      <c r="FR13">
        <f t="shared" si="34"/>
        <v>56.801015167079584</v>
      </c>
      <c r="FS13">
        <f t="shared" si="35"/>
        <v>24.242424242424242</v>
      </c>
      <c r="FT13">
        <f t="shared" si="75"/>
        <v>1.0986656705431275</v>
      </c>
      <c r="FY13">
        <v>10</v>
      </c>
      <c r="FZ13">
        <v>8</v>
      </c>
      <c r="GA13">
        <f t="shared" si="76"/>
        <v>118</v>
      </c>
      <c r="GB13">
        <f t="shared" si="36"/>
        <v>62.121610950250073</v>
      </c>
      <c r="GC13">
        <f t="shared" si="37"/>
        <v>25</v>
      </c>
      <c r="GD13">
        <f t="shared" si="77"/>
        <v>1.2338773361410904</v>
      </c>
      <c r="GI13">
        <v>9</v>
      </c>
      <c r="GJ13">
        <v>8</v>
      </c>
      <c r="GK13">
        <f t="shared" si="78"/>
        <v>102</v>
      </c>
      <c r="GL13">
        <f t="shared" si="38"/>
        <v>64.988849952214096</v>
      </c>
      <c r="GM13">
        <f t="shared" si="39"/>
        <v>28.571428571428569</v>
      </c>
      <c r="GN13">
        <f t="shared" si="79"/>
        <v>1.5359759705092639</v>
      </c>
    </row>
    <row r="14" spans="1:199" x14ac:dyDescent="0.2">
      <c r="A14">
        <v>50</v>
      </c>
      <c r="B14">
        <v>9</v>
      </c>
      <c r="C14">
        <f t="shared" si="40"/>
        <v>690</v>
      </c>
      <c r="D14">
        <f t="shared" si="0"/>
        <v>68.384539147670964</v>
      </c>
      <c r="E14">
        <f t="shared" si="1"/>
        <v>31.03448275862069</v>
      </c>
      <c r="F14">
        <f t="shared" si="41"/>
        <v>1.4524452342708745</v>
      </c>
      <c r="K14">
        <v>35</v>
      </c>
      <c r="L14">
        <v>9</v>
      </c>
      <c r="M14">
        <f t="shared" si="42"/>
        <v>560</v>
      </c>
      <c r="N14">
        <f t="shared" si="2"/>
        <v>65.154159394997095</v>
      </c>
      <c r="O14">
        <f t="shared" si="3"/>
        <v>27.27272727272727</v>
      </c>
      <c r="P14">
        <f t="shared" si="43"/>
        <v>1.0488832478361261</v>
      </c>
      <c r="U14">
        <v>30</v>
      </c>
      <c r="V14">
        <v>9</v>
      </c>
      <c r="W14">
        <f t="shared" si="44"/>
        <v>562</v>
      </c>
      <c r="X14">
        <f t="shared" si="4"/>
        <v>67.743490838958536</v>
      </c>
      <c r="Y14">
        <f t="shared" si="5"/>
        <v>30</v>
      </c>
      <c r="Z14">
        <f t="shared" si="45"/>
        <v>1.0245901639344284</v>
      </c>
      <c r="AE14">
        <v>25</v>
      </c>
      <c r="AF14">
        <v>9</v>
      </c>
      <c r="AG14">
        <f t="shared" si="46"/>
        <v>575</v>
      </c>
      <c r="AH14">
        <f t="shared" si="6"/>
        <v>67.055393586005835</v>
      </c>
      <c r="AI14">
        <f t="shared" si="7"/>
        <v>27.27272727272727</v>
      </c>
      <c r="AJ14">
        <f t="shared" si="47"/>
        <v>0.750949730541567</v>
      </c>
      <c r="AO14">
        <v>40</v>
      </c>
      <c r="AP14">
        <v>9</v>
      </c>
      <c r="AQ14">
        <f t="shared" si="48"/>
        <v>495</v>
      </c>
      <c r="AR14">
        <f t="shared" si="8"/>
        <v>55.979643765903312</v>
      </c>
      <c r="AS14">
        <f t="shared" si="9"/>
        <v>21.428571428571427</v>
      </c>
      <c r="AT14">
        <f t="shared" si="49"/>
        <v>0.91549200963959176</v>
      </c>
      <c r="AY14">
        <v>35</v>
      </c>
      <c r="AZ14">
        <v>9</v>
      </c>
      <c r="BA14">
        <f t="shared" si="50"/>
        <v>455</v>
      </c>
      <c r="BB14">
        <f t="shared" si="10"/>
        <v>65.467625899280577</v>
      </c>
      <c r="BC14">
        <f t="shared" si="11"/>
        <v>24.324324324324326</v>
      </c>
      <c r="BD14">
        <f t="shared" si="51"/>
        <v>1.156912307991445</v>
      </c>
      <c r="BI14">
        <v>8</v>
      </c>
      <c r="BJ14">
        <v>9</v>
      </c>
      <c r="BK14">
        <f t="shared" si="52"/>
        <v>96</v>
      </c>
      <c r="BL14">
        <f t="shared" si="12"/>
        <v>60.263653483992464</v>
      </c>
      <c r="BM14">
        <f t="shared" si="13"/>
        <v>31.03448275862069</v>
      </c>
      <c r="BN14">
        <f t="shared" si="53"/>
        <v>1.4719570534883204</v>
      </c>
      <c r="BS14">
        <v>15</v>
      </c>
      <c r="BT14">
        <v>9</v>
      </c>
      <c r="BU14">
        <f t="shared" si="54"/>
        <v>196</v>
      </c>
      <c r="BV14">
        <f t="shared" si="14"/>
        <v>51.409836065573764</v>
      </c>
      <c r="BW14">
        <f t="shared" si="15"/>
        <v>23.076923076923077</v>
      </c>
      <c r="BX14">
        <f t="shared" si="55"/>
        <v>0.85750315258511844</v>
      </c>
      <c r="CC14">
        <v>15</v>
      </c>
      <c r="CD14">
        <v>9</v>
      </c>
      <c r="CE14">
        <f t="shared" si="56"/>
        <v>208</v>
      </c>
      <c r="CF14">
        <f t="shared" si="16"/>
        <v>68.364831552999178</v>
      </c>
      <c r="CG14">
        <f t="shared" si="17"/>
        <v>29.032258064516132</v>
      </c>
      <c r="CH14">
        <f t="shared" si="57"/>
        <v>1.3518170010867545</v>
      </c>
      <c r="CM14">
        <v>10</v>
      </c>
      <c r="CN14">
        <v>9</v>
      </c>
      <c r="CO14">
        <f t="shared" si="58"/>
        <v>115</v>
      </c>
      <c r="CP14">
        <f t="shared" si="18"/>
        <v>55.2154603288921</v>
      </c>
      <c r="CQ14">
        <f t="shared" si="19"/>
        <v>25</v>
      </c>
      <c r="CR14">
        <f t="shared" si="59"/>
        <v>1.1336507555448856</v>
      </c>
      <c r="CW14">
        <v>9</v>
      </c>
      <c r="CX14">
        <v>9</v>
      </c>
      <c r="CY14">
        <f t="shared" si="60"/>
        <v>140</v>
      </c>
      <c r="CZ14">
        <f t="shared" si="20"/>
        <v>63.427341714803489</v>
      </c>
      <c r="DA14">
        <f t="shared" si="21"/>
        <v>25</v>
      </c>
      <c r="DB14">
        <f t="shared" si="61"/>
        <v>0.96273643674255183</v>
      </c>
      <c r="DG14">
        <v>7</v>
      </c>
      <c r="DH14">
        <v>9</v>
      </c>
      <c r="DI14">
        <f t="shared" si="62"/>
        <v>96</v>
      </c>
      <c r="DJ14">
        <f t="shared" si="22"/>
        <v>66.435986159169545</v>
      </c>
      <c r="DK14">
        <f t="shared" si="23"/>
        <v>30</v>
      </c>
      <c r="DL14">
        <f t="shared" si="63"/>
        <v>1.3725490196078425</v>
      </c>
      <c r="DQ14">
        <v>10</v>
      </c>
      <c r="DR14">
        <v>9</v>
      </c>
      <c r="DS14">
        <f t="shared" si="64"/>
        <v>149</v>
      </c>
      <c r="DT14">
        <f t="shared" si="24"/>
        <v>57.175748273215653</v>
      </c>
      <c r="DU14">
        <f t="shared" si="25"/>
        <v>26.47058823529412</v>
      </c>
      <c r="DV14">
        <f t="shared" si="65"/>
        <v>0.9593246354566406</v>
      </c>
      <c r="EA14">
        <v>8</v>
      </c>
      <c r="EB14">
        <v>9</v>
      </c>
      <c r="EC14">
        <f t="shared" si="66"/>
        <v>116</v>
      </c>
      <c r="ED14">
        <f t="shared" si="26"/>
        <v>59.183673469387756</v>
      </c>
      <c r="EE14">
        <f t="shared" si="27"/>
        <v>26.47058823529412</v>
      </c>
      <c r="EF14">
        <f t="shared" si="67"/>
        <v>1.0204081632653086</v>
      </c>
      <c r="EK14">
        <v>6</v>
      </c>
      <c r="EL14">
        <v>9</v>
      </c>
      <c r="EM14">
        <f t="shared" si="68"/>
        <v>98</v>
      </c>
      <c r="EN14">
        <f t="shared" si="28"/>
        <v>66.171505739365301</v>
      </c>
      <c r="EO14">
        <f t="shared" si="29"/>
        <v>26.47058823529412</v>
      </c>
      <c r="EP14">
        <f t="shared" si="69"/>
        <v>1.0128291694800815</v>
      </c>
      <c r="EU14">
        <v>5</v>
      </c>
      <c r="EV14">
        <v>9</v>
      </c>
      <c r="EW14">
        <f t="shared" si="70"/>
        <v>69</v>
      </c>
      <c r="EX14">
        <f t="shared" si="30"/>
        <v>65.063649222065081</v>
      </c>
      <c r="EY14">
        <f t="shared" si="31"/>
        <v>26.47058823529412</v>
      </c>
      <c r="EZ14">
        <f t="shared" si="71"/>
        <v>1.1786892975011796</v>
      </c>
      <c r="FE14">
        <v>15</v>
      </c>
      <c r="FF14">
        <v>9</v>
      </c>
      <c r="FG14">
        <f t="shared" si="72"/>
        <v>181</v>
      </c>
      <c r="FH14">
        <f t="shared" si="32"/>
        <v>60.942760942760941</v>
      </c>
      <c r="FI14">
        <f t="shared" si="33"/>
        <v>32.142857142857146</v>
      </c>
      <c r="FJ14">
        <f t="shared" si="73"/>
        <v>1.5331890331890314</v>
      </c>
      <c r="FO14">
        <v>8</v>
      </c>
      <c r="FP14">
        <v>9</v>
      </c>
      <c r="FQ14">
        <f t="shared" si="74"/>
        <v>102</v>
      </c>
      <c r="FR14">
        <f t="shared" si="34"/>
        <v>61.635144117469331</v>
      </c>
      <c r="FS14">
        <f t="shared" si="35"/>
        <v>27.27272727272727</v>
      </c>
      <c r="FT14">
        <f t="shared" si="75"/>
        <v>1.245154426615541</v>
      </c>
      <c r="FY14">
        <v>8</v>
      </c>
      <c r="FZ14">
        <v>9</v>
      </c>
      <c r="GA14">
        <f t="shared" si="76"/>
        <v>126</v>
      </c>
      <c r="GB14">
        <f t="shared" si="36"/>
        <v>66.333245590944983</v>
      </c>
      <c r="GC14">
        <f t="shared" si="37"/>
        <v>28.125</v>
      </c>
      <c r="GD14">
        <f t="shared" si="77"/>
        <v>1.1187154514345856</v>
      </c>
      <c r="GI14">
        <v>8</v>
      </c>
      <c r="GJ14">
        <v>9</v>
      </c>
      <c r="GK14">
        <f t="shared" si="78"/>
        <v>110</v>
      </c>
      <c r="GL14">
        <f t="shared" si="38"/>
        <v>70.086014654348531</v>
      </c>
      <c r="GM14">
        <f t="shared" si="39"/>
        <v>32.142857142857146</v>
      </c>
      <c r="GN14">
        <f t="shared" si="79"/>
        <v>1.5473535702908108</v>
      </c>
    </row>
    <row r="15" spans="1:199" x14ac:dyDescent="0.2">
      <c r="A15">
        <v>50</v>
      </c>
      <c r="B15">
        <v>10</v>
      </c>
      <c r="C15">
        <f t="shared" si="40"/>
        <v>740</v>
      </c>
      <c r="D15">
        <f t="shared" si="0"/>
        <v>73.339940535183345</v>
      </c>
      <c r="E15">
        <f t="shared" si="1"/>
        <v>34.482758620689658</v>
      </c>
      <c r="F15">
        <f t="shared" si="41"/>
        <v>1.6233211441850905</v>
      </c>
      <c r="K15">
        <v>35</v>
      </c>
      <c r="L15">
        <v>10</v>
      </c>
      <c r="M15">
        <f t="shared" si="42"/>
        <v>595</v>
      </c>
      <c r="N15">
        <f t="shared" si="2"/>
        <v>69.226294357184415</v>
      </c>
      <c r="O15">
        <f t="shared" si="3"/>
        <v>30.303030303030305</v>
      </c>
      <c r="P15">
        <f t="shared" si="43"/>
        <v>1.1722812769933195</v>
      </c>
      <c r="U15">
        <v>30</v>
      </c>
      <c r="V15">
        <v>10</v>
      </c>
      <c r="W15">
        <f t="shared" si="44"/>
        <v>592</v>
      </c>
      <c r="X15">
        <f t="shared" si="4"/>
        <v>71.359691417550636</v>
      </c>
      <c r="Y15">
        <f t="shared" si="5"/>
        <v>33.333333333333329</v>
      </c>
      <c r="Z15">
        <f t="shared" si="45"/>
        <v>1.1451301832208314</v>
      </c>
      <c r="AE15">
        <v>25</v>
      </c>
      <c r="AF15">
        <v>10</v>
      </c>
      <c r="AG15">
        <f t="shared" si="46"/>
        <v>600</v>
      </c>
      <c r="AH15">
        <f t="shared" si="6"/>
        <v>69.970845481049565</v>
      </c>
      <c r="AI15">
        <f t="shared" si="7"/>
        <v>30.303030303030305</v>
      </c>
      <c r="AJ15">
        <f t="shared" si="47"/>
        <v>0.83929675766410428</v>
      </c>
      <c r="AO15">
        <v>40</v>
      </c>
      <c r="AP15">
        <v>10</v>
      </c>
      <c r="AQ15">
        <f t="shared" si="48"/>
        <v>535</v>
      </c>
      <c r="AR15">
        <f t="shared" si="8"/>
        <v>60.503251342945994</v>
      </c>
      <c r="AS15">
        <f t="shared" si="9"/>
        <v>23.809523809523807</v>
      </c>
      <c r="AT15">
        <f t="shared" si="49"/>
        <v>1.0231969519501305</v>
      </c>
      <c r="AY15">
        <v>25</v>
      </c>
      <c r="AZ15">
        <v>10</v>
      </c>
      <c r="BA15">
        <f t="shared" si="50"/>
        <v>480</v>
      </c>
      <c r="BB15">
        <f t="shared" si="10"/>
        <v>69.064748201438846</v>
      </c>
      <c r="BC15">
        <f t="shared" si="11"/>
        <v>27.027027027027028</v>
      </c>
      <c r="BD15">
        <f t="shared" si="51"/>
        <v>0.92358545595955566</v>
      </c>
      <c r="BI15">
        <v>7</v>
      </c>
      <c r="BJ15">
        <v>10</v>
      </c>
      <c r="BK15">
        <f t="shared" si="52"/>
        <v>103</v>
      </c>
      <c r="BL15">
        <f t="shared" si="12"/>
        <v>64.657878217200249</v>
      </c>
      <c r="BM15">
        <f t="shared" si="13"/>
        <v>34.482758620689658</v>
      </c>
      <c r="BN15">
        <f t="shared" si="53"/>
        <v>1.4394874126025505</v>
      </c>
      <c r="BS15">
        <v>15</v>
      </c>
      <c r="BT15">
        <v>10</v>
      </c>
      <c r="BU15">
        <f t="shared" si="54"/>
        <v>211</v>
      </c>
      <c r="BV15">
        <f t="shared" si="14"/>
        <v>55.344262295081968</v>
      </c>
      <c r="BW15">
        <f t="shared" si="15"/>
        <v>25.641025641025639</v>
      </c>
      <c r="BX15">
        <f t="shared" si="55"/>
        <v>0.95838587641866524</v>
      </c>
      <c r="CC15">
        <v>10</v>
      </c>
      <c r="CD15">
        <v>10</v>
      </c>
      <c r="CE15">
        <f t="shared" si="56"/>
        <v>218</v>
      </c>
      <c r="CF15">
        <f t="shared" si="16"/>
        <v>71.651602300739526</v>
      </c>
      <c r="CG15">
        <f t="shared" si="17"/>
        <v>32.258064516129032</v>
      </c>
      <c r="CH15">
        <f t="shared" si="57"/>
        <v>1.0072361968881713</v>
      </c>
      <c r="CM15">
        <v>8</v>
      </c>
      <c r="CN15">
        <v>10</v>
      </c>
      <c r="CO15">
        <f t="shared" si="58"/>
        <v>123</v>
      </c>
      <c r="CP15">
        <f t="shared" si="18"/>
        <v>59.056535830032416</v>
      </c>
      <c r="CQ15">
        <f t="shared" si="19"/>
        <v>27.777777777777779</v>
      </c>
      <c r="CR15">
        <f t="shared" si="59"/>
        <v>1.0136171461342502</v>
      </c>
      <c r="CW15">
        <v>8</v>
      </c>
      <c r="CX15">
        <v>10</v>
      </c>
      <c r="CY15">
        <f t="shared" si="60"/>
        <v>148</v>
      </c>
      <c r="CZ15">
        <f t="shared" si="20"/>
        <v>67.051761241363693</v>
      </c>
      <c r="DA15">
        <f t="shared" si="21"/>
        <v>27.777777777777779</v>
      </c>
      <c r="DB15">
        <f t="shared" si="61"/>
        <v>0.95644404173116471</v>
      </c>
      <c r="DG15">
        <v>6</v>
      </c>
      <c r="DH15">
        <v>10</v>
      </c>
      <c r="DI15">
        <f t="shared" si="62"/>
        <v>102</v>
      </c>
      <c r="DJ15">
        <f t="shared" si="22"/>
        <v>70.588235294117652</v>
      </c>
      <c r="DK15">
        <f t="shared" si="23"/>
        <v>33.333333333333329</v>
      </c>
      <c r="DL15">
        <f t="shared" si="63"/>
        <v>1.3148788927335673</v>
      </c>
      <c r="DQ15">
        <v>10</v>
      </c>
      <c r="DR15">
        <v>10</v>
      </c>
      <c r="DS15">
        <f t="shared" si="64"/>
        <v>159</v>
      </c>
      <c r="DT15">
        <f t="shared" si="24"/>
        <v>61.013046815042202</v>
      </c>
      <c r="DU15">
        <f t="shared" si="25"/>
        <v>29.411764705882355</v>
      </c>
      <c r="DV15">
        <f t="shared" si="65"/>
        <v>1.0721863572750652</v>
      </c>
      <c r="EA15">
        <v>8</v>
      </c>
      <c r="EB15">
        <v>10</v>
      </c>
      <c r="EC15">
        <f t="shared" si="66"/>
        <v>124</v>
      </c>
      <c r="ED15">
        <f t="shared" si="26"/>
        <v>63.265306122448983</v>
      </c>
      <c r="EE15">
        <f t="shared" si="27"/>
        <v>29.411764705882355</v>
      </c>
      <c r="EF15">
        <f t="shared" si="67"/>
        <v>1.1404561824729902</v>
      </c>
      <c r="EK15">
        <v>5</v>
      </c>
      <c r="EL15">
        <v>10</v>
      </c>
      <c r="EM15">
        <f t="shared" si="68"/>
        <v>103</v>
      </c>
      <c r="EN15">
        <f t="shared" si="28"/>
        <v>69.547602970965571</v>
      </c>
      <c r="EO15">
        <f t="shared" si="29"/>
        <v>29.411764705882355</v>
      </c>
      <c r="EP15">
        <f t="shared" si="69"/>
        <v>0.94332128530007542</v>
      </c>
      <c r="EU15">
        <v>4.5</v>
      </c>
      <c r="EV15">
        <v>10</v>
      </c>
      <c r="EW15">
        <f t="shared" si="70"/>
        <v>73.5</v>
      </c>
      <c r="EX15">
        <f t="shared" si="30"/>
        <v>69.306930693069319</v>
      </c>
      <c r="EY15">
        <f t="shared" si="31"/>
        <v>29.411764705882355</v>
      </c>
      <c r="EZ15">
        <f t="shared" si="71"/>
        <v>1.1856227639570667</v>
      </c>
      <c r="FE15">
        <v>15</v>
      </c>
      <c r="FF15">
        <v>10</v>
      </c>
      <c r="FG15">
        <f t="shared" si="72"/>
        <v>196</v>
      </c>
      <c r="FH15">
        <f t="shared" si="32"/>
        <v>65.993265993265993</v>
      </c>
      <c r="FI15">
        <f t="shared" si="33"/>
        <v>35.714285714285715</v>
      </c>
      <c r="FJ15">
        <f t="shared" si="73"/>
        <v>1.7135642135642142</v>
      </c>
      <c r="FO15">
        <v>7</v>
      </c>
      <c r="FP15">
        <v>10</v>
      </c>
      <c r="FQ15">
        <f t="shared" si="74"/>
        <v>109</v>
      </c>
      <c r="FR15">
        <f t="shared" si="34"/>
        <v>65.865006949060373</v>
      </c>
      <c r="FS15">
        <f t="shared" si="35"/>
        <v>30.303030303030305</v>
      </c>
      <c r="FT15">
        <f t="shared" si="75"/>
        <v>1.2176877848519667</v>
      </c>
      <c r="FY15">
        <v>8</v>
      </c>
      <c r="FZ15">
        <v>10</v>
      </c>
      <c r="GA15">
        <f t="shared" si="76"/>
        <v>134</v>
      </c>
      <c r="GB15">
        <f t="shared" si="36"/>
        <v>70.544880231639908</v>
      </c>
      <c r="GC15">
        <f t="shared" si="37"/>
        <v>31.25</v>
      </c>
      <c r="GD15">
        <f t="shared" si="77"/>
        <v>1.2503290339563058</v>
      </c>
      <c r="GI15">
        <v>8</v>
      </c>
      <c r="GJ15">
        <v>10</v>
      </c>
      <c r="GK15">
        <f t="shared" si="78"/>
        <v>118</v>
      </c>
      <c r="GL15">
        <f t="shared" si="38"/>
        <v>75.183179356482967</v>
      </c>
      <c r="GM15">
        <f t="shared" si="39"/>
        <v>35.714285714285715</v>
      </c>
      <c r="GN15">
        <f t="shared" si="79"/>
        <v>1.729395166795612</v>
      </c>
    </row>
    <row r="16" spans="1:199" x14ac:dyDescent="0.2">
      <c r="A16">
        <v>40</v>
      </c>
      <c r="B16">
        <v>11</v>
      </c>
      <c r="C16">
        <f t="shared" si="40"/>
        <v>780</v>
      </c>
      <c r="D16">
        <f t="shared" si="0"/>
        <v>77.304261645193264</v>
      </c>
      <c r="E16">
        <f t="shared" si="1"/>
        <v>37.931034482758619</v>
      </c>
      <c r="F16">
        <f t="shared" si="41"/>
        <v>1.4353576432794537</v>
      </c>
      <c r="K16">
        <v>30</v>
      </c>
      <c r="L16">
        <v>11</v>
      </c>
      <c r="M16">
        <f t="shared" si="42"/>
        <v>625</v>
      </c>
      <c r="N16">
        <f t="shared" si="2"/>
        <v>72.716695753344979</v>
      </c>
      <c r="O16">
        <f t="shared" si="3"/>
        <v>33.333333333333329</v>
      </c>
      <c r="P16">
        <f t="shared" si="43"/>
        <v>1.110582262414725</v>
      </c>
      <c r="U16">
        <v>28</v>
      </c>
      <c r="V16">
        <v>11</v>
      </c>
      <c r="W16">
        <f t="shared" si="44"/>
        <v>620</v>
      </c>
      <c r="X16">
        <f t="shared" si="4"/>
        <v>74.734811957569917</v>
      </c>
      <c r="Y16">
        <f t="shared" si="5"/>
        <v>36.666666666666664</v>
      </c>
      <c r="Z16">
        <f t="shared" si="45"/>
        <v>1.1812921890067485</v>
      </c>
      <c r="AE16">
        <v>25</v>
      </c>
      <c r="AF16">
        <v>11</v>
      </c>
      <c r="AG16">
        <f t="shared" si="46"/>
        <v>625</v>
      </c>
      <c r="AH16">
        <f t="shared" si="6"/>
        <v>72.886297376093296</v>
      </c>
      <c r="AI16">
        <f t="shared" si="7"/>
        <v>33.333333333333329</v>
      </c>
      <c r="AJ16">
        <f t="shared" si="47"/>
        <v>0.92764378478664156</v>
      </c>
      <c r="AO16">
        <v>32</v>
      </c>
      <c r="AP16">
        <v>11</v>
      </c>
      <c r="AQ16">
        <f t="shared" si="48"/>
        <v>567</v>
      </c>
      <c r="AR16">
        <f t="shared" si="8"/>
        <v>64.122137404580144</v>
      </c>
      <c r="AS16">
        <f t="shared" si="9"/>
        <v>26.190476190476193</v>
      </c>
      <c r="AT16">
        <f t="shared" si="49"/>
        <v>0.90472151540853762</v>
      </c>
      <c r="AY16">
        <v>20</v>
      </c>
      <c r="AZ16">
        <v>11</v>
      </c>
      <c r="BA16">
        <f t="shared" si="50"/>
        <v>500</v>
      </c>
      <c r="BB16">
        <f t="shared" si="10"/>
        <v>71.942446043165461</v>
      </c>
      <c r="BC16">
        <f t="shared" si="11"/>
        <v>29.72972972972973</v>
      </c>
      <c r="BD16">
        <f t="shared" si="51"/>
        <v>0.81664398211160705</v>
      </c>
      <c r="BI16">
        <v>7</v>
      </c>
      <c r="BJ16">
        <v>11</v>
      </c>
      <c r="BK16">
        <f t="shared" si="52"/>
        <v>110</v>
      </c>
      <c r="BL16">
        <f t="shared" si="12"/>
        <v>69.052102950408027</v>
      </c>
      <c r="BM16">
        <f t="shared" si="13"/>
        <v>37.931034482758619</v>
      </c>
      <c r="BN16">
        <f t="shared" si="53"/>
        <v>1.5910124034028166</v>
      </c>
      <c r="BS16">
        <v>15</v>
      </c>
      <c r="BT16">
        <v>11</v>
      </c>
      <c r="BU16">
        <f t="shared" si="54"/>
        <v>226</v>
      </c>
      <c r="BV16">
        <f t="shared" si="14"/>
        <v>59.278688524590159</v>
      </c>
      <c r="BW16">
        <f t="shared" si="15"/>
        <v>28.205128205128204</v>
      </c>
      <c r="BX16">
        <f t="shared" si="55"/>
        <v>1.0592686002522049</v>
      </c>
      <c r="CC16">
        <v>10</v>
      </c>
      <c r="CD16">
        <v>11</v>
      </c>
      <c r="CE16">
        <f t="shared" si="56"/>
        <v>228</v>
      </c>
      <c r="CF16">
        <f t="shared" si="16"/>
        <v>74.93837304847986</v>
      </c>
      <c r="CG16">
        <f t="shared" si="17"/>
        <v>35.483870967741936</v>
      </c>
      <c r="CH16">
        <f t="shared" si="57"/>
        <v>1.1132610597185004</v>
      </c>
      <c r="CM16">
        <v>8</v>
      </c>
      <c r="CN16">
        <v>11</v>
      </c>
      <c r="CO16">
        <f t="shared" si="58"/>
        <v>131</v>
      </c>
      <c r="CP16">
        <f t="shared" si="18"/>
        <v>62.897611331172733</v>
      </c>
      <c r="CQ16">
        <f t="shared" si="19"/>
        <v>30.555555555555557</v>
      </c>
      <c r="CR16">
        <f t="shared" si="59"/>
        <v>1.1203136878325923</v>
      </c>
      <c r="CW16">
        <v>7</v>
      </c>
      <c r="CX16">
        <v>11</v>
      </c>
      <c r="CY16">
        <f t="shared" si="60"/>
        <v>155</v>
      </c>
      <c r="CZ16">
        <f t="shared" si="20"/>
        <v>70.223128327103865</v>
      </c>
      <c r="DA16">
        <f t="shared" si="21"/>
        <v>30.555555555555557</v>
      </c>
      <c r="DB16">
        <f t="shared" si="61"/>
        <v>0.92498206667421701</v>
      </c>
      <c r="DG16">
        <v>5</v>
      </c>
      <c r="DH16">
        <v>11</v>
      </c>
      <c r="DI16">
        <f t="shared" si="62"/>
        <v>107</v>
      </c>
      <c r="DJ16">
        <f t="shared" si="22"/>
        <v>74.048442906574394</v>
      </c>
      <c r="DK16">
        <f t="shared" si="23"/>
        <v>36.666666666666664</v>
      </c>
      <c r="DL16">
        <f t="shared" si="63"/>
        <v>1.2110726643598597</v>
      </c>
      <c r="DQ16">
        <v>10</v>
      </c>
      <c r="DR16">
        <v>11</v>
      </c>
      <c r="DS16">
        <f t="shared" si="64"/>
        <v>169</v>
      </c>
      <c r="DT16">
        <f t="shared" si="24"/>
        <v>64.850345356868758</v>
      </c>
      <c r="DU16">
        <f t="shared" si="25"/>
        <v>32.352941176470587</v>
      </c>
      <c r="DV16">
        <f t="shared" si="65"/>
        <v>1.1850480790934952</v>
      </c>
      <c r="EA16">
        <v>7</v>
      </c>
      <c r="EB16">
        <v>11</v>
      </c>
      <c r="EC16">
        <f t="shared" si="66"/>
        <v>131</v>
      </c>
      <c r="ED16">
        <f t="shared" si="26"/>
        <v>66.83673469387756</v>
      </c>
      <c r="EE16">
        <f t="shared" si="27"/>
        <v>32.352941176470587</v>
      </c>
      <c r="EF16">
        <f t="shared" si="67"/>
        <v>1.1029411764705899</v>
      </c>
      <c r="EK16">
        <v>5</v>
      </c>
      <c r="EL16">
        <v>11</v>
      </c>
      <c r="EM16">
        <f t="shared" si="68"/>
        <v>108</v>
      </c>
      <c r="EN16">
        <f t="shared" si="28"/>
        <v>72.92370020256584</v>
      </c>
      <c r="EO16">
        <f t="shared" si="29"/>
        <v>32.352941176470587</v>
      </c>
      <c r="EP16">
        <f t="shared" si="69"/>
        <v>1.0426182627000831</v>
      </c>
      <c r="EU16">
        <v>4</v>
      </c>
      <c r="EV16">
        <v>11</v>
      </c>
      <c r="EW16">
        <f t="shared" si="70"/>
        <v>77.5</v>
      </c>
      <c r="EX16">
        <f t="shared" si="30"/>
        <v>73.078736445073091</v>
      </c>
      <c r="EY16">
        <f t="shared" si="31"/>
        <v>32.352941176470587</v>
      </c>
      <c r="EZ16">
        <f t="shared" si="71"/>
        <v>1.1648223645894</v>
      </c>
      <c r="FE16">
        <v>12</v>
      </c>
      <c r="FF16">
        <v>11</v>
      </c>
      <c r="FG16">
        <f t="shared" si="72"/>
        <v>208</v>
      </c>
      <c r="FH16">
        <f t="shared" si="32"/>
        <v>70.033670033670035</v>
      </c>
      <c r="FI16">
        <f t="shared" si="33"/>
        <v>39.285714285714285</v>
      </c>
      <c r="FJ16">
        <f t="shared" si="73"/>
        <v>1.5151515151515156</v>
      </c>
      <c r="FO16">
        <v>7</v>
      </c>
      <c r="FP16">
        <v>11</v>
      </c>
      <c r="FQ16">
        <f t="shared" si="74"/>
        <v>116</v>
      </c>
      <c r="FR16">
        <f t="shared" si="34"/>
        <v>70.094869780651393</v>
      </c>
      <c r="FS16">
        <f t="shared" si="35"/>
        <v>33.333333333333329</v>
      </c>
      <c r="FT16">
        <f t="shared" si="75"/>
        <v>1.3458654464153248</v>
      </c>
      <c r="FY16">
        <v>7.5</v>
      </c>
      <c r="FZ16">
        <v>11</v>
      </c>
      <c r="GA16">
        <f t="shared" si="76"/>
        <v>141.5</v>
      </c>
      <c r="GB16">
        <f t="shared" si="36"/>
        <v>74.493287707291401</v>
      </c>
      <c r="GC16">
        <f t="shared" si="37"/>
        <v>34.375</v>
      </c>
      <c r="GD16">
        <f t="shared" si="77"/>
        <v>1.2955712029481461</v>
      </c>
      <c r="GI16">
        <v>5</v>
      </c>
      <c r="GJ16">
        <v>11</v>
      </c>
      <c r="GK16">
        <f t="shared" si="78"/>
        <v>123</v>
      </c>
      <c r="GL16">
        <f t="shared" si="38"/>
        <v>78.368907295316987</v>
      </c>
      <c r="GM16">
        <f t="shared" si="39"/>
        <v>39.285714285714285</v>
      </c>
      <c r="GN16">
        <f t="shared" si="79"/>
        <v>1.1946479770627576</v>
      </c>
    </row>
    <row r="17" spans="1:196" x14ac:dyDescent="0.2">
      <c r="A17">
        <v>40</v>
      </c>
      <c r="B17">
        <v>12</v>
      </c>
      <c r="C17">
        <f t="shared" si="40"/>
        <v>820</v>
      </c>
      <c r="D17">
        <f t="shared" si="0"/>
        <v>81.26858275520317</v>
      </c>
      <c r="E17">
        <f t="shared" si="1"/>
        <v>41.379310344827587</v>
      </c>
      <c r="F17">
        <f t="shared" si="41"/>
        <v>1.5720583712108245</v>
      </c>
      <c r="K17">
        <v>30</v>
      </c>
      <c r="L17">
        <v>12</v>
      </c>
      <c r="M17">
        <f t="shared" si="42"/>
        <v>655</v>
      </c>
      <c r="N17">
        <f t="shared" si="2"/>
        <v>76.207097149505529</v>
      </c>
      <c r="O17">
        <f t="shared" si="3"/>
        <v>36.363636363636367</v>
      </c>
      <c r="P17">
        <f t="shared" si="43"/>
        <v>1.2163520016923126</v>
      </c>
      <c r="U17">
        <v>25</v>
      </c>
      <c r="V17">
        <v>12</v>
      </c>
      <c r="W17">
        <f t="shared" si="44"/>
        <v>645</v>
      </c>
      <c r="X17">
        <f t="shared" si="4"/>
        <v>77.748312439729986</v>
      </c>
      <c r="Y17">
        <f t="shared" si="5"/>
        <v>40</v>
      </c>
      <c r="Z17">
        <f t="shared" si="45"/>
        <v>1.1551751848280263</v>
      </c>
      <c r="AE17">
        <v>25</v>
      </c>
      <c r="AF17">
        <v>12</v>
      </c>
      <c r="AG17">
        <f t="shared" si="46"/>
        <v>650</v>
      </c>
      <c r="AH17">
        <f t="shared" si="6"/>
        <v>75.801749271137027</v>
      </c>
      <c r="AI17">
        <f t="shared" si="7"/>
        <v>36.363636363636367</v>
      </c>
      <c r="AJ17">
        <f t="shared" si="47"/>
        <v>1.0159908119091787</v>
      </c>
      <c r="AO17">
        <v>30</v>
      </c>
      <c r="AP17">
        <v>12</v>
      </c>
      <c r="AQ17">
        <f t="shared" si="48"/>
        <v>597</v>
      </c>
      <c r="AR17">
        <f t="shared" si="8"/>
        <v>67.514843087362181</v>
      </c>
      <c r="AS17">
        <f t="shared" si="9"/>
        <v>28.571428571428569</v>
      </c>
      <c r="AT17">
        <f t="shared" si="49"/>
        <v>0.9289551274284148</v>
      </c>
      <c r="AY17">
        <v>20</v>
      </c>
      <c r="AZ17">
        <v>12</v>
      </c>
      <c r="BA17">
        <f t="shared" si="50"/>
        <v>520</v>
      </c>
      <c r="BB17">
        <f t="shared" si="10"/>
        <v>74.82014388489209</v>
      </c>
      <c r="BC17">
        <f t="shared" si="11"/>
        <v>32.432432432432435</v>
      </c>
      <c r="BD17">
        <f t="shared" si="51"/>
        <v>0.89441959945557403</v>
      </c>
      <c r="BI17">
        <v>6</v>
      </c>
      <c r="BJ17">
        <v>12</v>
      </c>
      <c r="BK17">
        <f t="shared" si="52"/>
        <v>116</v>
      </c>
      <c r="BL17">
        <f t="shared" si="12"/>
        <v>72.818581293157564</v>
      </c>
      <c r="BM17">
        <f t="shared" si="13"/>
        <v>41.379310344827587</v>
      </c>
      <c r="BN17">
        <f t="shared" si="53"/>
        <v>1.4936034807455059</v>
      </c>
      <c r="BS17">
        <v>15</v>
      </c>
      <c r="BT17">
        <v>12</v>
      </c>
      <c r="BU17">
        <f t="shared" si="54"/>
        <v>241</v>
      </c>
      <c r="BV17">
        <f t="shared" si="14"/>
        <v>63.213114754098363</v>
      </c>
      <c r="BW17">
        <f t="shared" si="15"/>
        <v>30.76923076923077</v>
      </c>
      <c r="BX17">
        <f t="shared" si="55"/>
        <v>1.1601513240857526</v>
      </c>
      <c r="CC17">
        <v>10</v>
      </c>
      <c r="CD17">
        <v>12</v>
      </c>
      <c r="CE17">
        <f t="shared" si="56"/>
        <v>238</v>
      </c>
      <c r="CF17">
        <f t="shared" si="16"/>
        <v>78.225143796220209</v>
      </c>
      <c r="CG17">
        <f t="shared" si="17"/>
        <v>38.70967741935484</v>
      </c>
      <c r="CH17">
        <f t="shared" si="57"/>
        <v>1.2192859225488388</v>
      </c>
      <c r="CM17">
        <v>7</v>
      </c>
      <c r="CN17">
        <v>12</v>
      </c>
      <c r="CO17">
        <f t="shared" si="58"/>
        <v>138</v>
      </c>
      <c r="CP17">
        <f t="shared" si="18"/>
        <v>66.258552394670517</v>
      </c>
      <c r="CQ17">
        <f t="shared" si="19"/>
        <v>33.333333333333329</v>
      </c>
      <c r="CR17">
        <f t="shared" si="59"/>
        <v>1.0736339508395696</v>
      </c>
      <c r="CW17">
        <v>7</v>
      </c>
      <c r="CX17">
        <v>12</v>
      </c>
      <c r="CY17">
        <f t="shared" si="60"/>
        <v>162</v>
      </c>
      <c r="CZ17">
        <f t="shared" si="20"/>
        <v>73.394495412844037</v>
      </c>
      <c r="DA17">
        <f t="shared" si="21"/>
        <v>33.333333333333329</v>
      </c>
      <c r="DB17">
        <f t="shared" si="61"/>
        <v>1.013075596833666</v>
      </c>
      <c r="DG17">
        <v>4.5</v>
      </c>
      <c r="DH17">
        <v>12</v>
      </c>
      <c r="DI17">
        <f t="shared" si="62"/>
        <v>111.5</v>
      </c>
      <c r="DJ17">
        <f t="shared" si="22"/>
        <v>77.162629757785467</v>
      </c>
      <c r="DK17">
        <f t="shared" si="23"/>
        <v>40</v>
      </c>
      <c r="DL17">
        <f t="shared" si="63"/>
        <v>1.1937716262975779</v>
      </c>
      <c r="DQ17">
        <v>9</v>
      </c>
      <c r="DR17">
        <v>12</v>
      </c>
      <c r="DS17">
        <f t="shared" si="64"/>
        <v>178</v>
      </c>
      <c r="DT17">
        <f t="shared" si="24"/>
        <v>68.303914044512652</v>
      </c>
      <c r="DU17">
        <f t="shared" si="25"/>
        <v>35.294117647058826</v>
      </c>
      <c r="DV17">
        <f t="shared" si="65"/>
        <v>1.1681188208207292</v>
      </c>
      <c r="EA17">
        <v>6</v>
      </c>
      <c r="EB17">
        <v>12</v>
      </c>
      <c r="EC17">
        <f t="shared" si="66"/>
        <v>137</v>
      </c>
      <c r="ED17">
        <f t="shared" si="26"/>
        <v>69.897959183673478</v>
      </c>
      <c r="EE17">
        <f t="shared" si="27"/>
        <v>35.294117647058826</v>
      </c>
      <c r="EF17">
        <f t="shared" si="67"/>
        <v>1.0354141656662668</v>
      </c>
      <c r="EK17">
        <v>5</v>
      </c>
      <c r="EL17">
        <v>12</v>
      </c>
      <c r="EM17">
        <f t="shared" si="68"/>
        <v>113</v>
      </c>
      <c r="EN17">
        <f t="shared" si="28"/>
        <v>76.299797434166109</v>
      </c>
      <c r="EO17">
        <f t="shared" si="29"/>
        <v>35.294117647058826</v>
      </c>
      <c r="EP17">
        <f t="shared" si="69"/>
        <v>1.1419152401000912</v>
      </c>
      <c r="EU17">
        <v>3.5</v>
      </c>
      <c r="EV17">
        <v>12</v>
      </c>
      <c r="EW17">
        <f t="shared" si="70"/>
        <v>81</v>
      </c>
      <c r="EX17">
        <f t="shared" si="30"/>
        <v>76.379066478076396</v>
      </c>
      <c r="EY17">
        <f t="shared" si="31"/>
        <v>35.294117647058826</v>
      </c>
      <c r="EZ17">
        <f t="shared" si="71"/>
        <v>1.116288099398177</v>
      </c>
      <c r="FE17">
        <v>12</v>
      </c>
      <c r="FF17">
        <v>12</v>
      </c>
      <c r="FG17">
        <f t="shared" si="72"/>
        <v>220</v>
      </c>
      <c r="FH17">
        <f t="shared" si="32"/>
        <v>74.074074074074076</v>
      </c>
      <c r="FI17">
        <f t="shared" si="33"/>
        <v>42.857142857142854</v>
      </c>
      <c r="FJ17">
        <f t="shared" si="73"/>
        <v>1.65945165945166</v>
      </c>
      <c r="FO17">
        <v>7</v>
      </c>
      <c r="FP17">
        <v>12</v>
      </c>
      <c r="FQ17">
        <f t="shared" si="74"/>
        <v>123</v>
      </c>
      <c r="FR17">
        <f t="shared" si="34"/>
        <v>74.324732612242428</v>
      </c>
      <c r="FS17">
        <f t="shared" si="35"/>
        <v>36.363636363636367</v>
      </c>
      <c r="FT17">
        <f t="shared" si="75"/>
        <v>1.4740431079786938</v>
      </c>
      <c r="FY17">
        <v>7</v>
      </c>
      <c r="FZ17">
        <v>12</v>
      </c>
      <c r="GA17">
        <f t="shared" si="76"/>
        <v>148.5</v>
      </c>
      <c r="GB17">
        <f t="shared" si="36"/>
        <v>78.178468017899448</v>
      </c>
      <c r="GC17">
        <f t="shared" si="37"/>
        <v>37.5</v>
      </c>
      <c r="GD17">
        <f t="shared" si="77"/>
        <v>1.324361674124767</v>
      </c>
      <c r="GI17">
        <v>4.5</v>
      </c>
      <c r="GJ17">
        <v>12</v>
      </c>
      <c r="GK17">
        <f t="shared" si="78"/>
        <v>127.5</v>
      </c>
      <c r="GL17">
        <f t="shared" si="38"/>
        <v>81.236062440267602</v>
      </c>
      <c r="GM17">
        <f t="shared" si="39"/>
        <v>42.857142857142854</v>
      </c>
      <c r="GN17">
        <f t="shared" si="79"/>
        <v>1.1775815773904312</v>
      </c>
    </row>
    <row r="18" spans="1:196" x14ac:dyDescent="0.2">
      <c r="A18">
        <v>35</v>
      </c>
      <c r="B18">
        <v>13</v>
      </c>
      <c r="C18">
        <f t="shared" si="40"/>
        <v>855</v>
      </c>
      <c r="D18">
        <f t="shared" si="0"/>
        <v>84.737363726461851</v>
      </c>
      <c r="E18">
        <f t="shared" si="1"/>
        <v>44.827586206896555</v>
      </c>
      <c r="F18">
        <f t="shared" si="41"/>
        <v>1.4951642117494317</v>
      </c>
      <c r="K18">
        <v>35</v>
      </c>
      <c r="L18">
        <v>13</v>
      </c>
      <c r="M18">
        <f t="shared" si="42"/>
        <v>690</v>
      </c>
      <c r="N18">
        <f t="shared" si="2"/>
        <v>80.279232111692849</v>
      </c>
      <c r="O18">
        <f t="shared" si="3"/>
        <v>39.393939393939391</v>
      </c>
      <c r="P18">
        <f t="shared" si="43"/>
        <v>1.5424753644648939</v>
      </c>
      <c r="U18">
        <v>25</v>
      </c>
      <c r="V18">
        <v>13</v>
      </c>
      <c r="W18">
        <f t="shared" si="44"/>
        <v>670</v>
      </c>
      <c r="X18">
        <f t="shared" si="4"/>
        <v>80.761812921890069</v>
      </c>
      <c r="Y18">
        <f t="shared" si="5"/>
        <v>43.333333333333336</v>
      </c>
      <c r="Z18">
        <f t="shared" si="45"/>
        <v>1.2556252009000348</v>
      </c>
      <c r="AE18">
        <v>25</v>
      </c>
      <c r="AF18">
        <v>13</v>
      </c>
      <c r="AG18">
        <f t="shared" si="46"/>
        <v>675</v>
      </c>
      <c r="AH18">
        <f t="shared" si="6"/>
        <v>78.717201166180757</v>
      </c>
      <c r="AI18">
        <f t="shared" si="7"/>
        <v>39.393939393939391</v>
      </c>
      <c r="AJ18">
        <f t="shared" si="47"/>
        <v>1.104337839031716</v>
      </c>
      <c r="AO18">
        <v>25</v>
      </c>
      <c r="AP18">
        <v>13</v>
      </c>
      <c r="AQ18">
        <f t="shared" si="48"/>
        <v>622</v>
      </c>
      <c r="AR18">
        <f t="shared" si="8"/>
        <v>70.342097823013845</v>
      </c>
      <c r="AS18">
        <f t="shared" si="9"/>
        <v>30.952380952380953</v>
      </c>
      <c r="AT18">
        <f t="shared" si="49"/>
        <v>0.84144486180109046</v>
      </c>
      <c r="AY18">
        <v>18</v>
      </c>
      <c r="AZ18">
        <v>13</v>
      </c>
      <c r="BA18">
        <f t="shared" si="50"/>
        <v>538</v>
      </c>
      <c r="BB18">
        <f t="shared" si="10"/>
        <v>77.410071942446052</v>
      </c>
      <c r="BC18">
        <f t="shared" si="11"/>
        <v>35.135135135135137</v>
      </c>
      <c r="BD18">
        <f t="shared" si="51"/>
        <v>0.87497569511958195</v>
      </c>
      <c r="BI18">
        <v>5</v>
      </c>
      <c r="BJ18">
        <v>13</v>
      </c>
      <c r="BK18">
        <f t="shared" si="52"/>
        <v>121</v>
      </c>
      <c r="BL18">
        <f t="shared" si="12"/>
        <v>75.95731324544883</v>
      </c>
      <c r="BM18">
        <f t="shared" si="13"/>
        <v>44.827586206896555</v>
      </c>
      <c r="BN18">
        <f t="shared" si="53"/>
        <v>1.3529017035738218</v>
      </c>
      <c r="BS18">
        <v>12</v>
      </c>
      <c r="BT18">
        <v>13</v>
      </c>
      <c r="BU18">
        <f t="shared" si="54"/>
        <v>253</v>
      </c>
      <c r="BV18">
        <f t="shared" si="14"/>
        <v>66.360655737704917</v>
      </c>
      <c r="BW18">
        <f t="shared" si="15"/>
        <v>33.333333333333329</v>
      </c>
      <c r="BX18">
        <f t="shared" si="55"/>
        <v>1.008827238335434</v>
      </c>
      <c r="CC18">
        <v>10</v>
      </c>
      <c r="CD18">
        <v>13</v>
      </c>
      <c r="CE18">
        <f t="shared" si="56"/>
        <v>248</v>
      </c>
      <c r="CF18">
        <f t="shared" si="16"/>
        <v>81.511914543960557</v>
      </c>
      <c r="CG18">
        <f t="shared" si="17"/>
        <v>41.935483870967744</v>
      </c>
      <c r="CH18">
        <f t="shared" si="57"/>
        <v>1.325310785379173</v>
      </c>
      <c r="CM18">
        <v>7</v>
      </c>
      <c r="CN18">
        <v>13</v>
      </c>
      <c r="CO18">
        <f t="shared" si="58"/>
        <v>145</v>
      </c>
      <c r="CP18">
        <f t="shared" si="18"/>
        <v>69.619493458168293</v>
      </c>
      <c r="CQ18">
        <f t="shared" si="19"/>
        <v>36.111111111111107</v>
      </c>
      <c r="CR18">
        <f t="shared" si="59"/>
        <v>1.1669934248256164</v>
      </c>
      <c r="CW18">
        <v>6</v>
      </c>
      <c r="CX18">
        <v>13</v>
      </c>
      <c r="CY18">
        <f t="shared" si="60"/>
        <v>168</v>
      </c>
      <c r="CZ18">
        <f t="shared" si="20"/>
        <v>76.112810057764193</v>
      </c>
      <c r="DA18">
        <f t="shared" si="21"/>
        <v>36.111111111111107</v>
      </c>
      <c r="DB18">
        <f t="shared" si="61"/>
        <v>0.94385925170838714</v>
      </c>
      <c r="DG18">
        <v>4</v>
      </c>
      <c r="DH18">
        <v>13</v>
      </c>
      <c r="DI18">
        <f t="shared" si="62"/>
        <v>115.5</v>
      </c>
      <c r="DJ18">
        <f t="shared" si="22"/>
        <v>79.930795847750872</v>
      </c>
      <c r="DK18">
        <f t="shared" si="23"/>
        <v>43.333333333333336</v>
      </c>
      <c r="DL18">
        <f t="shared" si="63"/>
        <v>1.1534025374855856</v>
      </c>
      <c r="DQ18">
        <v>8</v>
      </c>
      <c r="DR18">
        <v>13</v>
      </c>
      <c r="DS18">
        <f t="shared" si="64"/>
        <v>186</v>
      </c>
      <c r="DT18">
        <f t="shared" si="24"/>
        <v>71.373752877973899</v>
      </c>
      <c r="DU18">
        <f t="shared" si="25"/>
        <v>38.235294117647058</v>
      </c>
      <c r="DV18">
        <f t="shared" si="65"/>
        <v>1.1286172181842822</v>
      </c>
      <c r="EA18">
        <v>6</v>
      </c>
      <c r="EB18">
        <v>13</v>
      </c>
      <c r="EC18">
        <f t="shared" si="66"/>
        <v>143</v>
      </c>
      <c r="ED18">
        <f t="shared" si="26"/>
        <v>72.959183673469383</v>
      </c>
      <c r="EE18">
        <f t="shared" si="27"/>
        <v>38.235294117647058</v>
      </c>
      <c r="EF18">
        <f t="shared" si="67"/>
        <v>1.1254501800720238</v>
      </c>
      <c r="EK18">
        <v>4.5</v>
      </c>
      <c r="EL18">
        <v>13</v>
      </c>
      <c r="EM18">
        <f t="shared" si="68"/>
        <v>117.5</v>
      </c>
      <c r="EN18">
        <f t="shared" si="28"/>
        <v>79.33828494260635</v>
      </c>
      <c r="EO18">
        <f t="shared" si="29"/>
        <v>38.235294117647058</v>
      </c>
      <c r="EP18">
        <f t="shared" si="69"/>
        <v>1.1170909957500887</v>
      </c>
      <c r="EU18">
        <v>3.5</v>
      </c>
      <c r="EV18">
        <v>13</v>
      </c>
      <c r="EW18">
        <f t="shared" si="70"/>
        <v>84.5</v>
      </c>
      <c r="EX18">
        <f t="shared" si="30"/>
        <v>79.679396511079688</v>
      </c>
      <c r="EY18">
        <f t="shared" si="31"/>
        <v>38.235294117647058</v>
      </c>
      <c r="EZ18">
        <f t="shared" si="71"/>
        <v>1.213356629780622</v>
      </c>
      <c r="FE18">
        <v>12</v>
      </c>
      <c r="FF18">
        <v>13</v>
      </c>
      <c r="FG18">
        <f t="shared" si="72"/>
        <v>232</v>
      </c>
      <c r="FH18">
        <f t="shared" si="32"/>
        <v>78.114478114478118</v>
      </c>
      <c r="FI18">
        <f t="shared" si="33"/>
        <v>46.428571428571431</v>
      </c>
      <c r="FJ18">
        <f t="shared" si="73"/>
        <v>1.8037518037518041</v>
      </c>
      <c r="FO18">
        <v>5</v>
      </c>
      <c r="FP18">
        <v>13</v>
      </c>
      <c r="FQ18">
        <f t="shared" si="74"/>
        <v>128</v>
      </c>
      <c r="FR18">
        <f t="shared" si="34"/>
        <v>77.346063206236025</v>
      </c>
      <c r="FS18">
        <f t="shared" si="35"/>
        <v>39.393939393939391</v>
      </c>
      <c r="FT18">
        <f t="shared" si="75"/>
        <v>1.1444434068157561</v>
      </c>
      <c r="FY18">
        <v>7</v>
      </c>
      <c r="FZ18">
        <v>13</v>
      </c>
      <c r="GA18">
        <f t="shared" si="76"/>
        <v>155.5</v>
      </c>
      <c r="GB18">
        <f t="shared" si="36"/>
        <v>81.863648328507509</v>
      </c>
      <c r="GC18">
        <f t="shared" si="37"/>
        <v>40.625</v>
      </c>
      <c r="GD18">
        <f t="shared" si="77"/>
        <v>1.4395235588312738</v>
      </c>
      <c r="GI18">
        <v>4</v>
      </c>
      <c r="GJ18">
        <v>13</v>
      </c>
      <c r="GK18">
        <f t="shared" si="78"/>
        <v>131.5</v>
      </c>
      <c r="GL18">
        <f t="shared" si="38"/>
        <v>83.784644791334827</v>
      </c>
      <c r="GM18">
        <f t="shared" si="39"/>
        <v>46.428571428571431</v>
      </c>
      <c r="GN18">
        <f t="shared" si="79"/>
        <v>1.137759978155011</v>
      </c>
    </row>
    <row r="19" spans="1:196" x14ac:dyDescent="0.2">
      <c r="A19">
        <v>30</v>
      </c>
      <c r="B19">
        <v>14</v>
      </c>
      <c r="C19">
        <f t="shared" si="40"/>
        <v>885</v>
      </c>
      <c r="D19">
        <f t="shared" si="0"/>
        <v>87.71060455896928</v>
      </c>
      <c r="E19">
        <f t="shared" si="1"/>
        <v>48.275862068965516</v>
      </c>
      <c r="F19">
        <f t="shared" si="41"/>
        <v>1.3840948703051823</v>
      </c>
      <c r="K19">
        <v>20</v>
      </c>
      <c r="L19">
        <v>14</v>
      </c>
      <c r="M19">
        <f t="shared" si="42"/>
        <v>710</v>
      </c>
      <c r="N19">
        <f t="shared" si="2"/>
        <v>82.606166375799887</v>
      </c>
      <c r="O19">
        <f t="shared" si="3"/>
        <v>42.424242424242422</v>
      </c>
      <c r="P19">
        <f t="shared" si="43"/>
        <v>0.95192765349833364</v>
      </c>
      <c r="U19">
        <v>20</v>
      </c>
      <c r="V19">
        <v>14</v>
      </c>
      <c r="W19">
        <f t="shared" si="44"/>
        <v>690</v>
      </c>
      <c r="X19">
        <f t="shared" si="4"/>
        <v>83.172613307618121</v>
      </c>
      <c r="Y19">
        <f t="shared" si="5"/>
        <v>46.666666666666664</v>
      </c>
      <c r="Z19">
        <f t="shared" si="45"/>
        <v>1.0848601735776235</v>
      </c>
      <c r="AE19">
        <v>22</v>
      </c>
      <c r="AF19">
        <v>14</v>
      </c>
      <c r="AG19">
        <f t="shared" si="46"/>
        <v>697</v>
      </c>
      <c r="AH19">
        <f t="shared" si="6"/>
        <v>81.282798833819243</v>
      </c>
      <c r="AI19">
        <f t="shared" si="7"/>
        <v>42.424242424242422</v>
      </c>
      <c r="AJ19">
        <f t="shared" si="47"/>
        <v>1.049562682215744</v>
      </c>
      <c r="AO19">
        <v>25</v>
      </c>
      <c r="AP19">
        <v>14</v>
      </c>
      <c r="AQ19">
        <f t="shared" si="48"/>
        <v>647</v>
      </c>
      <c r="AR19">
        <f t="shared" si="8"/>
        <v>73.169352558665537</v>
      </c>
      <c r="AS19">
        <f t="shared" si="9"/>
        <v>33.333333333333329</v>
      </c>
      <c r="AT19">
        <f t="shared" si="49"/>
        <v>0.90876045074518674</v>
      </c>
      <c r="AY19">
        <v>18</v>
      </c>
      <c r="AZ19">
        <v>14</v>
      </c>
      <c r="BA19">
        <f t="shared" si="50"/>
        <v>556</v>
      </c>
      <c r="BB19">
        <f t="shared" si="10"/>
        <v>80</v>
      </c>
      <c r="BC19">
        <f t="shared" si="11"/>
        <v>37.837837837837839</v>
      </c>
      <c r="BD19">
        <f t="shared" si="51"/>
        <v>0.94497375072914314</v>
      </c>
      <c r="BI19">
        <v>5</v>
      </c>
      <c r="BJ19">
        <v>14</v>
      </c>
      <c r="BK19">
        <f t="shared" si="52"/>
        <v>126</v>
      </c>
      <c r="BL19">
        <f t="shared" si="12"/>
        <v>79.096045197740111</v>
      </c>
      <c r="BM19">
        <f t="shared" si="13"/>
        <v>48.275862068965516</v>
      </c>
      <c r="BN19">
        <f t="shared" si="53"/>
        <v>1.461133839859734</v>
      </c>
      <c r="BS19">
        <v>12</v>
      </c>
      <c r="BT19">
        <v>14</v>
      </c>
      <c r="BU19">
        <f t="shared" si="54"/>
        <v>265</v>
      </c>
      <c r="BV19">
        <f t="shared" si="14"/>
        <v>69.508196721311478</v>
      </c>
      <c r="BW19">
        <f t="shared" si="15"/>
        <v>35.897435897435898</v>
      </c>
      <c r="BX19">
        <f t="shared" si="55"/>
        <v>1.0895334174022711</v>
      </c>
      <c r="CC19">
        <v>8</v>
      </c>
      <c r="CD19">
        <v>14</v>
      </c>
      <c r="CE19">
        <f t="shared" si="56"/>
        <v>256</v>
      </c>
      <c r="CF19">
        <f t="shared" si="16"/>
        <v>84.141331142152836</v>
      </c>
      <c r="CG19">
        <f t="shared" si="17"/>
        <v>45.161290322580641</v>
      </c>
      <c r="CH19">
        <f t="shared" si="57"/>
        <v>1.1450685185676053</v>
      </c>
      <c r="CM19">
        <v>6</v>
      </c>
      <c r="CN19">
        <v>14</v>
      </c>
      <c r="CO19">
        <f t="shared" si="58"/>
        <v>151</v>
      </c>
      <c r="CP19">
        <f t="shared" si="18"/>
        <v>72.500300084023536</v>
      </c>
      <c r="CQ19">
        <f t="shared" si="19"/>
        <v>38.888888888888893</v>
      </c>
      <c r="CR19">
        <f t="shared" si="59"/>
        <v>1.0803024846957161</v>
      </c>
      <c r="CW19">
        <v>5</v>
      </c>
      <c r="CX19">
        <v>14</v>
      </c>
      <c r="CY19">
        <f t="shared" si="60"/>
        <v>173</v>
      </c>
      <c r="CZ19">
        <f t="shared" si="20"/>
        <v>78.378072261864318</v>
      </c>
      <c r="DA19">
        <f t="shared" si="21"/>
        <v>38.888888888888893</v>
      </c>
      <c r="DB19">
        <f t="shared" si="61"/>
        <v>0.84947332653754704</v>
      </c>
      <c r="DG19">
        <v>4</v>
      </c>
      <c r="DH19">
        <v>14</v>
      </c>
      <c r="DI19">
        <f t="shared" si="62"/>
        <v>119.5</v>
      </c>
      <c r="DJ19">
        <f t="shared" si="22"/>
        <v>82.698961937716263</v>
      </c>
      <c r="DK19">
        <f t="shared" si="23"/>
        <v>46.666666666666664</v>
      </c>
      <c r="DL19">
        <f t="shared" si="63"/>
        <v>1.2456747404844257</v>
      </c>
      <c r="DQ19">
        <v>8</v>
      </c>
      <c r="DR19">
        <v>14</v>
      </c>
      <c r="DS19">
        <f t="shared" si="64"/>
        <v>194</v>
      </c>
      <c r="DT19">
        <f t="shared" si="24"/>
        <v>74.443591711435147</v>
      </c>
      <c r="DU19">
        <f t="shared" si="25"/>
        <v>41.17647058823529</v>
      </c>
      <c r="DV19">
        <f t="shared" si="65"/>
        <v>1.2189065956390246</v>
      </c>
      <c r="EA19">
        <v>5</v>
      </c>
      <c r="EB19">
        <v>14</v>
      </c>
      <c r="EC19">
        <f t="shared" si="66"/>
        <v>148</v>
      </c>
      <c r="ED19">
        <f t="shared" si="26"/>
        <v>75.510204081632651</v>
      </c>
      <c r="EE19">
        <f t="shared" si="27"/>
        <v>41.17647058823529</v>
      </c>
      <c r="EF19">
        <f t="shared" si="67"/>
        <v>1.0129051620648268</v>
      </c>
      <c r="EK19">
        <v>3</v>
      </c>
      <c r="EL19">
        <v>14</v>
      </c>
      <c r="EM19">
        <f t="shared" si="68"/>
        <v>120.5</v>
      </c>
      <c r="EN19">
        <f t="shared" si="28"/>
        <v>81.363943281566506</v>
      </c>
      <c r="EO19">
        <f t="shared" si="29"/>
        <v>41.17647058823529</v>
      </c>
      <c r="EP19">
        <f t="shared" si="69"/>
        <v>0.8043055169400618</v>
      </c>
      <c r="EU19">
        <v>3</v>
      </c>
      <c r="EV19">
        <v>14</v>
      </c>
      <c r="EW19">
        <f t="shared" si="70"/>
        <v>87.5</v>
      </c>
      <c r="EX19">
        <f t="shared" si="30"/>
        <v>82.508250825082513</v>
      </c>
      <c r="EY19">
        <f t="shared" si="31"/>
        <v>41.17647058823529</v>
      </c>
      <c r="EZ19">
        <f t="shared" si="71"/>
        <v>1.123221565854063</v>
      </c>
      <c r="FE19">
        <v>10</v>
      </c>
      <c r="FF19">
        <v>14</v>
      </c>
      <c r="FG19">
        <f t="shared" si="72"/>
        <v>242</v>
      </c>
      <c r="FH19">
        <f t="shared" si="32"/>
        <v>81.481481481481481</v>
      </c>
      <c r="FI19">
        <f t="shared" si="33"/>
        <v>50</v>
      </c>
      <c r="FJ19">
        <f t="shared" si="73"/>
        <v>1.6233766233766216</v>
      </c>
      <c r="FO19">
        <v>5</v>
      </c>
      <c r="FP19">
        <v>14</v>
      </c>
      <c r="FQ19">
        <f t="shared" si="74"/>
        <v>133</v>
      </c>
      <c r="FR19">
        <f t="shared" si="34"/>
        <v>80.367393800229621</v>
      </c>
      <c r="FS19">
        <f t="shared" si="35"/>
        <v>42.424242424242422</v>
      </c>
      <c r="FT19">
        <f t="shared" si="75"/>
        <v>1.2359988793610166</v>
      </c>
      <c r="FY19">
        <v>6</v>
      </c>
      <c r="FZ19">
        <v>14</v>
      </c>
      <c r="GA19">
        <f t="shared" si="76"/>
        <v>161.5</v>
      </c>
      <c r="GB19">
        <f t="shared" si="36"/>
        <v>85.022374309028692</v>
      </c>
      <c r="GC19">
        <f t="shared" si="37"/>
        <v>43.75</v>
      </c>
      <c r="GD19">
        <f t="shared" si="77"/>
        <v>1.332587523032374</v>
      </c>
      <c r="GI19">
        <v>3.5</v>
      </c>
      <c r="GJ19">
        <v>14</v>
      </c>
      <c r="GK19">
        <f t="shared" si="78"/>
        <v>135</v>
      </c>
      <c r="GL19">
        <f t="shared" si="38"/>
        <v>86.014654348518633</v>
      </c>
      <c r="GM19">
        <f t="shared" si="39"/>
        <v>50</v>
      </c>
      <c r="GN19">
        <f t="shared" si="79"/>
        <v>1.0751831793564777</v>
      </c>
    </row>
    <row r="20" spans="1:196" x14ac:dyDescent="0.2">
      <c r="A20">
        <v>20</v>
      </c>
      <c r="B20">
        <v>15</v>
      </c>
      <c r="C20">
        <f t="shared" si="40"/>
        <v>905</v>
      </c>
      <c r="D20">
        <f t="shared" si="0"/>
        <v>89.692765113974232</v>
      </c>
      <c r="E20">
        <f t="shared" si="1"/>
        <v>51.724137931034484</v>
      </c>
      <c r="F20">
        <f t="shared" si="41"/>
        <v>0.99108027750247629</v>
      </c>
      <c r="K20">
        <v>18</v>
      </c>
      <c r="L20">
        <v>15</v>
      </c>
      <c r="M20">
        <f t="shared" si="42"/>
        <v>728</v>
      </c>
      <c r="N20">
        <f t="shared" si="2"/>
        <v>84.70040721349622</v>
      </c>
      <c r="O20">
        <f t="shared" si="3"/>
        <v>45.454545454545453</v>
      </c>
      <c r="P20">
        <f t="shared" si="43"/>
        <v>0.92019673171505534</v>
      </c>
      <c r="U20">
        <v>20</v>
      </c>
      <c r="V20">
        <v>15</v>
      </c>
      <c r="W20">
        <f t="shared" si="44"/>
        <v>710</v>
      </c>
      <c r="X20">
        <f t="shared" si="4"/>
        <v>85.583413693346188</v>
      </c>
      <c r="Y20">
        <f t="shared" si="5"/>
        <v>50</v>
      </c>
      <c r="Z20">
        <f t="shared" si="45"/>
        <v>1.1652201864352321</v>
      </c>
      <c r="AE20">
        <v>20</v>
      </c>
      <c r="AF20">
        <v>15</v>
      </c>
      <c r="AG20">
        <f t="shared" si="46"/>
        <v>717</v>
      </c>
      <c r="AH20">
        <f t="shared" si="6"/>
        <v>83.615160349854222</v>
      </c>
      <c r="AI20">
        <f t="shared" si="7"/>
        <v>45.454545454545453</v>
      </c>
      <c r="AJ20">
        <f t="shared" si="47"/>
        <v>1.02482551462143</v>
      </c>
      <c r="AO20">
        <v>25</v>
      </c>
      <c r="AP20">
        <v>15</v>
      </c>
      <c r="AQ20">
        <f t="shared" si="48"/>
        <v>672</v>
      </c>
      <c r="AR20">
        <f t="shared" si="8"/>
        <v>75.996607294317215</v>
      </c>
      <c r="AS20">
        <f t="shared" si="9"/>
        <v>35.714285714285715</v>
      </c>
      <c r="AT20">
        <f t="shared" si="49"/>
        <v>0.9760760396892697</v>
      </c>
      <c r="AY20">
        <v>15</v>
      </c>
      <c r="AZ20">
        <v>15</v>
      </c>
      <c r="BA20">
        <f t="shared" si="50"/>
        <v>571</v>
      </c>
      <c r="BB20">
        <f t="shared" si="10"/>
        <v>82.158273381294961</v>
      </c>
      <c r="BC20">
        <f t="shared" si="11"/>
        <v>40.54054054054054</v>
      </c>
      <c r="BD20">
        <f t="shared" si="51"/>
        <v>0.845809838615593</v>
      </c>
      <c r="BI20">
        <v>5</v>
      </c>
      <c r="BJ20">
        <v>15</v>
      </c>
      <c r="BK20">
        <f t="shared" si="52"/>
        <v>131</v>
      </c>
      <c r="BL20">
        <f t="shared" si="12"/>
        <v>82.234777150031377</v>
      </c>
      <c r="BM20">
        <f t="shared" si="13"/>
        <v>51.724137931034484</v>
      </c>
      <c r="BN20">
        <f t="shared" si="53"/>
        <v>1.5693659761456331</v>
      </c>
      <c r="BS20">
        <v>10</v>
      </c>
      <c r="BT20">
        <v>15</v>
      </c>
      <c r="BU20">
        <f t="shared" si="54"/>
        <v>275</v>
      </c>
      <c r="BV20">
        <f t="shared" si="14"/>
        <v>72.131147540983605</v>
      </c>
      <c r="BW20">
        <f t="shared" si="15"/>
        <v>38.461538461538467</v>
      </c>
      <c r="BX20">
        <f t="shared" si="55"/>
        <v>0.97519966372425249</v>
      </c>
      <c r="CC20">
        <v>6</v>
      </c>
      <c r="CD20">
        <v>15</v>
      </c>
      <c r="CE20">
        <f t="shared" si="56"/>
        <v>262</v>
      </c>
      <c r="CF20">
        <f t="shared" si="16"/>
        <v>86.113393590797045</v>
      </c>
      <c r="CG20">
        <f t="shared" si="17"/>
        <v>48.387096774193552</v>
      </c>
      <c r="CH20">
        <f t="shared" si="57"/>
        <v>0.92241630662390417</v>
      </c>
      <c r="CM20">
        <v>6</v>
      </c>
      <c r="CN20">
        <v>15</v>
      </c>
      <c r="CO20">
        <f t="shared" si="58"/>
        <v>157</v>
      </c>
      <c r="CP20">
        <f t="shared" si="18"/>
        <v>75.381106709878779</v>
      </c>
      <c r="CQ20">
        <f t="shared" si="19"/>
        <v>41.666666666666671</v>
      </c>
      <c r="CR20">
        <f t="shared" si="59"/>
        <v>1.160324890969473</v>
      </c>
      <c r="CW20">
        <v>5</v>
      </c>
      <c r="CX20">
        <v>15</v>
      </c>
      <c r="CY20">
        <f t="shared" si="60"/>
        <v>178</v>
      </c>
      <c r="CZ20">
        <f t="shared" si="20"/>
        <v>80.643334465964429</v>
      </c>
      <c r="DA20">
        <f t="shared" si="21"/>
        <v>41.666666666666671</v>
      </c>
      <c r="DB20">
        <f t="shared" si="61"/>
        <v>0.91239727665143378</v>
      </c>
      <c r="DG20">
        <v>3.5</v>
      </c>
      <c r="DH20">
        <v>15</v>
      </c>
      <c r="DI20">
        <f t="shared" si="62"/>
        <v>123</v>
      </c>
      <c r="DJ20">
        <f t="shared" si="22"/>
        <v>85.121107266435985</v>
      </c>
      <c r="DK20">
        <f t="shared" si="23"/>
        <v>50</v>
      </c>
      <c r="DL20">
        <f t="shared" si="63"/>
        <v>1.1707035755478656</v>
      </c>
      <c r="DQ20">
        <v>7</v>
      </c>
      <c r="DR20">
        <v>15</v>
      </c>
      <c r="DS20">
        <f t="shared" si="64"/>
        <v>201</v>
      </c>
      <c r="DT20">
        <f t="shared" si="24"/>
        <v>77.129700690713733</v>
      </c>
      <c r="DU20">
        <f t="shared" si="25"/>
        <v>44.117647058823529</v>
      </c>
      <c r="DV20">
        <f t="shared" si="65"/>
        <v>1.145546476457044</v>
      </c>
      <c r="EA20">
        <v>5</v>
      </c>
      <c r="EB20">
        <v>15</v>
      </c>
      <c r="EC20">
        <f t="shared" si="66"/>
        <v>153</v>
      </c>
      <c r="ED20">
        <f t="shared" si="26"/>
        <v>78.061224489795919</v>
      </c>
      <c r="EE20">
        <f t="shared" si="27"/>
        <v>44.117647058823529</v>
      </c>
      <c r="EF20">
        <f t="shared" si="67"/>
        <v>1.0879351740696288</v>
      </c>
      <c r="EK20">
        <v>3</v>
      </c>
      <c r="EL20">
        <v>15</v>
      </c>
      <c r="EM20">
        <f t="shared" si="68"/>
        <v>123.5</v>
      </c>
      <c r="EN20">
        <f t="shared" si="28"/>
        <v>83.389601620526676</v>
      </c>
      <c r="EO20">
        <f t="shared" si="29"/>
        <v>44.117647058823529</v>
      </c>
      <c r="EP20">
        <f t="shared" si="69"/>
        <v>0.86388370338007248</v>
      </c>
      <c r="EU20">
        <v>3</v>
      </c>
      <c r="EV20">
        <v>15</v>
      </c>
      <c r="EW20">
        <f t="shared" si="70"/>
        <v>90.5</v>
      </c>
      <c r="EX20">
        <f t="shared" si="30"/>
        <v>85.337105139085352</v>
      </c>
      <c r="EY20">
        <f t="shared" si="31"/>
        <v>44.117647058823529</v>
      </c>
      <c r="EZ20">
        <f t="shared" si="71"/>
        <v>1.2064231633247402</v>
      </c>
      <c r="FE20">
        <v>10</v>
      </c>
      <c r="FF20">
        <v>15</v>
      </c>
      <c r="FG20">
        <f t="shared" si="72"/>
        <v>252</v>
      </c>
      <c r="FH20">
        <f t="shared" si="32"/>
        <v>84.848484848484844</v>
      </c>
      <c r="FI20">
        <f t="shared" si="33"/>
        <v>53.571428571428569</v>
      </c>
      <c r="FJ20">
        <f t="shared" si="73"/>
        <v>1.7436267436267416</v>
      </c>
      <c r="FO20">
        <v>5</v>
      </c>
      <c r="FP20">
        <v>15</v>
      </c>
      <c r="FQ20">
        <f t="shared" si="74"/>
        <v>138</v>
      </c>
      <c r="FR20">
        <f t="shared" si="34"/>
        <v>83.388724394223217</v>
      </c>
      <c r="FS20">
        <f t="shared" si="35"/>
        <v>45.454545454545453</v>
      </c>
      <c r="FT20">
        <f t="shared" si="75"/>
        <v>1.3275543519062771</v>
      </c>
      <c r="FY20">
        <v>5</v>
      </c>
      <c r="FZ20">
        <v>15</v>
      </c>
      <c r="GA20">
        <f t="shared" si="76"/>
        <v>166.5</v>
      </c>
      <c r="GB20">
        <f t="shared" si="36"/>
        <v>87.654645959463011</v>
      </c>
      <c r="GC20">
        <f t="shared" si="37"/>
        <v>46.875</v>
      </c>
      <c r="GD20">
        <f t="shared" si="77"/>
        <v>1.1927480916030508</v>
      </c>
      <c r="GI20">
        <v>3</v>
      </c>
      <c r="GJ20">
        <v>15</v>
      </c>
      <c r="GK20">
        <f t="shared" si="78"/>
        <v>138</v>
      </c>
      <c r="GL20">
        <f t="shared" si="38"/>
        <v>87.926091111819062</v>
      </c>
      <c r="GM20">
        <f t="shared" si="39"/>
        <v>53.571428571428569</v>
      </c>
      <c r="GN20">
        <f t="shared" si="79"/>
        <v>0.98985118099486513</v>
      </c>
    </row>
    <row r="21" spans="1:196" x14ac:dyDescent="0.2">
      <c r="A21">
        <v>15</v>
      </c>
      <c r="B21">
        <v>16</v>
      </c>
      <c r="C21">
        <f t="shared" si="40"/>
        <v>920</v>
      </c>
      <c r="D21">
        <f t="shared" si="0"/>
        <v>91.179385530227947</v>
      </c>
      <c r="E21">
        <f t="shared" si="1"/>
        <v>55.172413793103445</v>
      </c>
      <c r="F21">
        <f t="shared" si="41"/>
        <v>0.79457298110112329</v>
      </c>
      <c r="K21">
        <v>18</v>
      </c>
      <c r="L21">
        <v>16</v>
      </c>
      <c r="M21">
        <f t="shared" si="42"/>
        <v>746</v>
      </c>
      <c r="N21">
        <f t="shared" si="2"/>
        <v>86.794648051192553</v>
      </c>
      <c r="O21">
        <f t="shared" si="3"/>
        <v>48.484848484848484</v>
      </c>
      <c r="P21">
        <f t="shared" si="43"/>
        <v>0.98365857528161083</v>
      </c>
      <c r="U21">
        <v>20</v>
      </c>
      <c r="V21">
        <v>16</v>
      </c>
      <c r="W21">
        <f t="shared" si="44"/>
        <v>730</v>
      </c>
      <c r="X21">
        <f t="shared" si="4"/>
        <v>87.994214079074254</v>
      </c>
      <c r="Y21">
        <f t="shared" si="5"/>
        <v>53.333333333333336</v>
      </c>
      <c r="Z21">
        <f t="shared" si="45"/>
        <v>1.2455801992928344</v>
      </c>
      <c r="AE21">
        <v>20</v>
      </c>
      <c r="AF21">
        <v>16</v>
      </c>
      <c r="AG21">
        <f t="shared" si="46"/>
        <v>737</v>
      </c>
      <c r="AH21">
        <f t="shared" si="6"/>
        <v>85.947521865889215</v>
      </c>
      <c r="AI21">
        <f t="shared" si="7"/>
        <v>48.484848484848484</v>
      </c>
      <c r="AJ21">
        <f t="shared" si="47"/>
        <v>1.0955031363194663</v>
      </c>
      <c r="AO21">
        <v>20</v>
      </c>
      <c r="AP21">
        <v>16</v>
      </c>
      <c r="AQ21">
        <f t="shared" si="48"/>
        <v>692</v>
      </c>
      <c r="AR21">
        <f t="shared" si="8"/>
        <v>78.258411082838563</v>
      </c>
      <c r="AS21">
        <f t="shared" si="9"/>
        <v>38.095238095238095</v>
      </c>
      <c r="AT21">
        <f t="shared" si="49"/>
        <v>0.83471330290668799</v>
      </c>
      <c r="AY21">
        <v>15</v>
      </c>
      <c r="AZ21">
        <v>16</v>
      </c>
      <c r="BA21">
        <f t="shared" si="50"/>
        <v>586</v>
      </c>
      <c r="BB21">
        <f t="shared" si="10"/>
        <v>84.316546762589923</v>
      </c>
      <c r="BC21">
        <f t="shared" si="11"/>
        <v>43.243243243243242</v>
      </c>
      <c r="BD21">
        <f t="shared" si="51"/>
        <v>0.9041415516235648</v>
      </c>
      <c r="BI21">
        <v>4.5</v>
      </c>
      <c r="BJ21">
        <v>16</v>
      </c>
      <c r="BK21">
        <f t="shared" si="52"/>
        <v>135.5</v>
      </c>
      <c r="BL21">
        <f t="shared" si="12"/>
        <v>85.059635907093522</v>
      </c>
      <c r="BM21">
        <f t="shared" si="13"/>
        <v>55.172413793103445</v>
      </c>
      <c r="BN21">
        <f t="shared" si="53"/>
        <v>1.509838301188388</v>
      </c>
      <c r="BS21">
        <v>10</v>
      </c>
      <c r="BT21">
        <v>16</v>
      </c>
      <c r="BU21">
        <f t="shared" si="54"/>
        <v>285</v>
      </c>
      <c r="BV21">
        <f t="shared" si="14"/>
        <v>74.754098360655746</v>
      </c>
      <c r="BW21">
        <f t="shared" si="15"/>
        <v>41.025641025641022</v>
      </c>
      <c r="BX21">
        <f t="shared" si="55"/>
        <v>1.0424548129466202</v>
      </c>
      <c r="CC21">
        <v>5</v>
      </c>
      <c r="CD21">
        <v>16</v>
      </c>
      <c r="CE21">
        <f t="shared" si="56"/>
        <v>267</v>
      </c>
      <c r="CF21">
        <f t="shared" si="16"/>
        <v>87.75677896466722</v>
      </c>
      <c r="CG21">
        <f t="shared" si="17"/>
        <v>51.612903225806448</v>
      </c>
      <c r="CH21">
        <f t="shared" si="57"/>
        <v>0.82169268693508712</v>
      </c>
      <c r="CM21">
        <v>6</v>
      </c>
      <c r="CN21">
        <v>16</v>
      </c>
      <c r="CO21">
        <f t="shared" si="58"/>
        <v>163</v>
      </c>
      <c r="CP21">
        <f t="shared" si="18"/>
        <v>78.261913335734008</v>
      </c>
      <c r="CQ21">
        <f t="shared" si="19"/>
        <v>44.444444444444443</v>
      </c>
      <c r="CR21">
        <f t="shared" si="59"/>
        <v>1.2403472972432235</v>
      </c>
      <c r="CW21">
        <v>5</v>
      </c>
      <c r="CX21">
        <v>16</v>
      </c>
      <c r="CY21">
        <f t="shared" si="60"/>
        <v>183</v>
      </c>
      <c r="CZ21">
        <f t="shared" si="20"/>
        <v>82.908596670064554</v>
      </c>
      <c r="DA21">
        <f t="shared" si="21"/>
        <v>44.444444444444443</v>
      </c>
      <c r="DB21">
        <f t="shared" si="61"/>
        <v>0.97532122676533162</v>
      </c>
      <c r="DG21">
        <v>3.5</v>
      </c>
      <c r="DH21">
        <v>16</v>
      </c>
      <c r="DI21">
        <f t="shared" si="62"/>
        <v>126.5</v>
      </c>
      <c r="DJ21">
        <f t="shared" si="22"/>
        <v>87.543252595155707</v>
      </c>
      <c r="DK21">
        <f t="shared" si="23"/>
        <v>53.333333333333336</v>
      </c>
      <c r="DL21">
        <f t="shared" si="63"/>
        <v>1.2514417531718565</v>
      </c>
      <c r="DQ21">
        <v>7</v>
      </c>
      <c r="DR21">
        <v>16</v>
      </c>
      <c r="DS21">
        <f t="shared" si="64"/>
        <v>208</v>
      </c>
      <c r="DT21">
        <f t="shared" si="24"/>
        <v>79.815809669992319</v>
      </c>
      <c r="DU21">
        <f t="shared" si="25"/>
        <v>47.058823529411761</v>
      </c>
      <c r="DV21">
        <f t="shared" si="65"/>
        <v>1.2245496817299437</v>
      </c>
      <c r="EA21">
        <v>5</v>
      </c>
      <c r="EB21">
        <v>16</v>
      </c>
      <c r="EC21">
        <f t="shared" si="66"/>
        <v>158</v>
      </c>
      <c r="ED21">
        <f t="shared" si="26"/>
        <v>80.612244897959187</v>
      </c>
      <c r="EE21">
        <f t="shared" si="27"/>
        <v>47.058823529411761</v>
      </c>
      <c r="EF21">
        <f t="shared" si="67"/>
        <v>1.162965186074431</v>
      </c>
      <c r="EK21">
        <v>3</v>
      </c>
      <c r="EL21">
        <v>16</v>
      </c>
      <c r="EM21">
        <f t="shared" si="68"/>
        <v>126.5</v>
      </c>
      <c r="EN21">
        <f t="shared" si="28"/>
        <v>85.415259959486832</v>
      </c>
      <c r="EO21">
        <f t="shared" si="29"/>
        <v>47.058823529411761</v>
      </c>
      <c r="EP21">
        <f t="shared" si="69"/>
        <v>0.92346188982007105</v>
      </c>
      <c r="EU21">
        <v>2.5</v>
      </c>
      <c r="EV21">
        <v>16</v>
      </c>
      <c r="EW21">
        <f t="shared" si="70"/>
        <v>93</v>
      </c>
      <c r="EX21">
        <f t="shared" si="30"/>
        <v>87.694483734087711</v>
      </c>
      <c r="EY21">
        <f t="shared" si="31"/>
        <v>47.058823529411761</v>
      </c>
      <c r="EZ21">
        <f t="shared" si="71"/>
        <v>1.0746873006628401</v>
      </c>
      <c r="FE21">
        <v>8</v>
      </c>
      <c r="FF21">
        <v>16</v>
      </c>
      <c r="FG21">
        <f t="shared" si="72"/>
        <v>260</v>
      </c>
      <c r="FH21">
        <f t="shared" si="32"/>
        <v>87.542087542087543</v>
      </c>
      <c r="FI21">
        <f t="shared" si="33"/>
        <v>57.142857142857139</v>
      </c>
      <c r="FJ21">
        <f t="shared" si="73"/>
        <v>1.4911014911014939</v>
      </c>
      <c r="FO21">
        <v>5</v>
      </c>
      <c r="FP21">
        <v>16</v>
      </c>
      <c r="FQ21">
        <f t="shared" si="74"/>
        <v>143</v>
      </c>
      <c r="FR21">
        <f t="shared" si="34"/>
        <v>86.410054988216814</v>
      </c>
      <c r="FS21">
        <f t="shared" si="35"/>
        <v>48.484848484848484</v>
      </c>
      <c r="FT21">
        <f t="shared" si="75"/>
        <v>1.4191098244515377</v>
      </c>
      <c r="FY21">
        <v>3.5</v>
      </c>
      <c r="FZ21">
        <v>16</v>
      </c>
      <c r="GA21">
        <f t="shared" si="76"/>
        <v>170</v>
      </c>
      <c r="GB21">
        <f t="shared" si="36"/>
        <v>89.497236114767048</v>
      </c>
      <c r="GC21">
        <f t="shared" si="37"/>
        <v>50</v>
      </c>
      <c r="GD21">
        <f t="shared" si="77"/>
        <v>0.89250460647539309</v>
      </c>
      <c r="GI21">
        <v>3</v>
      </c>
      <c r="GJ21">
        <v>16</v>
      </c>
      <c r="GK21">
        <f t="shared" si="78"/>
        <v>141</v>
      </c>
      <c r="GL21">
        <f t="shared" si="38"/>
        <v>89.837527875119477</v>
      </c>
      <c r="GM21">
        <f t="shared" si="39"/>
        <v>57.142857142857139</v>
      </c>
      <c r="GN21">
        <f t="shared" si="79"/>
        <v>1.0581167796841582</v>
      </c>
    </row>
    <row r="22" spans="1:196" x14ac:dyDescent="0.2">
      <c r="A22">
        <v>15</v>
      </c>
      <c r="B22">
        <v>17</v>
      </c>
      <c r="C22">
        <f t="shared" si="40"/>
        <v>935</v>
      </c>
      <c r="D22">
        <f t="shared" si="0"/>
        <v>92.666005946481661</v>
      </c>
      <c r="E22">
        <f t="shared" si="1"/>
        <v>58.620689655172406</v>
      </c>
      <c r="F22">
        <f t="shared" si="41"/>
        <v>0.84583575407538913</v>
      </c>
      <c r="K22">
        <v>18</v>
      </c>
      <c r="L22">
        <v>17</v>
      </c>
      <c r="M22">
        <f t="shared" si="42"/>
        <v>764</v>
      </c>
      <c r="N22">
        <f t="shared" si="2"/>
        <v>88.888888888888886</v>
      </c>
      <c r="O22">
        <f t="shared" si="3"/>
        <v>51.515151515151516</v>
      </c>
      <c r="P22">
        <f t="shared" si="43"/>
        <v>1.0471204188481664</v>
      </c>
      <c r="U22">
        <v>18</v>
      </c>
      <c r="V22">
        <v>17</v>
      </c>
      <c r="W22">
        <f t="shared" si="44"/>
        <v>748</v>
      </c>
      <c r="X22">
        <f t="shared" si="4"/>
        <v>90.163934426229503</v>
      </c>
      <c r="Y22">
        <f t="shared" si="5"/>
        <v>56.666666666666664</v>
      </c>
      <c r="Z22">
        <f t="shared" si="45"/>
        <v>1.1933461909353866</v>
      </c>
      <c r="AE22">
        <v>15</v>
      </c>
      <c r="AF22">
        <v>17</v>
      </c>
      <c r="AG22">
        <f t="shared" si="46"/>
        <v>752</v>
      </c>
      <c r="AH22">
        <f t="shared" si="6"/>
        <v>87.696793002915456</v>
      </c>
      <c r="AI22">
        <f t="shared" si="7"/>
        <v>51.515151515151516</v>
      </c>
      <c r="AJ22">
        <f t="shared" si="47"/>
        <v>0.87463556851312063</v>
      </c>
      <c r="AO22">
        <v>20</v>
      </c>
      <c r="AP22">
        <v>17</v>
      </c>
      <c r="AQ22">
        <f t="shared" si="48"/>
        <v>712</v>
      </c>
      <c r="AR22">
        <f t="shared" si="8"/>
        <v>80.520214871359912</v>
      </c>
      <c r="AS22">
        <f t="shared" si="9"/>
        <v>40.476190476190474</v>
      </c>
      <c r="AT22">
        <f t="shared" si="49"/>
        <v>0.88856577406195825</v>
      </c>
      <c r="AY22">
        <v>15</v>
      </c>
      <c r="AZ22">
        <v>17</v>
      </c>
      <c r="BA22">
        <f t="shared" si="50"/>
        <v>601</v>
      </c>
      <c r="BB22">
        <f t="shared" si="10"/>
        <v>86.474820143884884</v>
      </c>
      <c r="BC22">
        <f t="shared" si="11"/>
        <v>45.945945945945951</v>
      </c>
      <c r="BD22">
        <f t="shared" si="51"/>
        <v>0.96247326463153682</v>
      </c>
      <c r="BI22">
        <v>4</v>
      </c>
      <c r="BJ22">
        <v>17</v>
      </c>
      <c r="BK22">
        <f t="shared" si="52"/>
        <v>139.5</v>
      </c>
      <c r="BL22">
        <f t="shared" si="12"/>
        <v>87.570621468926547</v>
      </c>
      <c r="BM22">
        <f t="shared" si="13"/>
        <v>58.620689655172406</v>
      </c>
      <c r="BN22">
        <f t="shared" si="53"/>
        <v>1.4286641989739619</v>
      </c>
      <c r="BS22">
        <v>10</v>
      </c>
      <c r="BT22">
        <v>17</v>
      </c>
      <c r="BU22">
        <f t="shared" si="54"/>
        <v>295</v>
      </c>
      <c r="BV22">
        <f t="shared" si="14"/>
        <v>77.377049180327873</v>
      </c>
      <c r="BW22">
        <f t="shared" si="15"/>
        <v>43.589743589743591</v>
      </c>
      <c r="BX22">
        <f t="shared" si="55"/>
        <v>1.1097099621689768</v>
      </c>
      <c r="CC22">
        <v>5</v>
      </c>
      <c r="CD22">
        <v>17</v>
      </c>
      <c r="CE22">
        <f t="shared" si="56"/>
        <v>272</v>
      </c>
      <c r="CF22">
        <f t="shared" si="16"/>
        <v>89.400164338537394</v>
      </c>
      <c r="CG22">
        <f t="shared" si="17"/>
        <v>54.838709677419352</v>
      </c>
      <c r="CH22">
        <f t="shared" si="57"/>
        <v>0.87470511835025389</v>
      </c>
      <c r="CM22">
        <v>5</v>
      </c>
      <c r="CN22">
        <v>17</v>
      </c>
      <c r="CO22">
        <f t="shared" si="58"/>
        <v>168</v>
      </c>
      <c r="CP22">
        <f t="shared" si="18"/>
        <v>80.662585523946717</v>
      </c>
      <c r="CQ22">
        <f t="shared" si="19"/>
        <v>47.222222222222221</v>
      </c>
      <c r="CR22">
        <f t="shared" si="59"/>
        <v>1.1003080862641585</v>
      </c>
      <c r="CW22">
        <v>5</v>
      </c>
      <c r="CX22">
        <v>17</v>
      </c>
      <c r="CY22">
        <f t="shared" si="60"/>
        <v>188</v>
      </c>
      <c r="CZ22">
        <f t="shared" si="20"/>
        <v>85.173858874164694</v>
      </c>
      <c r="DA22">
        <f t="shared" si="21"/>
        <v>47.222222222222221</v>
      </c>
      <c r="DB22">
        <f t="shared" si="61"/>
        <v>1.0382451768792305</v>
      </c>
      <c r="DG22">
        <v>3</v>
      </c>
      <c r="DH22">
        <v>17</v>
      </c>
      <c r="DI22">
        <f t="shared" si="62"/>
        <v>129.5</v>
      </c>
      <c r="DJ22">
        <f t="shared" si="22"/>
        <v>89.61937716262976</v>
      </c>
      <c r="DK22">
        <f t="shared" si="23"/>
        <v>56.666666666666664</v>
      </c>
      <c r="DL22">
        <f t="shared" si="63"/>
        <v>1.1418685121107295</v>
      </c>
      <c r="DQ22">
        <v>7</v>
      </c>
      <c r="DR22">
        <v>17</v>
      </c>
      <c r="DS22">
        <f t="shared" si="64"/>
        <v>215</v>
      </c>
      <c r="DT22">
        <f t="shared" si="24"/>
        <v>82.501918649270905</v>
      </c>
      <c r="DU22">
        <f t="shared" si="25"/>
        <v>50</v>
      </c>
      <c r="DV22">
        <f t="shared" si="65"/>
        <v>1.3035528870028432</v>
      </c>
      <c r="EA22">
        <v>4</v>
      </c>
      <c r="EB22">
        <v>17</v>
      </c>
      <c r="EC22">
        <f t="shared" si="66"/>
        <v>162</v>
      </c>
      <c r="ED22">
        <f t="shared" si="26"/>
        <v>82.653061224489804</v>
      </c>
      <c r="EE22">
        <f t="shared" si="27"/>
        <v>50</v>
      </c>
      <c r="EF22">
        <f t="shared" si="67"/>
        <v>0.9903961584633878</v>
      </c>
      <c r="EK22">
        <v>2.5</v>
      </c>
      <c r="EL22">
        <v>17</v>
      </c>
      <c r="EM22">
        <f t="shared" si="68"/>
        <v>129</v>
      </c>
      <c r="EN22">
        <f t="shared" si="28"/>
        <v>87.103308575286974</v>
      </c>
      <c r="EO22">
        <f t="shared" si="29"/>
        <v>50</v>
      </c>
      <c r="EP22">
        <f t="shared" si="69"/>
        <v>0.8192000635500688</v>
      </c>
      <c r="EU22">
        <v>2</v>
      </c>
      <c r="EV22">
        <v>17</v>
      </c>
      <c r="EW22">
        <f t="shared" si="70"/>
        <v>95</v>
      </c>
      <c r="EX22">
        <f t="shared" si="30"/>
        <v>89.58038661008959</v>
      </c>
      <c r="EY22">
        <f t="shared" si="31"/>
        <v>50</v>
      </c>
      <c r="EZ22">
        <f t="shared" si="71"/>
        <v>0.91521757217738242</v>
      </c>
      <c r="FE22">
        <v>7</v>
      </c>
      <c r="FF22">
        <v>17</v>
      </c>
      <c r="FG22">
        <f t="shared" si="72"/>
        <v>267</v>
      </c>
      <c r="FH22">
        <f t="shared" si="32"/>
        <v>89.898989898989896</v>
      </c>
      <c r="FI22">
        <f t="shared" si="33"/>
        <v>60.714285714285708</v>
      </c>
      <c r="FJ22">
        <f t="shared" si="73"/>
        <v>1.3888888888888864</v>
      </c>
      <c r="FO22">
        <v>3.5</v>
      </c>
      <c r="FP22">
        <v>17</v>
      </c>
      <c r="FQ22">
        <f t="shared" si="74"/>
        <v>146.5</v>
      </c>
      <c r="FR22">
        <f t="shared" si="34"/>
        <v>88.524986404012324</v>
      </c>
      <c r="FS22">
        <f t="shared" si="35"/>
        <v>51.515151515151516</v>
      </c>
      <c r="FT22">
        <f t="shared" si="75"/>
        <v>1.0574657078977552</v>
      </c>
      <c r="FY22">
        <v>2.5</v>
      </c>
      <c r="FZ22">
        <v>17</v>
      </c>
      <c r="GA22">
        <f t="shared" si="76"/>
        <v>172.5</v>
      </c>
      <c r="GB22">
        <f t="shared" si="36"/>
        <v>90.813371939984208</v>
      </c>
      <c r="GC22">
        <f t="shared" si="37"/>
        <v>53.125</v>
      </c>
      <c r="GD22">
        <f t="shared" si="77"/>
        <v>0.67863253487759789</v>
      </c>
      <c r="GI22">
        <v>3</v>
      </c>
      <c r="GJ22">
        <v>17</v>
      </c>
      <c r="GK22">
        <f t="shared" si="78"/>
        <v>144</v>
      </c>
      <c r="GL22">
        <f t="shared" si="38"/>
        <v>91.748964638419878</v>
      </c>
      <c r="GM22">
        <f t="shared" si="39"/>
        <v>60.714285714285708</v>
      </c>
      <c r="GN22">
        <f t="shared" si="79"/>
        <v>1.1263823783734503</v>
      </c>
    </row>
    <row r="23" spans="1:196" x14ac:dyDescent="0.2">
      <c r="A23">
        <v>15</v>
      </c>
      <c r="B23">
        <v>18</v>
      </c>
      <c r="C23">
        <f t="shared" si="40"/>
        <v>950</v>
      </c>
      <c r="D23">
        <f t="shared" si="0"/>
        <v>94.152626362735376</v>
      </c>
      <c r="E23">
        <f t="shared" si="1"/>
        <v>62.068965517241381</v>
      </c>
      <c r="F23">
        <f t="shared" si="41"/>
        <v>0.89709852704965509</v>
      </c>
      <c r="K23">
        <v>15</v>
      </c>
      <c r="L23">
        <v>18</v>
      </c>
      <c r="M23">
        <f t="shared" si="42"/>
        <v>779</v>
      </c>
      <c r="N23">
        <f t="shared" si="2"/>
        <v>90.634089586969168</v>
      </c>
      <c r="O23">
        <f t="shared" si="3"/>
        <v>54.54545454545454</v>
      </c>
      <c r="P23">
        <f t="shared" si="43"/>
        <v>0.92548521867893752</v>
      </c>
      <c r="U23">
        <v>18</v>
      </c>
      <c r="V23">
        <v>18</v>
      </c>
      <c r="W23">
        <f t="shared" si="44"/>
        <v>766</v>
      </c>
      <c r="X23">
        <f t="shared" si="4"/>
        <v>92.333654773384765</v>
      </c>
      <c r="Y23">
        <f t="shared" si="5"/>
        <v>60</v>
      </c>
      <c r="Z23">
        <f t="shared" si="45"/>
        <v>1.2656702025072364</v>
      </c>
      <c r="AE23">
        <v>15</v>
      </c>
      <c r="AF23">
        <v>18</v>
      </c>
      <c r="AG23">
        <f t="shared" si="46"/>
        <v>767</v>
      </c>
      <c r="AH23">
        <f t="shared" si="6"/>
        <v>89.446064139941697</v>
      </c>
      <c r="AI23">
        <f t="shared" si="7"/>
        <v>54.54545454545454</v>
      </c>
      <c r="AJ23">
        <f t="shared" si="47"/>
        <v>0.92764378478664311</v>
      </c>
      <c r="AO23">
        <v>20</v>
      </c>
      <c r="AP23">
        <v>18</v>
      </c>
      <c r="AQ23">
        <f t="shared" si="48"/>
        <v>732</v>
      </c>
      <c r="AR23">
        <f t="shared" si="8"/>
        <v>82.782018659881246</v>
      </c>
      <c r="AS23">
        <f t="shared" si="9"/>
        <v>42.857142857142854</v>
      </c>
      <c r="AT23">
        <f t="shared" si="49"/>
        <v>0.94241824521722251</v>
      </c>
      <c r="AY23">
        <v>14</v>
      </c>
      <c r="AZ23">
        <v>18</v>
      </c>
      <c r="BA23">
        <f t="shared" si="50"/>
        <v>615</v>
      </c>
      <c r="BB23">
        <f t="shared" si="10"/>
        <v>88.489208633093526</v>
      </c>
      <c r="BC23">
        <f t="shared" si="11"/>
        <v>48.648648648648653</v>
      </c>
      <c r="BD23">
        <f t="shared" si="51"/>
        <v>0.95275131246354705</v>
      </c>
      <c r="BI23">
        <v>4</v>
      </c>
      <c r="BJ23">
        <v>18</v>
      </c>
      <c r="BK23">
        <f t="shared" si="52"/>
        <v>143.5</v>
      </c>
      <c r="BL23">
        <f t="shared" si="12"/>
        <v>90.081607030759571</v>
      </c>
      <c r="BM23">
        <f t="shared" si="13"/>
        <v>62.068965517241381</v>
      </c>
      <c r="BN23">
        <f t="shared" si="53"/>
        <v>1.5152499080026869</v>
      </c>
      <c r="BS23">
        <v>8</v>
      </c>
      <c r="BT23">
        <v>18</v>
      </c>
      <c r="BU23">
        <f t="shared" si="54"/>
        <v>303</v>
      </c>
      <c r="BV23">
        <f t="shared" si="14"/>
        <v>79.475409836065566</v>
      </c>
      <c r="BW23">
        <f t="shared" si="15"/>
        <v>46.153846153846153</v>
      </c>
      <c r="BX23">
        <f t="shared" si="55"/>
        <v>0.94157208911306756</v>
      </c>
      <c r="CC23">
        <v>5</v>
      </c>
      <c r="CD23">
        <v>18</v>
      </c>
      <c r="CE23">
        <f t="shared" si="56"/>
        <v>277</v>
      </c>
      <c r="CF23">
        <f t="shared" si="16"/>
        <v>91.043549712407554</v>
      </c>
      <c r="CG23">
        <f t="shared" si="17"/>
        <v>58.064516129032263</v>
      </c>
      <c r="CH23">
        <f t="shared" si="57"/>
        <v>0.92771754976541287</v>
      </c>
      <c r="CM23">
        <v>5</v>
      </c>
      <c r="CN23">
        <v>18</v>
      </c>
      <c r="CO23">
        <f t="shared" si="58"/>
        <v>173</v>
      </c>
      <c r="CP23">
        <f t="shared" si="18"/>
        <v>83.063257712159412</v>
      </c>
      <c r="CQ23">
        <f t="shared" si="19"/>
        <v>50</v>
      </c>
      <c r="CR23">
        <f t="shared" si="59"/>
        <v>1.166993424825616</v>
      </c>
      <c r="CW23">
        <v>5</v>
      </c>
      <c r="CX23">
        <v>18</v>
      </c>
      <c r="CY23">
        <f t="shared" si="60"/>
        <v>193</v>
      </c>
      <c r="CZ23">
        <f t="shared" si="20"/>
        <v>87.439121078264819</v>
      </c>
      <c r="DA23">
        <f t="shared" si="21"/>
        <v>50</v>
      </c>
      <c r="DB23">
        <f t="shared" si="61"/>
        <v>1.1011691269931163</v>
      </c>
      <c r="DG23">
        <v>2.5</v>
      </c>
      <c r="DH23">
        <v>18</v>
      </c>
      <c r="DI23">
        <f t="shared" si="62"/>
        <v>132</v>
      </c>
      <c r="DJ23">
        <f t="shared" si="22"/>
        <v>91.349480968858131</v>
      </c>
      <c r="DK23">
        <f t="shared" si="23"/>
        <v>60</v>
      </c>
      <c r="DL23">
        <f t="shared" si="63"/>
        <v>1.0092272202998829</v>
      </c>
      <c r="DQ23">
        <v>7</v>
      </c>
      <c r="DR23">
        <v>18</v>
      </c>
      <c r="DS23">
        <f t="shared" si="64"/>
        <v>222</v>
      </c>
      <c r="DT23">
        <f t="shared" si="24"/>
        <v>85.188027628549492</v>
      </c>
      <c r="DU23">
        <f t="shared" si="25"/>
        <v>52.941176470588239</v>
      </c>
      <c r="DV23">
        <f t="shared" si="65"/>
        <v>1.3825560922757429</v>
      </c>
      <c r="EA23">
        <v>3.5</v>
      </c>
      <c r="EB23">
        <v>18</v>
      </c>
      <c r="EC23">
        <f t="shared" si="66"/>
        <v>165.5</v>
      </c>
      <c r="ED23">
        <f t="shared" si="26"/>
        <v>84.438775510204081</v>
      </c>
      <c r="EE23">
        <f t="shared" si="27"/>
        <v>52.941176470588239</v>
      </c>
      <c r="EF23">
        <f t="shared" si="67"/>
        <v>0.91911764705881938</v>
      </c>
      <c r="EK23">
        <v>2.5</v>
      </c>
      <c r="EL23">
        <v>18</v>
      </c>
      <c r="EM23">
        <f t="shared" si="68"/>
        <v>131.5</v>
      </c>
      <c r="EN23">
        <f t="shared" si="28"/>
        <v>88.791357191087101</v>
      </c>
      <c r="EO23">
        <f t="shared" si="29"/>
        <v>52.941176470588239</v>
      </c>
      <c r="EP23">
        <f t="shared" si="69"/>
        <v>0.86884855225006563</v>
      </c>
      <c r="EU23">
        <v>1.5</v>
      </c>
      <c r="EV23">
        <v>18</v>
      </c>
      <c r="EW23">
        <f t="shared" si="70"/>
        <v>96.5</v>
      </c>
      <c r="EX23">
        <f t="shared" si="30"/>
        <v>90.994813767091003</v>
      </c>
      <c r="EY23">
        <f t="shared" si="31"/>
        <v>52.941176470588239</v>
      </c>
      <c r="EZ23">
        <f t="shared" si="71"/>
        <v>0.72801397786837407</v>
      </c>
      <c r="FE23">
        <v>7</v>
      </c>
      <c r="FF23">
        <v>18</v>
      </c>
      <c r="FG23">
        <f t="shared" si="72"/>
        <v>274</v>
      </c>
      <c r="FH23">
        <f t="shared" si="32"/>
        <v>92.255892255892263</v>
      </c>
      <c r="FI23">
        <f t="shared" si="33"/>
        <v>64.285714285714292</v>
      </c>
      <c r="FJ23">
        <f t="shared" si="73"/>
        <v>1.4730639730639794</v>
      </c>
      <c r="FO23">
        <v>3</v>
      </c>
      <c r="FP23">
        <v>18</v>
      </c>
      <c r="FQ23">
        <f t="shared" si="74"/>
        <v>149.5</v>
      </c>
      <c r="FR23">
        <f t="shared" si="34"/>
        <v>90.337784760408482</v>
      </c>
      <c r="FS23">
        <f t="shared" si="35"/>
        <v>54.54545454545454</v>
      </c>
      <c r="FT23">
        <f t="shared" si="75"/>
        <v>0.96133246172523523</v>
      </c>
      <c r="FY23">
        <v>2.5</v>
      </c>
      <c r="FZ23">
        <v>18</v>
      </c>
      <c r="GA23">
        <f t="shared" si="76"/>
        <v>175</v>
      </c>
      <c r="GB23">
        <f t="shared" si="36"/>
        <v>92.129507765201382</v>
      </c>
      <c r="GC23">
        <f t="shared" si="37"/>
        <v>56.25</v>
      </c>
      <c r="GD23">
        <f t="shared" si="77"/>
        <v>0.7197617794156419</v>
      </c>
      <c r="GI23">
        <v>2.5</v>
      </c>
      <c r="GJ23">
        <v>18</v>
      </c>
      <c r="GK23">
        <f t="shared" si="78"/>
        <v>146.5</v>
      </c>
      <c r="GL23">
        <f t="shared" si="38"/>
        <v>93.341828607836902</v>
      </c>
      <c r="GM23">
        <f t="shared" si="39"/>
        <v>64.285714285714292</v>
      </c>
      <c r="GN23">
        <f t="shared" si="79"/>
        <v>0.99553998088564011</v>
      </c>
    </row>
    <row r="24" spans="1:196" x14ac:dyDescent="0.2">
      <c r="A24">
        <v>10</v>
      </c>
      <c r="B24">
        <v>19</v>
      </c>
      <c r="C24">
        <f t="shared" si="40"/>
        <v>960</v>
      </c>
      <c r="D24">
        <f t="shared" si="0"/>
        <v>95.143706640237852</v>
      </c>
      <c r="E24">
        <f t="shared" si="1"/>
        <v>65.517241379310349</v>
      </c>
      <c r="F24">
        <f t="shared" si="41"/>
        <v>0.63224086668261426</v>
      </c>
      <c r="K24">
        <v>12</v>
      </c>
      <c r="L24">
        <v>19</v>
      </c>
      <c r="M24">
        <f t="shared" si="42"/>
        <v>791</v>
      </c>
      <c r="N24">
        <f t="shared" si="2"/>
        <v>92.030250145433385</v>
      </c>
      <c r="O24">
        <f t="shared" si="3"/>
        <v>57.575757575757578</v>
      </c>
      <c r="P24">
        <f t="shared" si="43"/>
        <v>0.78269607065418245</v>
      </c>
      <c r="U24">
        <v>15</v>
      </c>
      <c r="V24">
        <v>19</v>
      </c>
      <c r="W24">
        <f t="shared" si="44"/>
        <v>781</v>
      </c>
      <c r="X24">
        <f t="shared" si="4"/>
        <v>94.141755062680815</v>
      </c>
      <c r="Y24">
        <f t="shared" si="5"/>
        <v>63.333333333333329</v>
      </c>
      <c r="Z24">
        <f t="shared" si="45"/>
        <v>1.1149951783992307</v>
      </c>
      <c r="AE24">
        <v>12</v>
      </c>
      <c r="AF24">
        <v>19</v>
      </c>
      <c r="AG24">
        <f t="shared" si="46"/>
        <v>779</v>
      </c>
      <c r="AH24">
        <f t="shared" si="6"/>
        <v>90.845481049562679</v>
      </c>
      <c r="AI24">
        <f t="shared" si="7"/>
        <v>57.575757575757578</v>
      </c>
      <c r="AJ24">
        <f t="shared" si="47"/>
        <v>0.78452160084812606</v>
      </c>
      <c r="AO24">
        <v>20</v>
      </c>
      <c r="AP24">
        <v>19</v>
      </c>
      <c r="AQ24">
        <f t="shared" si="48"/>
        <v>752</v>
      </c>
      <c r="AR24">
        <f t="shared" si="8"/>
        <v>85.043822448402608</v>
      </c>
      <c r="AS24">
        <f t="shared" si="9"/>
        <v>45.238095238095241</v>
      </c>
      <c r="AT24">
        <f t="shared" si="49"/>
        <v>0.99627071637250497</v>
      </c>
      <c r="AY24">
        <v>13</v>
      </c>
      <c r="AZ24">
        <v>19</v>
      </c>
      <c r="BA24">
        <f t="shared" si="50"/>
        <v>628</v>
      </c>
      <c r="BB24">
        <f t="shared" si="10"/>
        <v>90.359712230215834</v>
      </c>
      <c r="BC24">
        <f t="shared" si="11"/>
        <v>51.351351351351347</v>
      </c>
      <c r="BD24">
        <f t="shared" si="51"/>
        <v>0.93525179856115415</v>
      </c>
      <c r="BI24">
        <v>3</v>
      </c>
      <c r="BJ24">
        <v>19</v>
      </c>
      <c r="BK24">
        <f t="shared" si="52"/>
        <v>146.5</v>
      </c>
      <c r="BL24">
        <f t="shared" si="12"/>
        <v>91.964846202134325</v>
      </c>
      <c r="BM24">
        <f t="shared" si="13"/>
        <v>65.517241379310349</v>
      </c>
      <c r="BN24">
        <f t="shared" si="53"/>
        <v>1.2013767127735502</v>
      </c>
      <c r="BS24">
        <v>8</v>
      </c>
      <c r="BT24">
        <v>19</v>
      </c>
      <c r="BU24">
        <f t="shared" si="54"/>
        <v>311</v>
      </c>
      <c r="BV24">
        <f t="shared" si="14"/>
        <v>81.573770491803273</v>
      </c>
      <c r="BW24">
        <f t="shared" si="15"/>
        <v>48.717948717948715</v>
      </c>
      <c r="BX24">
        <f t="shared" si="55"/>
        <v>0.99537620849096353</v>
      </c>
      <c r="CC24">
        <v>5</v>
      </c>
      <c r="CD24">
        <v>19</v>
      </c>
      <c r="CE24">
        <f t="shared" si="56"/>
        <v>282</v>
      </c>
      <c r="CF24">
        <f t="shared" si="16"/>
        <v>92.686935086277728</v>
      </c>
      <c r="CG24">
        <f t="shared" si="17"/>
        <v>61.29032258064516</v>
      </c>
      <c r="CH24">
        <f t="shared" si="57"/>
        <v>0.98072998118058796</v>
      </c>
      <c r="CM24">
        <v>4.5</v>
      </c>
      <c r="CN24">
        <v>19</v>
      </c>
      <c r="CO24">
        <f t="shared" si="58"/>
        <v>177.5</v>
      </c>
      <c r="CP24">
        <f t="shared" si="18"/>
        <v>85.223862681550841</v>
      </c>
      <c r="CQ24">
        <f t="shared" si="19"/>
        <v>52.777777777777779</v>
      </c>
      <c r="CR24">
        <f t="shared" si="59"/>
        <v>1.1103108870483731</v>
      </c>
      <c r="CW24">
        <v>5</v>
      </c>
      <c r="CX24">
        <v>19</v>
      </c>
      <c r="CY24">
        <f t="shared" si="60"/>
        <v>198</v>
      </c>
      <c r="CZ24">
        <f t="shared" si="20"/>
        <v>89.704383282364944</v>
      </c>
      <c r="DA24">
        <f t="shared" si="21"/>
        <v>52.777777777777779</v>
      </c>
      <c r="DB24">
        <f t="shared" si="61"/>
        <v>1.1640930771070088</v>
      </c>
      <c r="DG24">
        <v>2.5</v>
      </c>
      <c r="DH24">
        <v>19</v>
      </c>
      <c r="DI24">
        <f t="shared" si="62"/>
        <v>134.5</v>
      </c>
      <c r="DJ24">
        <f t="shared" si="22"/>
        <v>93.079584775086516</v>
      </c>
      <c r="DK24">
        <f t="shared" si="23"/>
        <v>63.333333333333329</v>
      </c>
      <c r="DL24">
        <f t="shared" si="63"/>
        <v>1.0668973471741707</v>
      </c>
      <c r="DQ24">
        <v>5</v>
      </c>
      <c r="DR24">
        <v>19</v>
      </c>
      <c r="DS24">
        <f t="shared" si="64"/>
        <v>227</v>
      </c>
      <c r="DT24">
        <f t="shared" si="24"/>
        <v>87.106676899462769</v>
      </c>
      <c r="DU24">
        <f t="shared" si="25"/>
        <v>55.882352941176471</v>
      </c>
      <c r="DV24">
        <f t="shared" si="65"/>
        <v>1.04397092682046</v>
      </c>
      <c r="EA24">
        <v>3.5</v>
      </c>
      <c r="EB24">
        <v>19</v>
      </c>
      <c r="EC24">
        <f t="shared" si="66"/>
        <v>169</v>
      </c>
      <c r="ED24">
        <f t="shared" si="26"/>
        <v>86.224489795918373</v>
      </c>
      <c r="EE24">
        <f t="shared" si="27"/>
        <v>55.882352941176471</v>
      </c>
      <c r="EF24">
        <f t="shared" si="67"/>
        <v>0.97163865546218819</v>
      </c>
      <c r="EK24">
        <v>2.5</v>
      </c>
      <c r="EL24">
        <v>19</v>
      </c>
      <c r="EM24">
        <f t="shared" si="68"/>
        <v>134</v>
      </c>
      <c r="EN24">
        <f t="shared" si="28"/>
        <v>90.479405806887243</v>
      </c>
      <c r="EO24">
        <f t="shared" si="29"/>
        <v>55.882352941176471</v>
      </c>
      <c r="EP24">
        <f t="shared" si="69"/>
        <v>0.91849704095007723</v>
      </c>
      <c r="EU24">
        <v>1.5</v>
      </c>
      <c r="EV24">
        <v>19</v>
      </c>
      <c r="EW24">
        <f t="shared" si="70"/>
        <v>98</v>
      </c>
      <c r="EX24">
        <f t="shared" si="30"/>
        <v>92.40924092409243</v>
      </c>
      <c r="EY24">
        <f t="shared" si="31"/>
        <v>55.882352941176471</v>
      </c>
      <c r="EZ24">
        <f t="shared" si="71"/>
        <v>0.76961477660371758</v>
      </c>
      <c r="FE24">
        <v>5</v>
      </c>
      <c r="FF24">
        <v>19</v>
      </c>
      <c r="FG24">
        <f t="shared" si="72"/>
        <v>279</v>
      </c>
      <c r="FH24">
        <f t="shared" si="32"/>
        <v>93.939393939393938</v>
      </c>
      <c r="FI24">
        <f t="shared" si="33"/>
        <v>67.857142857142861</v>
      </c>
      <c r="FJ24">
        <f t="shared" si="73"/>
        <v>1.1123136123136066</v>
      </c>
      <c r="FO24">
        <v>2.5</v>
      </c>
      <c r="FP24">
        <v>19</v>
      </c>
      <c r="FQ24">
        <f t="shared" si="74"/>
        <v>152</v>
      </c>
      <c r="FR24">
        <f t="shared" si="34"/>
        <v>91.848450057405273</v>
      </c>
      <c r="FS24">
        <f t="shared" si="35"/>
        <v>57.575757575757578</v>
      </c>
      <c r="FT24">
        <f t="shared" si="75"/>
        <v>0.84688812104365563</v>
      </c>
      <c r="FY24">
        <v>2.5</v>
      </c>
      <c r="FZ24">
        <v>19</v>
      </c>
      <c r="GA24">
        <f t="shared" si="76"/>
        <v>177.5</v>
      </c>
      <c r="GB24">
        <f t="shared" si="36"/>
        <v>93.445643590418541</v>
      </c>
      <c r="GC24">
        <f t="shared" si="37"/>
        <v>59.375</v>
      </c>
      <c r="GD24">
        <f t="shared" si="77"/>
        <v>0.76089102395367036</v>
      </c>
      <c r="GI24">
        <v>2.5</v>
      </c>
      <c r="GJ24">
        <v>19</v>
      </c>
      <c r="GK24">
        <f t="shared" si="78"/>
        <v>149</v>
      </c>
      <c r="GL24">
        <f t="shared" si="38"/>
        <v>94.934692577253912</v>
      </c>
      <c r="GM24">
        <f t="shared" si="39"/>
        <v>67.857142857142861</v>
      </c>
      <c r="GN24">
        <f t="shared" si="79"/>
        <v>1.052427979793382</v>
      </c>
    </row>
    <row r="25" spans="1:196" x14ac:dyDescent="0.2">
      <c r="A25">
        <v>10</v>
      </c>
      <c r="B25">
        <v>20</v>
      </c>
      <c r="C25">
        <f t="shared" si="40"/>
        <v>970</v>
      </c>
      <c r="D25">
        <f t="shared" si="0"/>
        <v>96.134786917740328</v>
      </c>
      <c r="E25">
        <f t="shared" si="1"/>
        <v>68.965517241379317</v>
      </c>
      <c r="F25">
        <f t="shared" si="41"/>
        <v>0.66641604866545823</v>
      </c>
      <c r="K25">
        <v>10</v>
      </c>
      <c r="L25">
        <v>20</v>
      </c>
      <c r="M25">
        <f t="shared" si="42"/>
        <v>801</v>
      </c>
      <c r="N25">
        <f t="shared" si="2"/>
        <v>93.193717277486911</v>
      </c>
      <c r="O25">
        <f t="shared" si="3"/>
        <v>60.606060606060609</v>
      </c>
      <c r="P25">
        <f t="shared" si="43"/>
        <v>0.68750330530435633</v>
      </c>
      <c r="U25">
        <v>10</v>
      </c>
      <c r="V25">
        <v>20</v>
      </c>
      <c r="W25">
        <f t="shared" si="44"/>
        <v>791</v>
      </c>
      <c r="X25">
        <f t="shared" si="4"/>
        <v>95.347155255544834</v>
      </c>
      <c r="Y25">
        <f t="shared" si="5"/>
        <v>66.666666666666657</v>
      </c>
      <c r="Z25">
        <f t="shared" si="45"/>
        <v>0.78351012536161235</v>
      </c>
      <c r="AE25">
        <v>10</v>
      </c>
      <c r="AF25">
        <v>20</v>
      </c>
      <c r="AG25">
        <f t="shared" si="46"/>
        <v>789</v>
      </c>
      <c r="AH25">
        <f t="shared" si="6"/>
        <v>92.011661807580168</v>
      </c>
      <c r="AI25">
        <f t="shared" si="7"/>
        <v>60.606060606060609</v>
      </c>
      <c r="AJ25">
        <f t="shared" si="47"/>
        <v>0.68910681155578923</v>
      </c>
      <c r="AO25">
        <v>18</v>
      </c>
      <c r="AP25">
        <v>20</v>
      </c>
      <c r="AQ25">
        <f t="shared" si="48"/>
        <v>770</v>
      </c>
      <c r="AR25">
        <f t="shared" si="8"/>
        <v>87.079445858071807</v>
      </c>
      <c r="AS25">
        <f t="shared" si="9"/>
        <v>47.619047619047613</v>
      </c>
      <c r="AT25">
        <f t="shared" si="49"/>
        <v>0.9451108687749854</v>
      </c>
      <c r="AY25">
        <v>12</v>
      </c>
      <c r="AZ25">
        <v>20</v>
      </c>
      <c r="BA25">
        <f t="shared" si="50"/>
        <v>640</v>
      </c>
      <c r="BB25">
        <f t="shared" si="10"/>
        <v>92.086330935251809</v>
      </c>
      <c r="BC25">
        <f t="shared" si="11"/>
        <v>54.054054054054056</v>
      </c>
      <c r="BD25">
        <f t="shared" si="51"/>
        <v>0.90997472292436499</v>
      </c>
      <c r="BI25">
        <v>3</v>
      </c>
      <c r="BJ25">
        <v>20</v>
      </c>
      <c r="BK25">
        <f t="shared" si="52"/>
        <v>149.5</v>
      </c>
      <c r="BL25">
        <f t="shared" si="12"/>
        <v>93.848085373509093</v>
      </c>
      <c r="BM25">
        <f t="shared" si="13"/>
        <v>68.965517241379317</v>
      </c>
      <c r="BN25">
        <f t="shared" si="53"/>
        <v>1.2663159945451028</v>
      </c>
      <c r="BS25">
        <v>8</v>
      </c>
      <c r="BT25">
        <v>20</v>
      </c>
      <c r="BU25">
        <f t="shared" si="54"/>
        <v>319</v>
      </c>
      <c r="BV25">
        <f t="shared" si="14"/>
        <v>83.672131147540981</v>
      </c>
      <c r="BW25">
        <f t="shared" si="15"/>
        <v>51.282051282051277</v>
      </c>
      <c r="BX25">
        <f t="shared" si="55"/>
        <v>1.0491803278688536</v>
      </c>
      <c r="CC25">
        <v>5</v>
      </c>
      <c r="CD25">
        <v>20</v>
      </c>
      <c r="CE25">
        <f t="shared" si="56"/>
        <v>287</v>
      </c>
      <c r="CF25">
        <f t="shared" si="16"/>
        <v>94.330320460147902</v>
      </c>
      <c r="CG25">
        <f t="shared" si="17"/>
        <v>64.516129032258064</v>
      </c>
      <c r="CH25">
        <f t="shared" si="57"/>
        <v>1.0337424125957548</v>
      </c>
      <c r="CM25">
        <v>4</v>
      </c>
      <c r="CN25">
        <v>20</v>
      </c>
      <c r="CO25">
        <f t="shared" si="58"/>
        <v>181.5</v>
      </c>
      <c r="CP25">
        <f t="shared" si="18"/>
        <v>87.144400432121003</v>
      </c>
      <c r="CQ25">
        <f t="shared" si="19"/>
        <v>55.555555555555557</v>
      </c>
      <c r="CR25">
        <f t="shared" si="59"/>
        <v>1.0402912815588379</v>
      </c>
      <c r="CW25">
        <v>4</v>
      </c>
      <c r="CX25">
        <v>20</v>
      </c>
      <c r="CY25">
        <f t="shared" si="60"/>
        <v>202</v>
      </c>
      <c r="CZ25">
        <f t="shared" si="20"/>
        <v>91.516593045645038</v>
      </c>
      <c r="DA25">
        <f t="shared" si="21"/>
        <v>55.555555555555557</v>
      </c>
      <c r="DB25">
        <f t="shared" si="61"/>
        <v>0.98161362177671796</v>
      </c>
      <c r="DG25">
        <v>2.5</v>
      </c>
      <c r="DH25">
        <v>20</v>
      </c>
      <c r="DI25">
        <f t="shared" si="62"/>
        <v>137</v>
      </c>
      <c r="DJ25">
        <f t="shared" si="22"/>
        <v>94.809688581314873</v>
      </c>
      <c r="DK25">
        <f t="shared" si="23"/>
        <v>66.666666666666657</v>
      </c>
      <c r="DL25">
        <f t="shared" si="63"/>
        <v>1.1245674740484319</v>
      </c>
      <c r="DQ25">
        <v>5</v>
      </c>
      <c r="DR25">
        <v>20</v>
      </c>
      <c r="DS25">
        <f t="shared" si="64"/>
        <v>232</v>
      </c>
      <c r="DT25">
        <f t="shared" si="24"/>
        <v>89.025326170376047</v>
      </c>
      <c r="DU25">
        <f t="shared" si="25"/>
        <v>58.82352941176471</v>
      </c>
      <c r="DV25">
        <f t="shared" si="65"/>
        <v>1.1004017877296741</v>
      </c>
      <c r="EA25">
        <v>3</v>
      </c>
      <c r="EB25">
        <v>20</v>
      </c>
      <c r="EC25">
        <f t="shared" si="66"/>
        <v>172</v>
      </c>
      <c r="ED25">
        <f t="shared" si="26"/>
        <v>87.755102040816325</v>
      </c>
      <c r="EE25">
        <f t="shared" si="27"/>
        <v>58.82352941176471</v>
      </c>
      <c r="EF25">
        <f t="shared" si="67"/>
        <v>0.87785114045617862</v>
      </c>
      <c r="EK25">
        <v>1.75</v>
      </c>
      <c r="EL25">
        <v>20</v>
      </c>
      <c r="EM25">
        <f t="shared" si="68"/>
        <v>135.75</v>
      </c>
      <c r="EN25">
        <f t="shared" si="28"/>
        <v>91.661039837947328</v>
      </c>
      <c r="EO25">
        <f t="shared" si="29"/>
        <v>58.82352941176471</v>
      </c>
      <c r="EP25">
        <f t="shared" si="69"/>
        <v>0.67770187075504884</v>
      </c>
      <c r="EU25">
        <v>1.5</v>
      </c>
      <c r="EV25">
        <v>20</v>
      </c>
      <c r="EW25">
        <f t="shared" si="70"/>
        <v>99.5</v>
      </c>
      <c r="EX25">
        <f t="shared" si="30"/>
        <v>93.823668081093842</v>
      </c>
      <c r="EY25">
        <f t="shared" si="31"/>
        <v>58.82352941176471</v>
      </c>
      <c r="EZ25">
        <f t="shared" si="71"/>
        <v>0.81121557533904554</v>
      </c>
      <c r="FE25">
        <v>4</v>
      </c>
      <c r="FF25">
        <v>20</v>
      </c>
      <c r="FG25">
        <f t="shared" si="72"/>
        <v>283</v>
      </c>
      <c r="FH25">
        <f t="shared" si="32"/>
        <v>95.28619528619528</v>
      </c>
      <c r="FI25">
        <f t="shared" si="33"/>
        <v>71.428571428571431</v>
      </c>
      <c r="FJ25">
        <f t="shared" si="73"/>
        <v>0.93795093795093498</v>
      </c>
      <c r="FO25">
        <v>2.5</v>
      </c>
      <c r="FP25">
        <v>20</v>
      </c>
      <c r="FQ25">
        <f t="shared" si="74"/>
        <v>154.5</v>
      </c>
      <c r="FR25">
        <f t="shared" si="34"/>
        <v>93.359115354402078</v>
      </c>
      <c r="FS25">
        <f t="shared" si="35"/>
        <v>60.606060606060609</v>
      </c>
      <c r="FT25">
        <f t="shared" si="75"/>
        <v>0.892665857316294</v>
      </c>
      <c r="FY25">
        <v>2</v>
      </c>
      <c r="FZ25">
        <v>20</v>
      </c>
      <c r="GA25">
        <f t="shared" si="76"/>
        <v>179.5</v>
      </c>
      <c r="GB25">
        <f t="shared" si="36"/>
        <v>94.498552250592269</v>
      </c>
      <c r="GC25">
        <f t="shared" si="37"/>
        <v>62.5</v>
      </c>
      <c r="GD25">
        <f t="shared" si="77"/>
        <v>0.64161621479336528</v>
      </c>
      <c r="GI25">
        <v>1.5</v>
      </c>
      <c r="GJ25">
        <v>20</v>
      </c>
      <c r="GK25">
        <f t="shared" si="78"/>
        <v>150.5</v>
      </c>
      <c r="GL25">
        <f t="shared" si="38"/>
        <v>95.890410958904113</v>
      </c>
      <c r="GM25">
        <f t="shared" si="39"/>
        <v>71.428571428571431</v>
      </c>
      <c r="GN25">
        <f t="shared" si="79"/>
        <v>0.66558958722067529</v>
      </c>
    </row>
    <row r="26" spans="1:196" x14ac:dyDescent="0.2">
      <c r="A26">
        <v>7.5</v>
      </c>
      <c r="B26">
        <v>21</v>
      </c>
      <c r="C26">
        <f t="shared" si="40"/>
        <v>977.5</v>
      </c>
      <c r="D26">
        <f t="shared" si="0"/>
        <v>96.878097125867185</v>
      </c>
      <c r="E26">
        <f t="shared" si="1"/>
        <v>72.41379310344827</v>
      </c>
      <c r="F26">
        <f t="shared" si="41"/>
        <v>0.5254434229862267</v>
      </c>
      <c r="K26">
        <v>10</v>
      </c>
      <c r="L26">
        <v>21</v>
      </c>
      <c r="M26">
        <f t="shared" si="42"/>
        <v>811</v>
      </c>
      <c r="N26">
        <f t="shared" si="2"/>
        <v>94.357184409540423</v>
      </c>
      <c r="O26">
        <f t="shared" si="3"/>
        <v>63.636363636363633</v>
      </c>
      <c r="P26">
        <f t="shared" si="43"/>
        <v>0.72275988506354538</v>
      </c>
      <c r="U26">
        <v>9</v>
      </c>
      <c r="V26">
        <v>21</v>
      </c>
      <c r="W26">
        <f t="shared" si="44"/>
        <v>800</v>
      </c>
      <c r="X26">
        <f t="shared" si="4"/>
        <v>96.432015429122458</v>
      </c>
      <c r="Y26">
        <f t="shared" si="5"/>
        <v>70</v>
      </c>
      <c r="Z26">
        <f t="shared" si="45"/>
        <v>0.7413211186113764</v>
      </c>
      <c r="AE26">
        <v>10</v>
      </c>
      <c r="AF26">
        <v>21</v>
      </c>
      <c r="AG26">
        <f t="shared" si="46"/>
        <v>799</v>
      </c>
      <c r="AH26">
        <f t="shared" si="6"/>
        <v>93.177842565597672</v>
      </c>
      <c r="AI26">
        <f t="shared" si="7"/>
        <v>63.636363636363633</v>
      </c>
      <c r="AJ26">
        <f t="shared" si="47"/>
        <v>0.72444562240481292</v>
      </c>
      <c r="AO26">
        <v>15</v>
      </c>
      <c r="AP26">
        <v>21</v>
      </c>
      <c r="AQ26">
        <f t="shared" si="48"/>
        <v>785</v>
      </c>
      <c r="AR26">
        <f t="shared" si="8"/>
        <v>88.775798699462825</v>
      </c>
      <c r="AS26">
        <f t="shared" si="9"/>
        <v>50</v>
      </c>
      <c r="AT26">
        <f t="shared" si="49"/>
        <v>0.82798174401228275</v>
      </c>
      <c r="AY26">
        <v>10</v>
      </c>
      <c r="AZ26">
        <v>21</v>
      </c>
      <c r="BA26">
        <f t="shared" si="50"/>
        <v>650</v>
      </c>
      <c r="BB26">
        <f t="shared" si="10"/>
        <v>93.525179856115102</v>
      </c>
      <c r="BC26">
        <f t="shared" si="11"/>
        <v>56.756756756756758</v>
      </c>
      <c r="BD26">
        <f t="shared" si="51"/>
        <v>0.79720007777560842</v>
      </c>
      <c r="BI26">
        <v>2.5</v>
      </c>
      <c r="BJ26">
        <v>21</v>
      </c>
      <c r="BK26">
        <f t="shared" si="52"/>
        <v>152</v>
      </c>
      <c r="BL26">
        <f t="shared" si="12"/>
        <v>95.417451349654741</v>
      </c>
      <c r="BM26">
        <f t="shared" si="13"/>
        <v>72.41379310344827</v>
      </c>
      <c r="BN26">
        <f t="shared" si="53"/>
        <v>1.1093793969305437</v>
      </c>
      <c r="BS26">
        <v>8</v>
      </c>
      <c r="BT26">
        <v>21</v>
      </c>
      <c r="BU26">
        <f t="shared" si="54"/>
        <v>327</v>
      </c>
      <c r="BV26">
        <f t="shared" si="14"/>
        <v>85.770491803278688</v>
      </c>
      <c r="BW26">
        <f t="shared" si="15"/>
        <v>53.846153846153847</v>
      </c>
      <c r="BX26">
        <f t="shared" si="55"/>
        <v>1.1029844472467436</v>
      </c>
      <c r="CC26">
        <v>3</v>
      </c>
      <c r="CD26">
        <v>21</v>
      </c>
      <c r="CE26">
        <f t="shared" si="56"/>
        <v>290</v>
      </c>
      <c r="CF26">
        <f t="shared" si="16"/>
        <v>95.316351684470007</v>
      </c>
      <c r="CG26">
        <f t="shared" si="17"/>
        <v>67.741935483870961</v>
      </c>
      <c r="CH26">
        <f t="shared" si="57"/>
        <v>0.65205290640655289</v>
      </c>
      <c r="CM26">
        <v>4</v>
      </c>
      <c r="CN26">
        <v>21</v>
      </c>
      <c r="CO26">
        <f t="shared" si="58"/>
        <v>185.5</v>
      </c>
      <c r="CP26">
        <f t="shared" si="18"/>
        <v>89.064938182691165</v>
      </c>
      <c r="CQ26">
        <f t="shared" si="19"/>
        <v>58.333333333333336</v>
      </c>
      <c r="CR26">
        <f t="shared" si="59"/>
        <v>1.0936395524080089</v>
      </c>
      <c r="CW26">
        <v>3.5</v>
      </c>
      <c r="CX26">
        <v>21</v>
      </c>
      <c r="CY26">
        <f t="shared" si="60"/>
        <v>205.5</v>
      </c>
      <c r="CZ26">
        <f t="shared" si="20"/>
        <v>93.102276588515124</v>
      </c>
      <c r="DA26">
        <f t="shared" si="21"/>
        <v>58.333333333333336</v>
      </c>
      <c r="DB26">
        <f t="shared" si="61"/>
        <v>0.90295868413435454</v>
      </c>
      <c r="DG26">
        <v>1.5</v>
      </c>
      <c r="DH26">
        <v>21</v>
      </c>
      <c r="DI26">
        <f t="shared" si="62"/>
        <v>138.5</v>
      </c>
      <c r="DJ26">
        <f t="shared" si="22"/>
        <v>95.847750865051907</v>
      </c>
      <c r="DK26">
        <f t="shared" si="23"/>
        <v>70</v>
      </c>
      <c r="DL26">
        <f t="shared" si="63"/>
        <v>0.70934256055363976</v>
      </c>
      <c r="DQ26">
        <v>5</v>
      </c>
      <c r="DR26">
        <v>21</v>
      </c>
      <c r="DS26">
        <f t="shared" si="64"/>
        <v>237</v>
      </c>
      <c r="DT26">
        <f t="shared" si="24"/>
        <v>90.943975441289325</v>
      </c>
      <c r="DU26">
        <f t="shared" si="25"/>
        <v>61.764705882352942</v>
      </c>
      <c r="DV26">
        <f t="shared" si="65"/>
        <v>1.1568326486388882</v>
      </c>
      <c r="EA26">
        <v>3</v>
      </c>
      <c r="EB26">
        <v>21</v>
      </c>
      <c r="EC26">
        <f t="shared" si="66"/>
        <v>175</v>
      </c>
      <c r="ED26">
        <f t="shared" si="26"/>
        <v>89.285714285714292</v>
      </c>
      <c r="EE26">
        <f t="shared" si="27"/>
        <v>61.764705882352942</v>
      </c>
      <c r="EF26">
        <f t="shared" si="67"/>
        <v>0.92286914765906802</v>
      </c>
      <c r="EK26">
        <v>1.5</v>
      </c>
      <c r="EL26">
        <v>21</v>
      </c>
      <c r="EM26">
        <f t="shared" si="68"/>
        <v>137.25</v>
      </c>
      <c r="EN26">
        <f t="shared" si="28"/>
        <v>92.673869007427427</v>
      </c>
      <c r="EO26">
        <f t="shared" si="29"/>
        <v>61.764705882352942</v>
      </c>
      <c r="EP26">
        <f t="shared" si="69"/>
        <v>0.61067641101005987</v>
      </c>
      <c r="EU26">
        <v>1.5</v>
      </c>
      <c r="EV26">
        <v>21</v>
      </c>
      <c r="EW26">
        <f t="shared" si="70"/>
        <v>101</v>
      </c>
      <c r="EX26">
        <f t="shared" si="30"/>
        <v>95.238095238095255</v>
      </c>
      <c r="EY26">
        <f t="shared" si="31"/>
        <v>61.764705882352942</v>
      </c>
      <c r="EZ26">
        <f t="shared" si="71"/>
        <v>0.85281637407438116</v>
      </c>
      <c r="FE26">
        <v>3</v>
      </c>
      <c r="FF26">
        <v>21</v>
      </c>
      <c r="FG26">
        <f t="shared" si="72"/>
        <v>286</v>
      </c>
      <c r="FH26">
        <f t="shared" si="32"/>
        <v>96.296296296296291</v>
      </c>
      <c r="FI26">
        <f t="shared" si="33"/>
        <v>75</v>
      </c>
      <c r="FJ26">
        <f t="shared" si="73"/>
        <v>0.73953823953823983</v>
      </c>
      <c r="FO26">
        <v>2</v>
      </c>
      <c r="FP26">
        <v>21</v>
      </c>
      <c r="FQ26">
        <f t="shared" si="74"/>
        <v>156.5</v>
      </c>
      <c r="FR26">
        <f t="shared" si="34"/>
        <v>94.567647591999517</v>
      </c>
      <c r="FS26">
        <f t="shared" si="35"/>
        <v>63.636363636363633</v>
      </c>
      <c r="FT26">
        <f t="shared" si="75"/>
        <v>0.75075487487113601</v>
      </c>
      <c r="FY26">
        <v>2</v>
      </c>
      <c r="FZ26">
        <v>21</v>
      </c>
      <c r="GA26">
        <f t="shared" si="76"/>
        <v>181.5</v>
      </c>
      <c r="GB26">
        <f t="shared" si="36"/>
        <v>95.551460910765996</v>
      </c>
      <c r="GC26">
        <f t="shared" si="37"/>
        <v>65.625</v>
      </c>
      <c r="GD26">
        <f t="shared" si="77"/>
        <v>0.67451961042379427</v>
      </c>
      <c r="GI26">
        <v>1.5</v>
      </c>
      <c r="GJ26">
        <v>21</v>
      </c>
      <c r="GK26">
        <f t="shared" si="78"/>
        <v>152</v>
      </c>
      <c r="GL26">
        <f t="shared" si="38"/>
        <v>96.846129340554327</v>
      </c>
      <c r="GM26">
        <f t="shared" si="39"/>
        <v>75</v>
      </c>
      <c r="GN26">
        <f t="shared" si="79"/>
        <v>0.69972238656533581</v>
      </c>
    </row>
    <row r="27" spans="1:196" x14ac:dyDescent="0.2">
      <c r="A27">
        <v>7</v>
      </c>
      <c r="B27">
        <v>22</v>
      </c>
      <c r="C27">
        <f t="shared" si="40"/>
        <v>984.5</v>
      </c>
      <c r="D27">
        <f t="shared" si="0"/>
        <v>97.571853320118933</v>
      </c>
      <c r="E27">
        <f t="shared" si="1"/>
        <v>75.862068965517238</v>
      </c>
      <c r="F27">
        <f t="shared" si="41"/>
        <v>0.51433648884181293</v>
      </c>
      <c r="K27">
        <v>8</v>
      </c>
      <c r="L27">
        <v>22</v>
      </c>
      <c r="M27">
        <f t="shared" si="42"/>
        <v>819</v>
      </c>
      <c r="N27">
        <f t="shared" si="2"/>
        <v>95.287958115183244</v>
      </c>
      <c r="O27">
        <f t="shared" si="3"/>
        <v>66.666666666666657</v>
      </c>
      <c r="P27">
        <f t="shared" si="43"/>
        <v>0.60641317185820143</v>
      </c>
      <c r="U27">
        <v>7</v>
      </c>
      <c r="V27">
        <v>22</v>
      </c>
      <c r="W27">
        <f t="shared" si="44"/>
        <v>807</v>
      </c>
      <c r="X27">
        <f t="shared" si="4"/>
        <v>97.275795564127293</v>
      </c>
      <c r="Y27">
        <f t="shared" si="5"/>
        <v>73.333333333333329</v>
      </c>
      <c r="Z27">
        <f t="shared" si="45"/>
        <v>0.60470909675346474</v>
      </c>
      <c r="AE27">
        <v>10</v>
      </c>
      <c r="AF27">
        <v>22</v>
      </c>
      <c r="AG27">
        <f t="shared" si="46"/>
        <v>809</v>
      </c>
      <c r="AH27">
        <f t="shared" si="6"/>
        <v>94.344023323615161</v>
      </c>
      <c r="AI27">
        <f t="shared" si="7"/>
        <v>66.666666666666657</v>
      </c>
      <c r="AJ27">
        <f t="shared" si="47"/>
        <v>0.75978443325381873</v>
      </c>
      <c r="AO27">
        <v>15</v>
      </c>
      <c r="AP27">
        <v>22</v>
      </c>
      <c r="AQ27">
        <f t="shared" si="48"/>
        <v>800</v>
      </c>
      <c r="AR27">
        <f t="shared" si="8"/>
        <v>90.472151540853829</v>
      </c>
      <c r="AS27">
        <f t="shared" si="9"/>
        <v>52.380952380952387</v>
      </c>
      <c r="AT27">
        <f t="shared" si="49"/>
        <v>0.8683710973787282</v>
      </c>
      <c r="AY27">
        <v>7</v>
      </c>
      <c r="AZ27">
        <v>22</v>
      </c>
      <c r="BA27">
        <f t="shared" si="50"/>
        <v>657</v>
      </c>
      <c r="BB27">
        <f t="shared" si="10"/>
        <v>94.532374100719423</v>
      </c>
      <c r="BC27">
        <f t="shared" si="11"/>
        <v>59.45945945945946</v>
      </c>
      <c r="BD27">
        <f t="shared" si="51"/>
        <v>0.5852615205133217</v>
      </c>
      <c r="BI27">
        <v>2</v>
      </c>
      <c r="BJ27">
        <v>22</v>
      </c>
      <c r="BK27">
        <f t="shared" si="52"/>
        <v>154</v>
      </c>
      <c r="BL27">
        <f t="shared" si="12"/>
        <v>96.672944130571253</v>
      </c>
      <c r="BM27">
        <f t="shared" si="13"/>
        <v>75.862068965517238</v>
      </c>
      <c r="BN27">
        <f t="shared" si="53"/>
        <v>0.93079637205879351</v>
      </c>
      <c r="BS27">
        <v>7</v>
      </c>
      <c r="BT27">
        <v>22</v>
      </c>
      <c r="BU27">
        <f t="shared" si="54"/>
        <v>334</v>
      </c>
      <c r="BV27">
        <f t="shared" si="14"/>
        <v>87.606557377049171</v>
      </c>
      <c r="BW27">
        <f t="shared" si="15"/>
        <v>56.410256410256409</v>
      </c>
      <c r="BX27">
        <f t="shared" si="55"/>
        <v>1.0121899957965483</v>
      </c>
      <c r="CC27">
        <v>3</v>
      </c>
      <c r="CD27">
        <v>22</v>
      </c>
      <c r="CE27">
        <f t="shared" si="56"/>
        <v>293</v>
      </c>
      <c r="CF27">
        <f t="shared" si="16"/>
        <v>96.302382908792111</v>
      </c>
      <c r="CG27">
        <f t="shared" si="17"/>
        <v>70.967741935483872</v>
      </c>
      <c r="CH27">
        <f t="shared" si="57"/>
        <v>0.68386036525565297</v>
      </c>
      <c r="CM27">
        <v>4</v>
      </c>
      <c r="CN27">
        <v>22</v>
      </c>
      <c r="CO27">
        <f t="shared" si="58"/>
        <v>189.5</v>
      </c>
      <c r="CP27">
        <f t="shared" si="18"/>
        <v>90.985475933261327</v>
      </c>
      <c r="CQ27">
        <f t="shared" si="19"/>
        <v>61.111111111111114</v>
      </c>
      <c r="CR27">
        <f t="shared" si="59"/>
        <v>1.1469878232571802</v>
      </c>
      <c r="CW27">
        <v>3</v>
      </c>
      <c r="CX27">
        <v>22</v>
      </c>
      <c r="CY27">
        <f t="shared" si="60"/>
        <v>208.5</v>
      </c>
      <c r="CZ27">
        <f t="shared" si="20"/>
        <v>94.461433910975202</v>
      </c>
      <c r="DA27">
        <f t="shared" si="21"/>
        <v>61.111111111111114</v>
      </c>
      <c r="DB27">
        <f t="shared" si="61"/>
        <v>0.81171895646921333</v>
      </c>
      <c r="DG27">
        <v>1.5</v>
      </c>
      <c r="DH27">
        <v>22</v>
      </c>
      <c r="DI27">
        <f t="shared" si="62"/>
        <v>140</v>
      </c>
      <c r="DJ27">
        <f t="shared" si="22"/>
        <v>96.885813148788927</v>
      </c>
      <c r="DK27">
        <f t="shared" si="23"/>
        <v>73.333333333333329</v>
      </c>
      <c r="DL27">
        <f t="shared" si="63"/>
        <v>0.74394463667819732</v>
      </c>
      <c r="DQ27">
        <v>5</v>
      </c>
      <c r="DR27">
        <v>22</v>
      </c>
      <c r="DS27">
        <f t="shared" si="64"/>
        <v>242</v>
      </c>
      <c r="DT27">
        <f t="shared" si="24"/>
        <v>92.862624712202603</v>
      </c>
      <c r="DU27">
        <f t="shared" si="25"/>
        <v>64.705882352941174</v>
      </c>
      <c r="DV27">
        <f t="shared" si="65"/>
        <v>1.2132635095481021</v>
      </c>
      <c r="EA27">
        <v>3</v>
      </c>
      <c r="EB27">
        <v>22</v>
      </c>
      <c r="EC27">
        <f t="shared" si="66"/>
        <v>178</v>
      </c>
      <c r="ED27">
        <f t="shared" si="26"/>
        <v>90.816326530612244</v>
      </c>
      <c r="EE27">
        <f t="shared" si="27"/>
        <v>64.705882352941174</v>
      </c>
      <c r="EF27">
        <f t="shared" si="67"/>
        <v>0.96788715486194032</v>
      </c>
      <c r="EK27">
        <v>1.5</v>
      </c>
      <c r="EL27">
        <v>22</v>
      </c>
      <c r="EM27">
        <f t="shared" si="68"/>
        <v>138.75</v>
      </c>
      <c r="EN27">
        <f t="shared" si="28"/>
        <v>93.686698176907498</v>
      </c>
      <c r="EO27">
        <f t="shared" si="29"/>
        <v>64.705882352941174</v>
      </c>
      <c r="EP27">
        <f t="shared" si="69"/>
        <v>0.64046550423004478</v>
      </c>
      <c r="EU27">
        <v>1</v>
      </c>
      <c r="EV27">
        <v>22</v>
      </c>
      <c r="EW27">
        <f t="shared" si="70"/>
        <v>102</v>
      </c>
      <c r="EX27">
        <f t="shared" si="30"/>
        <v>96.181046676096187</v>
      </c>
      <c r="EY27">
        <f t="shared" si="31"/>
        <v>64.705882352941174</v>
      </c>
      <c r="EZ27">
        <f t="shared" si="71"/>
        <v>0.59627811520647189</v>
      </c>
      <c r="FE27">
        <v>3</v>
      </c>
      <c r="FF27">
        <v>22</v>
      </c>
      <c r="FG27">
        <f t="shared" si="72"/>
        <v>289</v>
      </c>
      <c r="FH27">
        <f t="shared" si="32"/>
        <v>97.306397306397301</v>
      </c>
      <c r="FI27">
        <f t="shared" si="33"/>
        <v>78.571428571428569</v>
      </c>
      <c r="FJ27">
        <f t="shared" si="73"/>
        <v>0.77561327561327575</v>
      </c>
      <c r="FO27">
        <v>1.5</v>
      </c>
      <c r="FP27">
        <v>22</v>
      </c>
      <c r="FQ27">
        <f t="shared" si="74"/>
        <v>158</v>
      </c>
      <c r="FR27">
        <f t="shared" si="34"/>
        <v>95.474046770197589</v>
      </c>
      <c r="FS27">
        <f t="shared" si="35"/>
        <v>66.666666666666657</v>
      </c>
      <c r="FT27">
        <f t="shared" si="75"/>
        <v>0.59053279791692548</v>
      </c>
      <c r="FY27">
        <v>1.5</v>
      </c>
      <c r="FZ27">
        <v>22</v>
      </c>
      <c r="GA27">
        <f t="shared" si="76"/>
        <v>183</v>
      </c>
      <c r="GB27">
        <f t="shared" si="36"/>
        <v>96.341142405896292</v>
      </c>
      <c r="GC27">
        <f t="shared" si="37"/>
        <v>68.75</v>
      </c>
      <c r="GD27">
        <f t="shared" si="77"/>
        <v>0.53056725454066744</v>
      </c>
      <c r="GI27">
        <v>1.5</v>
      </c>
      <c r="GJ27">
        <v>22</v>
      </c>
      <c r="GK27">
        <f t="shared" si="78"/>
        <v>153.5</v>
      </c>
      <c r="GL27">
        <f t="shared" si="38"/>
        <v>97.801847722204528</v>
      </c>
      <c r="GM27">
        <f t="shared" si="39"/>
        <v>78.571428571428569</v>
      </c>
      <c r="GN27">
        <f t="shared" si="79"/>
        <v>0.73385518590997523</v>
      </c>
    </row>
    <row r="28" spans="1:196" x14ac:dyDescent="0.2">
      <c r="A28">
        <v>7</v>
      </c>
      <c r="B28">
        <v>23</v>
      </c>
      <c r="C28">
        <f t="shared" si="40"/>
        <v>991.5</v>
      </c>
      <c r="D28">
        <f t="shared" si="0"/>
        <v>98.265609514370666</v>
      </c>
      <c r="E28">
        <f t="shared" si="1"/>
        <v>79.310344827586206</v>
      </c>
      <c r="F28">
        <f t="shared" si="41"/>
        <v>0.53825911622979317</v>
      </c>
      <c r="K28">
        <v>7</v>
      </c>
      <c r="L28">
        <v>23</v>
      </c>
      <c r="M28">
        <f t="shared" si="42"/>
        <v>826</v>
      </c>
      <c r="N28">
        <f t="shared" si="2"/>
        <v>96.102385107620719</v>
      </c>
      <c r="O28">
        <f t="shared" si="3"/>
        <v>69.696969696969703</v>
      </c>
      <c r="P28">
        <f t="shared" si="43"/>
        <v>0.55529113120736961</v>
      </c>
      <c r="U28">
        <v>7</v>
      </c>
      <c r="V28">
        <v>23</v>
      </c>
      <c r="W28">
        <f t="shared" si="44"/>
        <v>814</v>
      </c>
      <c r="X28">
        <f t="shared" si="4"/>
        <v>98.119575699132113</v>
      </c>
      <c r="Y28">
        <f t="shared" si="5"/>
        <v>76.666666666666671</v>
      </c>
      <c r="Z28">
        <f t="shared" si="45"/>
        <v>0.63283510125361531</v>
      </c>
      <c r="AE28">
        <v>10</v>
      </c>
      <c r="AF28">
        <v>23</v>
      </c>
      <c r="AG28">
        <f t="shared" si="46"/>
        <v>819</v>
      </c>
      <c r="AH28">
        <f t="shared" si="6"/>
        <v>95.510204081632651</v>
      </c>
      <c r="AI28">
        <f t="shared" si="7"/>
        <v>69.696969696969703</v>
      </c>
      <c r="AJ28">
        <f t="shared" si="47"/>
        <v>0.79512324410283386</v>
      </c>
      <c r="AO28">
        <v>15</v>
      </c>
      <c r="AP28">
        <v>23</v>
      </c>
      <c r="AQ28">
        <f t="shared" si="48"/>
        <v>815</v>
      </c>
      <c r="AR28">
        <f t="shared" si="8"/>
        <v>92.168504382244848</v>
      </c>
      <c r="AS28">
        <f t="shared" si="9"/>
        <v>54.761904761904766</v>
      </c>
      <c r="AT28">
        <f t="shared" si="49"/>
        <v>0.90876045074518841</v>
      </c>
      <c r="AY28">
        <v>7</v>
      </c>
      <c r="AZ28">
        <v>23</v>
      </c>
      <c r="BA28">
        <f t="shared" si="50"/>
        <v>664</v>
      </c>
      <c r="BB28">
        <f t="shared" si="10"/>
        <v>95.539568345323744</v>
      </c>
      <c r="BC28">
        <f t="shared" si="11"/>
        <v>62.162162162162161</v>
      </c>
      <c r="BD28">
        <f t="shared" si="51"/>
        <v>0.61248298658370859</v>
      </c>
      <c r="BI28">
        <v>1.5</v>
      </c>
      <c r="BJ28">
        <v>23</v>
      </c>
      <c r="BK28">
        <f t="shared" si="52"/>
        <v>155.5</v>
      </c>
      <c r="BL28">
        <f t="shared" si="12"/>
        <v>97.61456371625863</v>
      </c>
      <c r="BM28">
        <f t="shared" si="13"/>
        <v>79.310344827586206</v>
      </c>
      <c r="BN28">
        <f t="shared" si="53"/>
        <v>0.73056691992986145</v>
      </c>
      <c r="BS28">
        <v>7</v>
      </c>
      <c r="BT28">
        <v>23</v>
      </c>
      <c r="BU28">
        <f t="shared" si="54"/>
        <v>341</v>
      </c>
      <c r="BV28">
        <f t="shared" si="14"/>
        <v>89.442622950819668</v>
      </c>
      <c r="BW28">
        <f t="shared" si="15"/>
        <v>58.974358974358978</v>
      </c>
      <c r="BX28">
        <f t="shared" si="55"/>
        <v>1.05926860025221</v>
      </c>
      <c r="CC28">
        <v>3</v>
      </c>
      <c r="CD28">
        <v>23</v>
      </c>
      <c r="CE28">
        <f t="shared" si="56"/>
        <v>296</v>
      </c>
      <c r="CF28">
        <f t="shared" si="16"/>
        <v>97.288414133114216</v>
      </c>
      <c r="CG28">
        <f t="shared" si="17"/>
        <v>74.193548387096769</v>
      </c>
      <c r="CH28">
        <f t="shared" si="57"/>
        <v>0.71566782410475327</v>
      </c>
      <c r="CM28">
        <v>3.5</v>
      </c>
      <c r="CN28">
        <v>23</v>
      </c>
      <c r="CO28">
        <f t="shared" si="58"/>
        <v>193</v>
      </c>
      <c r="CP28">
        <f t="shared" si="18"/>
        <v>92.665946465010222</v>
      </c>
      <c r="CQ28">
        <f t="shared" si="19"/>
        <v>63.888888888888886</v>
      </c>
      <c r="CR28">
        <f t="shared" si="59"/>
        <v>1.0502940823430595</v>
      </c>
      <c r="CW28">
        <v>2</v>
      </c>
      <c r="CX28">
        <v>23</v>
      </c>
      <c r="CY28">
        <f t="shared" si="60"/>
        <v>210.5</v>
      </c>
      <c r="CZ28">
        <f t="shared" si="20"/>
        <v>95.36753879261525</v>
      </c>
      <c r="DA28">
        <f t="shared" si="21"/>
        <v>63.888888888888886</v>
      </c>
      <c r="DB28">
        <f t="shared" si="61"/>
        <v>0.56631555102502951</v>
      </c>
      <c r="DG28">
        <v>1</v>
      </c>
      <c r="DH28">
        <v>23</v>
      </c>
      <c r="DI28">
        <f t="shared" si="62"/>
        <v>141</v>
      </c>
      <c r="DJ28">
        <f t="shared" si="22"/>
        <v>97.577854671280278</v>
      </c>
      <c r="DK28">
        <f t="shared" si="23"/>
        <v>76.666666666666671</v>
      </c>
      <c r="DL28">
        <f t="shared" si="63"/>
        <v>0.5190311418685134</v>
      </c>
      <c r="DQ28">
        <v>5</v>
      </c>
      <c r="DR28">
        <v>23</v>
      </c>
      <c r="DS28">
        <f t="shared" si="64"/>
        <v>247</v>
      </c>
      <c r="DT28">
        <f t="shared" si="24"/>
        <v>94.781273983115881</v>
      </c>
      <c r="DU28">
        <f t="shared" si="25"/>
        <v>67.64705882352942</v>
      </c>
      <c r="DV28">
        <f t="shared" si="65"/>
        <v>1.2696943704573165</v>
      </c>
      <c r="EA28">
        <v>3</v>
      </c>
      <c r="EB28">
        <v>23</v>
      </c>
      <c r="EC28">
        <f t="shared" si="66"/>
        <v>181</v>
      </c>
      <c r="ED28">
        <f t="shared" si="26"/>
        <v>92.346938775510196</v>
      </c>
      <c r="EE28">
        <f t="shared" si="27"/>
        <v>67.64705882352942</v>
      </c>
      <c r="EF28">
        <f t="shared" si="67"/>
        <v>1.0129051620648215</v>
      </c>
      <c r="EK28">
        <v>1.5</v>
      </c>
      <c r="EL28">
        <v>23</v>
      </c>
      <c r="EM28">
        <f t="shared" si="68"/>
        <v>140.25</v>
      </c>
      <c r="EN28">
        <f t="shared" si="28"/>
        <v>94.699527346387583</v>
      </c>
      <c r="EO28">
        <f t="shared" si="29"/>
        <v>67.64705882352942</v>
      </c>
      <c r="EP28">
        <f t="shared" si="69"/>
        <v>0.67025459745005633</v>
      </c>
      <c r="EU28">
        <v>0.5</v>
      </c>
      <c r="EV28">
        <v>23</v>
      </c>
      <c r="EW28">
        <f t="shared" si="70"/>
        <v>102.5</v>
      </c>
      <c r="EX28">
        <f t="shared" si="30"/>
        <v>96.652522395096668</v>
      </c>
      <c r="EY28">
        <f t="shared" si="31"/>
        <v>67.64705882352942</v>
      </c>
      <c r="EZ28">
        <f t="shared" si="71"/>
        <v>0.31200599051502381</v>
      </c>
      <c r="FE28">
        <v>2.5</v>
      </c>
      <c r="FF28">
        <v>23</v>
      </c>
      <c r="FG28">
        <f t="shared" si="72"/>
        <v>291.5</v>
      </c>
      <c r="FH28">
        <f t="shared" si="32"/>
        <v>98.148148148148152</v>
      </c>
      <c r="FI28">
        <f t="shared" si="33"/>
        <v>82.142857142857139</v>
      </c>
      <c r="FJ28">
        <f t="shared" si="73"/>
        <v>0.67640692640693434</v>
      </c>
      <c r="FO28">
        <v>1.5</v>
      </c>
      <c r="FP28">
        <v>23</v>
      </c>
      <c r="FQ28">
        <f t="shared" si="74"/>
        <v>159.5</v>
      </c>
      <c r="FR28">
        <f t="shared" si="34"/>
        <v>96.380445948395661</v>
      </c>
      <c r="FS28">
        <f t="shared" si="35"/>
        <v>69.696969696969703</v>
      </c>
      <c r="FT28">
        <f t="shared" si="75"/>
        <v>0.61799943968050353</v>
      </c>
      <c r="FY28">
        <v>1.5</v>
      </c>
      <c r="FZ28">
        <v>23</v>
      </c>
      <c r="GA28">
        <f t="shared" si="76"/>
        <v>184.5</v>
      </c>
      <c r="GB28">
        <f t="shared" si="36"/>
        <v>97.130823901026602</v>
      </c>
      <c r="GC28">
        <f t="shared" si="37"/>
        <v>71.875</v>
      </c>
      <c r="GD28">
        <f t="shared" si="77"/>
        <v>0.55524480126349918</v>
      </c>
      <c r="GI28">
        <v>1</v>
      </c>
      <c r="GJ28">
        <v>23</v>
      </c>
      <c r="GK28">
        <f t="shared" si="78"/>
        <v>154.5</v>
      </c>
      <c r="GL28">
        <f t="shared" si="38"/>
        <v>98.438993309971337</v>
      </c>
      <c r="GM28">
        <f t="shared" si="39"/>
        <v>82.142857142857139</v>
      </c>
      <c r="GN28">
        <f t="shared" si="79"/>
        <v>0.51199199016975783</v>
      </c>
    </row>
    <row r="29" spans="1:196" x14ac:dyDescent="0.2">
      <c r="A29">
        <v>5</v>
      </c>
      <c r="B29">
        <v>24</v>
      </c>
      <c r="C29">
        <f t="shared" si="40"/>
        <v>996.5</v>
      </c>
      <c r="D29">
        <f t="shared" si="0"/>
        <v>98.761149653121905</v>
      </c>
      <c r="E29">
        <f t="shared" si="1"/>
        <v>82.758620689655174</v>
      </c>
      <c r="F29">
        <f t="shared" si="41"/>
        <v>0.40155838829841711</v>
      </c>
      <c r="K29">
        <v>7</v>
      </c>
      <c r="L29">
        <v>24</v>
      </c>
      <c r="M29">
        <f t="shared" si="42"/>
        <v>833</v>
      </c>
      <c r="N29">
        <f t="shared" si="2"/>
        <v>96.916812100058166</v>
      </c>
      <c r="O29">
        <f t="shared" si="3"/>
        <v>72.727272727272734</v>
      </c>
      <c r="P29">
        <f t="shared" si="43"/>
        <v>0.5799707370387881</v>
      </c>
      <c r="U29">
        <v>5</v>
      </c>
      <c r="V29">
        <v>24</v>
      </c>
      <c r="W29">
        <f t="shared" si="44"/>
        <v>819</v>
      </c>
      <c r="X29">
        <f t="shared" si="4"/>
        <v>98.72227579556413</v>
      </c>
      <c r="Y29">
        <f t="shared" si="5"/>
        <v>80</v>
      </c>
      <c r="Z29">
        <f t="shared" si="45"/>
        <v>0.47211507553841309</v>
      </c>
      <c r="AE29">
        <v>8</v>
      </c>
      <c r="AF29">
        <v>24</v>
      </c>
      <c r="AG29">
        <f t="shared" si="46"/>
        <v>827</v>
      </c>
      <c r="AH29">
        <f t="shared" si="6"/>
        <v>96.443148688046648</v>
      </c>
      <c r="AI29">
        <f t="shared" si="7"/>
        <v>72.727272727272734</v>
      </c>
      <c r="AJ29">
        <f t="shared" si="47"/>
        <v>0.66436964396148301</v>
      </c>
      <c r="AO29">
        <v>12</v>
      </c>
      <c r="AP29">
        <v>24</v>
      </c>
      <c r="AQ29">
        <f t="shared" si="48"/>
        <v>827</v>
      </c>
      <c r="AR29">
        <f t="shared" si="8"/>
        <v>93.525586655357657</v>
      </c>
      <c r="AS29">
        <f t="shared" si="9"/>
        <v>57.142857142857139</v>
      </c>
      <c r="AT29">
        <f t="shared" si="49"/>
        <v>0.75931984328930968</v>
      </c>
      <c r="AY29">
        <v>6</v>
      </c>
      <c r="AZ29">
        <v>24</v>
      </c>
      <c r="BA29">
        <f t="shared" si="50"/>
        <v>670</v>
      </c>
      <c r="BB29">
        <f t="shared" si="10"/>
        <v>96.402877697841731</v>
      </c>
      <c r="BC29">
        <f t="shared" si="11"/>
        <v>64.86486486486487</v>
      </c>
      <c r="BD29">
        <f t="shared" si="51"/>
        <v>0.54831810227493794</v>
      </c>
      <c r="BI29">
        <v>1</v>
      </c>
      <c r="BJ29">
        <v>24</v>
      </c>
      <c r="BK29">
        <f t="shared" si="52"/>
        <v>156.5</v>
      </c>
      <c r="BL29">
        <f t="shared" si="12"/>
        <v>98.242310106716886</v>
      </c>
      <c r="BM29">
        <f t="shared" si="13"/>
        <v>82.758620689655174</v>
      </c>
      <c r="BN29">
        <f t="shared" si="53"/>
        <v>0.50869104054375935</v>
      </c>
      <c r="BS29">
        <v>5</v>
      </c>
      <c r="BT29">
        <v>24</v>
      </c>
      <c r="BU29">
        <f t="shared" si="54"/>
        <v>346</v>
      </c>
      <c r="BV29">
        <f t="shared" si="14"/>
        <v>90.754098360655732</v>
      </c>
      <c r="BW29">
        <f t="shared" si="15"/>
        <v>61.53846153846154</v>
      </c>
      <c r="BX29">
        <f t="shared" si="55"/>
        <v>0.79024800336275636</v>
      </c>
      <c r="CC29">
        <v>2.5</v>
      </c>
      <c r="CD29">
        <v>24</v>
      </c>
      <c r="CE29">
        <f t="shared" si="56"/>
        <v>298.5</v>
      </c>
      <c r="CF29">
        <f t="shared" si="16"/>
        <v>98.11010682004931</v>
      </c>
      <c r="CG29">
        <f t="shared" si="17"/>
        <v>77.41935483870968</v>
      </c>
      <c r="CH29">
        <f t="shared" si="57"/>
        <v>0.6228960691282166</v>
      </c>
      <c r="CM29">
        <v>3.5</v>
      </c>
      <c r="CN29">
        <v>24</v>
      </c>
      <c r="CO29">
        <f t="shared" si="58"/>
        <v>196.5</v>
      </c>
      <c r="CP29">
        <f t="shared" si="18"/>
        <v>94.346416996759103</v>
      </c>
      <c r="CQ29">
        <f t="shared" si="19"/>
        <v>66.666666666666657</v>
      </c>
      <c r="CR29">
        <f t="shared" si="59"/>
        <v>1.096973819336075</v>
      </c>
      <c r="CW29">
        <v>2</v>
      </c>
      <c r="CX29">
        <v>24</v>
      </c>
      <c r="CY29">
        <f t="shared" si="60"/>
        <v>212.5</v>
      </c>
      <c r="CZ29">
        <f t="shared" si="20"/>
        <v>96.273643674255297</v>
      </c>
      <c r="DA29">
        <f t="shared" si="21"/>
        <v>66.666666666666657</v>
      </c>
      <c r="DB29">
        <f t="shared" si="61"/>
        <v>0.59148513107058631</v>
      </c>
      <c r="DG29">
        <v>1</v>
      </c>
      <c r="DH29">
        <v>24</v>
      </c>
      <c r="DI29">
        <f t="shared" si="62"/>
        <v>142</v>
      </c>
      <c r="DJ29">
        <f t="shared" si="22"/>
        <v>98.269896193771615</v>
      </c>
      <c r="DK29">
        <f t="shared" si="23"/>
        <v>80</v>
      </c>
      <c r="DL29">
        <f t="shared" si="63"/>
        <v>0.54209919261821404</v>
      </c>
      <c r="DQ29">
        <v>4</v>
      </c>
      <c r="DR29">
        <v>24</v>
      </c>
      <c r="DS29">
        <f t="shared" si="64"/>
        <v>251</v>
      </c>
      <c r="DT29">
        <f t="shared" si="24"/>
        <v>96.316193399846497</v>
      </c>
      <c r="DU29">
        <f t="shared" si="25"/>
        <v>70.588235294117652</v>
      </c>
      <c r="DV29">
        <f t="shared" si="65"/>
        <v>1.0609001850932203</v>
      </c>
      <c r="EA29">
        <v>2</v>
      </c>
      <c r="EB29">
        <v>24</v>
      </c>
      <c r="EC29">
        <f t="shared" si="66"/>
        <v>183</v>
      </c>
      <c r="ED29">
        <f t="shared" si="26"/>
        <v>93.367346938775512</v>
      </c>
      <c r="EE29">
        <f t="shared" si="27"/>
        <v>70.588235294117652</v>
      </c>
      <c r="EF29">
        <f t="shared" si="67"/>
        <v>0.70528211284514475</v>
      </c>
      <c r="EK29">
        <v>1.5</v>
      </c>
      <c r="EL29">
        <v>24</v>
      </c>
      <c r="EM29">
        <f t="shared" si="68"/>
        <v>141.75</v>
      </c>
      <c r="EN29">
        <f t="shared" si="28"/>
        <v>95.712356515867654</v>
      </c>
      <c r="EO29">
        <f t="shared" si="29"/>
        <v>70.588235294117652</v>
      </c>
      <c r="EP29">
        <f t="shared" si="69"/>
        <v>0.70004369067004901</v>
      </c>
      <c r="EU29">
        <v>0.5</v>
      </c>
      <c r="EV29">
        <v>24</v>
      </c>
      <c r="EW29">
        <f t="shared" si="70"/>
        <v>103</v>
      </c>
      <c r="EX29">
        <f t="shared" si="30"/>
        <v>97.123998114097148</v>
      </c>
      <c r="EY29">
        <f t="shared" si="31"/>
        <v>70.588235294117652</v>
      </c>
      <c r="EZ29">
        <f t="shared" si="71"/>
        <v>0.32587292342680263</v>
      </c>
      <c r="FE29">
        <v>2.5</v>
      </c>
      <c r="FF29">
        <v>24</v>
      </c>
      <c r="FG29">
        <f t="shared" si="72"/>
        <v>294</v>
      </c>
      <c r="FH29">
        <f t="shared" si="32"/>
        <v>98.98989898989899</v>
      </c>
      <c r="FI29">
        <f t="shared" si="33"/>
        <v>85.714285714285708</v>
      </c>
      <c r="FJ29">
        <f t="shared" si="73"/>
        <v>0.70646945646945258</v>
      </c>
      <c r="FO29">
        <v>1</v>
      </c>
      <c r="FP29">
        <v>24</v>
      </c>
      <c r="FQ29">
        <f t="shared" si="74"/>
        <v>160.5</v>
      </c>
      <c r="FR29">
        <f t="shared" si="34"/>
        <v>96.984712067194394</v>
      </c>
      <c r="FS29">
        <f t="shared" si="35"/>
        <v>72.727272727272734</v>
      </c>
      <c r="FT29">
        <f t="shared" si="75"/>
        <v>0.43031072096273448</v>
      </c>
      <c r="FY29">
        <v>1</v>
      </c>
      <c r="FZ29">
        <v>24</v>
      </c>
      <c r="GA29">
        <f t="shared" si="76"/>
        <v>185.5</v>
      </c>
      <c r="GB29">
        <f t="shared" si="36"/>
        <v>97.657278231113452</v>
      </c>
      <c r="GC29">
        <f t="shared" si="37"/>
        <v>75</v>
      </c>
      <c r="GD29">
        <f t="shared" si="77"/>
        <v>0.38661489865753018</v>
      </c>
      <c r="GI29">
        <v>1</v>
      </c>
      <c r="GJ29">
        <v>24</v>
      </c>
      <c r="GK29">
        <f t="shared" si="78"/>
        <v>155.5</v>
      </c>
      <c r="GL29">
        <f t="shared" si="38"/>
        <v>99.076138897738147</v>
      </c>
      <c r="GM29">
        <f t="shared" si="39"/>
        <v>85.714285714285708</v>
      </c>
      <c r="GN29">
        <f t="shared" si="79"/>
        <v>0.53474718973285806</v>
      </c>
    </row>
    <row r="30" spans="1:196" x14ac:dyDescent="0.2">
      <c r="A30">
        <v>3.5</v>
      </c>
      <c r="B30">
        <v>25</v>
      </c>
      <c r="C30">
        <f t="shared" si="40"/>
        <v>1000</v>
      </c>
      <c r="D30">
        <f t="shared" si="0"/>
        <v>99.108027750247771</v>
      </c>
      <c r="E30">
        <f t="shared" si="1"/>
        <v>86.206896551724128</v>
      </c>
      <c r="F30">
        <f t="shared" si="41"/>
        <v>0.29305218550288736</v>
      </c>
      <c r="K30">
        <v>7</v>
      </c>
      <c r="L30">
        <v>25</v>
      </c>
      <c r="M30">
        <f t="shared" si="42"/>
        <v>840</v>
      </c>
      <c r="N30">
        <f t="shared" si="2"/>
        <v>97.731239092495642</v>
      </c>
      <c r="O30">
        <f t="shared" si="3"/>
        <v>75.757575757575751</v>
      </c>
      <c r="P30">
        <f t="shared" si="43"/>
        <v>0.60465034287024688</v>
      </c>
      <c r="U30">
        <v>3</v>
      </c>
      <c r="V30">
        <v>25</v>
      </c>
      <c r="W30">
        <f t="shared" si="44"/>
        <v>822</v>
      </c>
      <c r="X30">
        <f t="shared" si="4"/>
        <v>99.083895853423329</v>
      </c>
      <c r="Y30">
        <f t="shared" si="5"/>
        <v>83.333333333333343</v>
      </c>
      <c r="Z30">
        <f t="shared" si="45"/>
        <v>0.29532304725167885</v>
      </c>
      <c r="AE30">
        <v>8</v>
      </c>
      <c r="AF30">
        <v>25</v>
      </c>
      <c r="AG30">
        <f t="shared" si="46"/>
        <v>835</v>
      </c>
      <c r="AH30">
        <f t="shared" si="6"/>
        <v>97.376093294460645</v>
      </c>
      <c r="AI30">
        <f t="shared" si="7"/>
        <v>75.757575757575751</v>
      </c>
      <c r="AJ30">
        <f t="shared" si="47"/>
        <v>0.69264069264069505</v>
      </c>
      <c r="AO30">
        <v>10</v>
      </c>
      <c r="AP30">
        <v>25</v>
      </c>
      <c r="AQ30">
        <f t="shared" si="48"/>
        <v>837</v>
      </c>
      <c r="AR30">
        <f t="shared" si="8"/>
        <v>94.656488549618317</v>
      </c>
      <c r="AS30">
        <f t="shared" si="9"/>
        <v>59.523809523809526</v>
      </c>
      <c r="AT30">
        <f t="shared" si="49"/>
        <v>0.65969277165205154</v>
      </c>
      <c r="AY30">
        <v>4.5</v>
      </c>
      <c r="AZ30">
        <v>25</v>
      </c>
      <c r="BA30">
        <f t="shared" si="50"/>
        <v>674.5</v>
      </c>
      <c r="BB30">
        <f t="shared" si="10"/>
        <v>97.050359712230218</v>
      </c>
      <c r="BC30">
        <f t="shared" si="11"/>
        <v>67.567567567567565</v>
      </c>
      <c r="BD30">
        <f t="shared" si="51"/>
        <v>0.4287380906085928</v>
      </c>
      <c r="BI30">
        <v>0.8</v>
      </c>
      <c r="BJ30">
        <v>25</v>
      </c>
      <c r="BK30">
        <f t="shared" si="52"/>
        <v>157.30000000000001</v>
      </c>
      <c r="BL30">
        <f t="shared" si="12"/>
        <v>98.744507219083488</v>
      </c>
      <c r="BM30">
        <f t="shared" si="13"/>
        <v>86.206896551724128</v>
      </c>
      <c r="BN30">
        <f t="shared" si="53"/>
        <v>0.42426997424074997</v>
      </c>
      <c r="BS30">
        <v>5</v>
      </c>
      <c r="BT30">
        <v>25</v>
      </c>
      <c r="BU30">
        <f t="shared" si="54"/>
        <v>351</v>
      </c>
      <c r="BV30">
        <f t="shared" si="14"/>
        <v>92.06557377049181</v>
      </c>
      <c r="BW30">
        <f t="shared" si="15"/>
        <v>64.102564102564102</v>
      </c>
      <c r="BX30">
        <f t="shared" si="55"/>
        <v>0.82387557797394617</v>
      </c>
      <c r="CC30">
        <v>1.5</v>
      </c>
      <c r="CD30">
        <v>25</v>
      </c>
      <c r="CE30">
        <f t="shared" si="56"/>
        <v>300</v>
      </c>
      <c r="CF30">
        <f t="shared" si="16"/>
        <v>98.603122432210355</v>
      </c>
      <c r="CG30">
        <f t="shared" si="17"/>
        <v>80.645161290322577</v>
      </c>
      <c r="CH30">
        <f t="shared" si="57"/>
        <v>0.38964137090147122</v>
      </c>
      <c r="CM30">
        <v>2</v>
      </c>
      <c r="CN30">
        <v>25</v>
      </c>
      <c r="CO30">
        <f t="shared" si="58"/>
        <v>198.5</v>
      </c>
      <c r="CP30">
        <f t="shared" si="18"/>
        <v>95.306685872044184</v>
      </c>
      <c r="CQ30">
        <f t="shared" si="19"/>
        <v>69.444444444444443</v>
      </c>
      <c r="CR30">
        <f t="shared" si="59"/>
        <v>0.65351631790234666</v>
      </c>
      <c r="CW30">
        <v>1.5</v>
      </c>
      <c r="CX30">
        <v>25</v>
      </c>
      <c r="CY30">
        <f t="shared" si="60"/>
        <v>214</v>
      </c>
      <c r="CZ30">
        <f t="shared" si="20"/>
        <v>96.953222335485336</v>
      </c>
      <c r="DA30">
        <f t="shared" si="21"/>
        <v>69.444444444444443</v>
      </c>
      <c r="DB30">
        <f t="shared" si="61"/>
        <v>0.46249103333710978</v>
      </c>
      <c r="DG30">
        <v>0.75</v>
      </c>
      <c r="DH30">
        <v>25</v>
      </c>
      <c r="DI30">
        <f t="shared" si="62"/>
        <v>142.75</v>
      </c>
      <c r="DJ30">
        <f t="shared" si="22"/>
        <v>98.788927335640139</v>
      </c>
      <c r="DK30">
        <f t="shared" si="23"/>
        <v>83.333333333333343</v>
      </c>
      <c r="DL30">
        <f t="shared" si="63"/>
        <v>0.42387543252596133</v>
      </c>
      <c r="DQ30">
        <v>2</v>
      </c>
      <c r="DR30">
        <v>25</v>
      </c>
      <c r="DS30">
        <f t="shared" si="64"/>
        <v>253</v>
      </c>
      <c r="DT30">
        <f t="shared" si="24"/>
        <v>97.083653108211806</v>
      </c>
      <c r="DU30">
        <f t="shared" si="25"/>
        <v>73.529411764705884</v>
      </c>
      <c r="DV30">
        <f t="shared" si="65"/>
        <v>0.55302243691029573</v>
      </c>
      <c r="EA30">
        <v>2</v>
      </c>
      <c r="EB30">
        <v>25</v>
      </c>
      <c r="EC30">
        <f t="shared" si="66"/>
        <v>185</v>
      </c>
      <c r="ED30">
        <f t="shared" si="26"/>
        <v>94.387755102040813</v>
      </c>
      <c r="EE30">
        <f t="shared" si="27"/>
        <v>73.529411764705884</v>
      </c>
      <c r="EF30">
        <f t="shared" si="67"/>
        <v>0.73529411764705555</v>
      </c>
      <c r="EK30">
        <v>1</v>
      </c>
      <c r="EL30">
        <v>25</v>
      </c>
      <c r="EM30">
        <f t="shared" si="68"/>
        <v>142.75</v>
      </c>
      <c r="EN30">
        <f t="shared" si="28"/>
        <v>96.387575962187711</v>
      </c>
      <c r="EO30">
        <f t="shared" si="29"/>
        <v>73.529411764705884</v>
      </c>
      <c r="EP30">
        <f t="shared" si="69"/>
        <v>0.48655518926004082</v>
      </c>
      <c r="EU30">
        <v>0.5</v>
      </c>
      <c r="EV30">
        <v>25</v>
      </c>
      <c r="EW30">
        <f t="shared" si="70"/>
        <v>103.5</v>
      </c>
      <c r="EX30">
        <f t="shared" si="30"/>
        <v>97.595473833097614</v>
      </c>
      <c r="EY30">
        <f t="shared" si="31"/>
        <v>73.529411764705884</v>
      </c>
      <c r="EZ30">
        <f t="shared" si="71"/>
        <v>0.33973985633857118</v>
      </c>
      <c r="FE30">
        <v>1</v>
      </c>
      <c r="FF30">
        <v>25</v>
      </c>
      <c r="FG30">
        <f t="shared" si="72"/>
        <v>295</v>
      </c>
      <c r="FH30">
        <f t="shared" si="32"/>
        <v>99.326599326599336</v>
      </c>
      <c r="FI30">
        <f t="shared" si="33"/>
        <v>89.285714285714292</v>
      </c>
      <c r="FJ30">
        <f t="shared" si="73"/>
        <v>0.29461279461280299</v>
      </c>
      <c r="FO30">
        <v>1</v>
      </c>
      <c r="FP30">
        <v>25</v>
      </c>
      <c r="FQ30">
        <f t="shared" si="74"/>
        <v>161.5</v>
      </c>
      <c r="FR30">
        <f t="shared" si="34"/>
        <v>97.588978185993099</v>
      </c>
      <c r="FS30">
        <f t="shared" si="35"/>
        <v>75.757575757575751</v>
      </c>
      <c r="FT30">
        <f t="shared" si="75"/>
        <v>0.44862181547176588</v>
      </c>
      <c r="FY30">
        <v>1</v>
      </c>
      <c r="FZ30">
        <v>25</v>
      </c>
      <c r="GA30">
        <f t="shared" si="76"/>
        <v>186.5</v>
      </c>
      <c r="GB30">
        <f t="shared" si="36"/>
        <v>98.183732561200316</v>
      </c>
      <c r="GC30">
        <f t="shared" si="37"/>
        <v>78.125</v>
      </c>
      <c r="GD30">
        <f t="shared" si="77"/>
        <v>0.40306659647275511</v>
      </c>
      <c r="GI30">
        <v>1</v>
      </c>
      <c r="GJ30">
        <v>25</v>
      </c>
      <c r="GK30">
        <f t="shared" si="78"/>
        <v>156.5</v>
      </c>
      <c r="GL30">
        <f t="shared" si="38"/>
        <v>99.713284485504943</v>
      </c>
      <c r="GM30">
        <f t="shared" si="39"/>
        <v>89.285714285714292</v>
      </c>
      <c r="GN30">
        <f t="shared" si="79"/>
        <v>0.55750238929594609</v>
      </c>
    </row>
    <row r="31" spans="1:196" x14ac:dyDescent="0.2">
      <c r="A31">
        <v>3.5</v>
      </c>
      <c r="B31">
        <v>26</v>
      </c>
      <c r="C31">
        <f t="shared" si="40"/>
        <v>1003.5</v>
      </c>
      <c r="D31">
        <f t="shared" si="0"/>
        <v>99.454905847373638</v>
      </c>
      <c r="E31">
        <f t="shared" si="1"/>
        <v>89.65517241379311</v>
      </c>
      <c r="F31">
        <f t="shared" si="41"/>
        <v>0.30501349919688275</v>
      </c>
      <c r="K31">
        <v>5</v>
      </c>
      <c r="L31">
        <v>26</v>
      </c>
      <c r="M31">
        <f t="shared" si="42"/>
        <v>845</v>
      </c>
      <c r="N31">
        <f t="shared" si="2"/>
        <v>98.312972658522398</v>
      </c>
      <c r="O31">
        <f t="shared" si="3"/>
        <v>78.787878787878782</v>
      </c>
      <c r="P31">
        <f t="shared" si="43"/>
        <v>0.44952139192976598</v>
      </c>
      <c r="U31">
        <v>3</v>
      </c>
      <c r="V31">
        <v>26</v>
      </c>
      <c r="W31">
        <f t="shared" si="44"/>
        <v>825</v>
      </c>
      <c r="X31">
        <f t="shared" si="4"/>
        <v>99.445515911282541</v>
      </c>
      <c r="Y31">
        <f t="shared" si="5"/>
        <v>86.666666666666671</v>
      </c>
      <c r="Z31">
        <f t="shared" si="45"/>
        <v>0.30737704918033087</v>
      </c>
      <c r="AE31">
        <v>5</v>
      </c>
      <c r="AF31">
        <v>26</v>
      </c>
      <c r="AG31">
        <f t="shared" si="46"/>
        <v>840</v>
      </c>
      <c r="AH31">
        <f t="shared" si="6"/>
        <v>97.959183673469383</v>
      </c>
      <c r="AI31">
        <f t="shared" si="7"/>
        <v>78.787878787878782</v>
      </c>
      <c r="AJ31">
        <f t="shared" si="47"/>
        <v>0.45056983832493358</v>
      </c>
      <c r="AO31">
        <v>10</v>
      </c>
      <c r="AP31">
        <v>26</v>
      </c>
      <c r="AQ31">
        <f t="shared" si="48"/>
        <v>847</v>
      </c>
      <c r="AR31">
        <f t="shared" si="8"/>
        <v>95.787390443878991</v>
      </c>
      <c r="AS31">
        <f t="shared" si="9"/>
        <v>61.904761904761905</v>
      </c>
      <c r="AT31">
        <f t="shared" si="49"/>
        <v>0.68661900722969504</v>
      </c>
      <c r="AY31">
        <v>3.5</v>
      </c>
      <c r="AZ31">
        <v>26</v>
      </c>
      <c r="BA31">
        <f t="shared" si="50"/>
        <v>678</v>
      </c>
      <c r="BB31">
        <f t="shared" si="10"/>
        <v>97.553956834532372</v>
      </c>
      <c r="BC31">
        <f t="shared" si="11"/>
        <v>70.270270270270274</v>
      </c>
      <c r="BD31">
        <f t="shared" si="51"/>
        <v>0.34707369239743002</v>
      </c>
      <c r="BI31">
        <v>0.75</v>
      </c>
      <c r="BJ31">
        <v>26</v>
      </c>
      <c r="BK31">
        <f t="shared" si="52"/>
        <v>158.05000000000001</v>
      </c>
      <c r="BL31">
        <f t="shared" si="12"/>
        <v>99.215317011927183</v>
      </c>
      <c r="BM31">
        <f t="shared" si="13"/>
        <v>89.65517241379311</v>
      </c>
      <c r="BN31">
        <f t="shared" si="53"/>
        <v>0.41398792129359441</v>
      </c>
      <c r="BS31">
        <v>5</v>
      </c>
      <c r="BT31">
        <v>26</v>
      </c>
      <c r="BU31">
        <f t="shared" si="54"/>
        <v>356</v>
      </c>
      <c r="BV31">
        <f t="shared" si="14"/>
        <v>93.377049180327859</v>
      </c>
      <c r="BW31">
        <f t="shared" si="15"/>
        <v>66.666666666666657</v>
      </c>
      <c r="BX31">
        <f t="shared" si="55"/>
        <v>0.85750315258510923</v>
      </c>
      <c r="CC31">
        <v>1</v>
      </c>
      <c r="CD31">
        <v>26</v>
      </c>
      <c r="CE31">
        <f t="shared" si="56"/>
        <v>301</v>
      </c>
      <c r="CF31">
        <f t="shared" si="16"/>
        <v>98.93179950698439</v>
      </c>
      <c r="CG31">
        <f t="shared" si="17"/>
        <v>83.870967741935488</v>
      </c>
      <c r="CH31">
        <f t="shared" si="57"/>
        <v>0.27036340021735122</v>
      </c>
      <c r="CM31">
        <v>2</v>
      </c>
      <c r="CN31">
        <v>26</v>
      </c>
      <c r="CO31">
        <f t="shared" si="58"/>
        <v>200.5</v>
      </c>
      <c r="CP31">
        <f t="shared" si="18"/>
        <v>96.266954747329265</v>
      </c>
      <c r="CQ31">
        <f t="shared" si="19"/>
        <v>72.222222222222214</v>
      </c>
      <c r="CR31">
        <f t="shared" si="59"/>
        <v>0.6801904533269324</v>
      </c>
      <c r="CW31">
        <v>1.5</v>
      </c>
      <c r="CX31">
        <v>26</v>
      </c>
      <c r="CY31">
        <f t="shared" si="60"/>
        <v>215.5</v>
      </c>
      <c r="CZ31">
        <f t="shared" si="20"/>
        <v>97.632800996715375</v>
      </c>
      <c r="DA31">
        <f t="shared" si="21"/>
        <v>72.222222222222214</v>
      </c>
      <c r="DB31">
        <f t="shared" si="61"/>
        <v>0.48136821837127752</v>
      </c>
      <c r="DG31">
        <v>0.5</v>
      </c>
      <c r="DH31">
        <v>26</v>
      </c>
      <c r="DI31">
        <f t="shared" si="62"/>
        <v>143.25</v>
      </c>
      <c r="DJ31">
        <f t="shared" si="22"/>
        <v>99.134948096885807</v>
      </c>
      <c r="DK31">
        <f t="shared" si="23"/>
        <v>86.666666666666671</v>
      </c>
      <c r="DL31">
        <f t="shared" si="63"/>
        <v>0.29411764705881821</v>
      </c>
      <c r="DQ31">
        <v>1.5</v>
      </c>
      <c r="DR31">
        <v>26</v>
      </c>
      <c r="DS31">
        <f t="shared" si="64"/>
        <v>254.5</v>
      </c>
      <c r="DT31">
        <f t="shared" si="24"/>
        <v>97.659247889485783</v>
      </c>
      <c r="DU31">
        <f t="shared" si="25"/>
        <v>76.470588235294116</v>
      </c>
      <c r="DV31">
        <f t="shared" si="65"/>
        <v>0.43169608595548326</v>
      </c>
      <c r="EA31">
        <v>2</v>
      </c>
      <c r="EB31">
        <v>26</v>
      </c>
      <c r="EC31">
        <f t="shared" si="66"/>
        <v>187</v>
      </c>
      <c r="ED31">
        <f t="shared" si="26"/>
        <v>95.408163265306129</v>
      </c>
      <c r="EE31">
        <f t="shared" si="27"/>
        <v>76.470588235294116</v>
      </c>
      <c r="EF31">
        <f t="shared" si="67"/>
        <v>0.76530612244898677</v>
      </c>
      <c r="EK31">
        <v>1</v>
      </c>
      <c r="EL31">
        <v>26</v>
      </c>
      <c r="EM31">
        <f t="shared" si="68"/>
        <v>143.75</v>
      </c>
      <c r="EN31">
        <f t="shared" si="28"/>
        <v>97.062795408507768</v>
      </c>
      <c r="EO31">
        <f t="shared" si="29"/>
        <v>76.470588235294116</v>
      </c>
      <c r="EP31">
        <f t="shared" si="69"/>
        <v>0.50641458474004253</v>
      </c>
      <c r="EU31">
        <v>0.5</v>
      </c>
      <c r="EV31">
        <v>26</v>
      </c>
      <c r="EW31">
        <f t="shared" si="70"/>
        <v>104</v>
      </c>
      <c r="EX31">
        <f t="shared" si="30"/>
        <v>98.06694955209808</v>
      </c>
      <c r="EY31">
        <f t="shared" si="31"/>
        <v>76.470588235294116</v>
      </c>
      <c r="EZ31">
        <f t="shared" si="71"/>
        <v>0.35360678925034961</v>
      </c>
      <c r="FE31">
        <v>1</v>
      </c>
      <c r="FF31">
        <v>26</v>
      </c>
      <c r="FG31">
        <f t="shared" si="72"/>
        <v>296</v>
      </c>
      <c r="FH31">
        <f t="shared" si="32"/>
        <v>99.663299663299668</v>
      </c>
      <c r="FI31">
        <f t="shared" si="33"/>
        <v>92.857142857142861</v>
      </c>
      <c r="FJ31">
        <f t="shared" si="73"/>
        <v>0.30663780663780243</v>
      </c>
      <c r="FO31">
        <v>1</v>
      </c>
      <c r="FP31">
        <v>26</v>
      </c>
      <c r="FQ31">
        <f t="shared" si="74"/>
        <v>162.5</v>
      </c>
      <c r="FR31">
        <f t="shared" si="34"/>
        <v>98.193244304791833</v>
      </c>
      <c r="FS31">
        <f t="shared" si="35"/>
        <v>78.787878787878782</v>
      </c>
      <c r="FT31">
        <f t="shared" si="75"/>
        <v>0.46693290998083947</v>
      </c>
      <c r="FY31">
        <v>1</v>
      </c>
      <c r="FZ31">
        <v>26</v>
      </c>
      <c r="GA31">
        <f t="shared" si="76"/>
        <v>187.5</v>
      </c>
      <c r="GB31">
        <f t="shared" si="36"/>
        <v>98.710186891287194</v>
      </c>
      <c r="GC31">
        <f t="shared" si="37"/>
        <v>81.25</v>
      </c>
      <c r="GD31">
        <f t="shared" si="77"/>
        <v>0.41951829428798093</v>
      </c>
      <c r="GI31">
        <v>0.25</v>
      </c>
      <c r="GJ31">
        <v>26</v>
      </c>
      <c r="GK31">
        <f t="shared" si="78"/>
        <v>156.75</v>
      </c>
      <c r="GL31">
        <f t="shared" si="38"/>
        <v>99.872570882446638</v>
      </c>
      <c r="GM31">
        <f t="shared" si="39"/>
        <v>92.857142857142861</v>
      </c>
      <c r="GN31">
        <f t="shared" si="79"/>
        <v>0.14506439721475828</v>
      </c>
    </row>
    <row r="32" spans="1:196" x14ac:dyDescent="0.2">
      <c r="A32">
        <v>2.5</v>
      </c>
      <c r="B32">
        <v>27</v>
      </c>
      <c r="C32">
        <f t="shared" si="40"/>
        <v>1006</v>
      </c>
      <c r="D32">
        <f t="shared" si="0"/>
        <v>99.702675916749257</v>
      </c>
      <c r="E32">
        <f t="shared" si="1"/>
        <v>93.103448275862064</v>
      </c>
      <c r="F32">
        <f t="shared" si="41"/>
        <v>0.22641058063634159</v>
      </c>
      <c r="K32">
        <v>4</v>
      </c>
      <c r="L32">
        <v>27</v>
      </c>
      <c r="M32">
        <f t="shared" si="42"/>
        <v>849</v>
      </c>
      <c r="N32">
        <f t="shared" si="2"/>
        <v>98.778359511343808</v>
      </c>
      <c r="O32">
        <f t="shared" si="3"/>
        <v>81.818181818181827</v>
      </c>
      <c r="P32">
        <f t="shared" si="43"/>
        <v>0.37371974544749631</v>
      </c>
      <c r="U32">
        <v>2.5</v>
      </c>
      <c r="V32">
        <v>27</v>
      </c>
      <c r="W32">
        <f t="shared" si="44"/>
        <v>827.5</v>
      </c>
      <c r="X32">
        <f t="shared" si="4"/>
        <v>99.74686595949855</v>
      </c>
      <c r="Y32">
        <f t="shared" si="5"/>
        <v>90</v>
      </c>
      <c r="Z32">
        <f t="shared" si="45"/>
        <v>0.26619254259080738</v>
      </c>
      <c r="AE32">
        <v>5</v>
      </c>
      <c r="AF32">
        <v>27</v>
      </c>
      <c r="AG32">
        <f t="shared" si="46"/>
        <v>845</v>
      </c>
      <c r="AH32">
        <f t="shared" si="6"/>
        <v>98.542274052478135</v>
      </c>
      <c r="AI32">
        <f t="shared" si="7"/>
        <v>81.818181818181827</v>
      </c>
      <c r="AJ32">
        <f t="shared" si="47"/>
        <v>0.46823924374945231</v>
      </c>
      <c r="AO32">
        <v>5.5</v>
      </c>
      <c r="AP32">
        <v>27</v>
      </c>
      <c r="AQ32">
        <f t="shared" si="48"/>
        <v>852.5</v>
      </c>
      <c r="AR32">
        <f t="shared" si="8"/>
        <v>96.409386485722365</v>
      </c>
      <c r="AS32">
        <f t="shared" si="9"/>
        <v>64.285714285714292</v>
      </c>
      <c r="AT32">
        <f t="shared" si="49"/>
        <v>0.39244988354403382</v>
      </c>
      <c r="AY32">
        <v>3</v>
      </c>
      <c r="AZ32">
        <v>27</v>
      </c>
      <c r="BA32">
        <f t="shared" si="50"/>
        <v>681</v>
      </c>
      <c r="BB32">
        <f t="shared" si="10"/>
        <v>97.985611510791372</v>
      </c>
      <c r="BC32">
        <f t="shared" si="11"/>
        <v>72.972972972972968</v>
      </c>
      <c r="BD32">
        <f t="shared" si="51"/>
        <v>0.30915807894225728</v>
      </c>
      <c r="BI32">
        <v>0.5</v>
      </c>
      <c r="BJ32">
        <v>27</v>
      </c>
      <c r="BK32">
        <f t="shared" si="52"/>
        <v>158.55000000000001</v>
      </c>
      <c r="BL32">
        <f t="shared" si="12"/>
        <v>99.529190207156304</v>
      </c>
      <c r="BM32">
        <f t="shared" si="13"/>
        <v>93.103448275862064</v>
      </c>
      <c r="BN32">
        <f t="shared" si="53"/>
        <v>0.28681516115764499</v>
      </c>
      <c r="BS32">
        <v>5</v>
      </c>
      <c r="BT32">
        <v>27</v>
      </c>
      <c r="BU32">
        <f t="shared" si="54"/>
        <v>361</v>
      </c>
      <c r="BV32">
        <f t="shared" si="14"/>
        <v>94.688524590163937</v>
      </c>
      <c r="BW32">
        <f t="shared" si="15"/>
        <v>69.230769230769226</v>
      </c>
      <c r="BX32">
        <f t="shared" si="55"/>
        <v>0.89113072719630904</v>
      </c>
      <c r="CC32">
        <v>1</v>
      </c>
      <c r="CD32">
        <v>27</v>
      </c>
      <c r="CE32">
        <f t="shared" si="56"/>
        <v>302</v>
      </c>
      <c r="CF32">
        <f t="shared" si="16"/>
        <v>99.260476581758425</v>
      </c>
      <c r="CG32">
        <f t="shared" si="17"/>
        <v>87.096774193548384</v>
      </c>
      <c r="CH32">
        <f t="shared" si="57"/>
        <v>0.28096588650038462</v>
      </c>
      <c r="CM32">
        <v>1.5</v>
      </c>
      <c r="CN32">
        <v>27</v>
      </c>
      <c r="CO32">
        <f t="shared" si="58"/>
        <v>202</v>
      </c>
      <c r="CP32">
        <f t="shared" si="18"/>
        <v>96.98715640379308</v>
      </c>
      <c r="CQ32">
        <f t="shared" si="19"/>
        <v>75</v>
      </c>
      <c r="CR32">
        <f t="shared" si="59"/>
        <v>0.53014844156364116</v>
      </c>
      <c r="CW32">
        <v>1</v>
      </c>
      <c r="CX32">
        <v>27</v>
      </c>
      <c r="CY32">
        <f t="shared" si="60"/>
        <v>216.5</v>
      </c>
      <c r="CZ32">
        <f t="shared" si="20"/>
        <v>98.085853437535391</v>
      </c>
      <c r="DA32">
        <f t="shared" si="21"/>
        <v>75</v>
      </c>
      <c r="DB32">
        <f t="shared" si="61"/>
        <v>0.33349693560362326</v>
      </c>
      <c r="DG32">
        <v>0.5</v>
      </c>
      <c r="DH32">
        <v>27</v>
      </c>
      <c r="DI32">
        <f t="shared" si="62"/>
        <v>143.75</v>
      </c>
      <c r="DJ32">
        <f t="shared" si="22"/>
        <v>99.48096885813149</v>
      </c>
      <c r="DK32">
        <f t="shared" si="23"/>
        <v>90</v>
      </c>
      <c r="DL32">
        <f t="shared" si="63"/>
        <v>0.30565167243368641</v>
      </c>
      <c r="DQ32">
        <v>1.5</v>
      </c>
      <c r="DR32">
        <v>27</v>
      </c>
      <c r="DS32">
        <f t="shared" si="64"/>
        <v>256</v>
      </c>
      <c r="DT32">
        <f t="shared" si="24"/>
        <v>98.234842670759775</v>
      </c>
      <c r="DU32">
        <f t="shared" si="25"/>
        <v>79.411764705882348</v>
      </c>
      <c r="DV32">
        <f t="shared" si="65"/>
        <v>0.44862534422825839</v>
      </c>
      <c r="EA32">
        <v>1.5</v>
      </c>
      <c r="EB32">
        <v>27</v>
      </c>
      <c r="EC32">
        <f t="shared" si="66"/>
        <v>188.5</v>
      </c>
      <c r="ED32">
        <f t="shared" si="26"/>
        <v>96.173469387755105</v>
      </c>
      <c r="EE32">
        <f t="shared" si="27"/>
        <v>79.411764705882348</v>
      </c>
      <c r="EF32">
        <f t="shared" si="67"/>
        <v>0.59648859543817256</v>
      </c>
      <c r="EK32">
        <v>1</v>
      </c>
      <c r="EL32">
        <v>27</v>
      </c>
      <c r="EM32">
        <f t="shared" si="68"/>
        <v>144.75</v>
      </c>
      <c r="EN32">
        <f t="shared" si="28"/>
        <v>97.738014854827824</v>
      </c>
      <c r="EO32">
        <f t="shared" si="29"/>
        <v>79.411764705882348</v>
      </c>
      <c r="EP32">
        <f t="shared" si="69"/>
        <v>0.52627398022004424</v>
      </c>
      <c r="EU32">
        <v>0.5</v>
      </c>
      <c r="EV32">
        <v>27</v>
      </c>
      <c r="EW32">
        <f t="shared" si="70"/>
        <v>104.5</v>
      </c>
      <c r="EX32">
        <f t="shared" si="30"/>
        <v>98.538425271098546</v>
      </c>
      <c r="EY32">
        <f t="shared" si="31"/>
        <v>79.411764705882348</v>
      </c>
      <c r="EZ32">
        <f t="shared" si="71"/>
        <v>0.36747372216212804</v>
      </c>
      <c r="FE32">
        <v>0.75</v>
      </c>
      <c r="FF32">
        <v>27</v>
      </c>
      <c r="FG32">
        <f t="shared" si="72"/>
        <v>296.75</v>
      </c>
      <c r="FH32">
        <f t="shared" si="32"/>
        <v>99.915824915824913</v>
      </c>
      <c r="FI32">
        <f t="shared" si="33"/>
        <v>96.428571428571431</v>
      </c>
      <c r="FJ32">
        <f t="shared" si="73"/>
        <v>0.23899711399710732</v>
      </c>
      <c r="FO32">
        <v>1</v>
      </c>
      <c r="FP32">
        <v>27</v>
      </c>
      <c r="FQ32">
        <f t="shared" si="74"/>
        <v>163.5</v>
      </c>
      <c r="FR32">
        <f t="shared" si="34"/>
        <v>98.797510423590538</v>
      </c>
      <c r="FS32">
        <f t="shared" si="35"/>
        <v>81.818181818181827</v>
      </c>
      <c r="FT32">
        <f t="shared" si="75"/>
        <v>0.48524400448986926</v>
      </c>
      <c r="FY32">
        <v>1</v>
      </c>
      <c r="FZ32">
        <v>27</v>
      </c>
      <c r="GA32">
        <f t="shared" si="76"/>
        <v>188.5</v>
      </c>
      <c r="GB32">
        <f t="shared" si="36"/>
        <v>99.236641221374057</v>
      </c>
      <c r="GC32">
        <f t="shared" si="37"/>
        <v>84.375</v>
      </c>
      <c r="GD32">
        <f t="shared" si="77"/>
        <v>0.4359699921031841</v>
      </c>
      <c r="GI32">
        <v>0.1</v>
      </c>
      <c r="GJ32">
        <v>27</v>
      </c>
      <c r="GK32">
        <f t="shared" si="78"/>
        <v>156.85</v>
      </c>
      <c r="GL32">
        <f t="shared" si="38"/>
        <v>99.936285441223333</v>
      </c>
      <c r="GM32">
        <f t="shared" si="39"/>
        <v>96.428571428571431</v>
      </c>
      <c r="GN32">
        <f t="shared" si="79"/>
        <v>6.0301278842229369E-2</v>
      </c>
    </row>
    <row r="33" spans="1:196" x14ac:dyDescent="0.2">
      <c r="A33">
        <v>2</v>
      </c>
      <c r="B33">
        <v>28</v>
      </c>
      <c r="C33">
        <f>C32+A33</f>
        <v>1008</v>
      </c>
      <c r="D33">
        <f t="shared" si="0"/>
        <v>99.900891972249752</v>
      </c>
      <c r="E33">
        <f t="shared" si="1"/>
        <v>96.551724137931032</v>
      </c>
      <c r="F33">
        <f t="shared" si="41"/>
        <v>0.18796350090564204</v>
      </c>
      <c r="K33">
        <v>3</v>
      </c>
      <c r="L33">
        <v>28</v>
      </c>
      <c r="M33">
        <f>M32+K33</f>
        <v>852</v>
      </c>
      <c r="N33">
        <f t="shared" si="2"/>
        <v>99.127399650959859</v>
      </c>
      <c r="O33">
        <f t="shared" si="3"/>
        <v>84.848484848484844</v>
      </c>
      <c r="P33">
        <f t="shared" si="43"/>
        <v>0.29086678301337565</v>
      </c>
      <c r="U33">
        <v>1</v>
      </c>
      <c r="V33">
        <v>28</v>
      </c>
      <c r="W33">
        <f>W32+U33</f>
        <v>828.5</v>
      </c>
      <c r="X33">
        <f t="shared" si="4"/>
        <v>99.867405978784944</v>
      </c>
      <c r="Y33">
        <f t="shared" si="5"/>
        <v>93.333333333333329</v>
      </c>
      <c r="Z33">
        <f t="shared" si="45"/>
        <v>0.11049501767919521</v>
      </c>
      <c r="AE33">
        <v>3.5</v>
      </c>
      <c r="AF33">
        <v>28</v>
      </c>
      <c r="AG33">
        <f>AG32+AE33</f>
        <v>848.5</v>
      </c>
      <c r="AH33">
        <f t="shared" si="6"/>
        <v>98.950437317784264</v>
      </c>
      <c r="AI33">
        <f t="shared" si="7"/>
        <v>84.848484848484844</v>
      </c>
      <c r="AJ33">
        <f t="shared" si="47"/>
        <v>0.3401360544217743</v>
      </c>
      <c r="AO33">
        <v>5</v>
      </c>
      <c r="AP33">
        <v>28</v>
      </c>
      <c r="AQ33">
        <f>AQ32+AO33</f>
        <v>857.5</v>
      </c>
      <c r="AR33">
        <f t="shared" si="8"/>
        <v>96.974837432852695</v>
      </c>
      <c r="AS33">
        <f t="shared" si="9"/>
        <v>66.666666666666657</v>
      </c>
      <c r="AT33">
        <f t="shared" si="49"/>
        <v>0.37023573919247793</v>
      </c>
      <c r="AY33">
        <v>3</v>
      </c>
      <c r="AZ33">
        <v>28</v>
      </c>
      <c r="BA33">
        <f>BA32+AY33</f>
        <v>684</v>
      </c>
      <c r="BB33">
        <f t="shared" si="10"/>
        <v>98.417266187050359</v>
      </c>
      <c r="BC33">
        <f t="shared" si="11"/>
        <v>75.675675675675677</v>
      </c>
      <c r="BD33">
        <f t="shared" si="51"/>
        <v>0.32082442154384139</v>
      </c>
      <c r="BI33">
        <v>0.5</v>
      </c>
      <c r="BJ33">
        <v>28</v>
      </c>
      <c r="BK33">
        <f>BK32+BI33</f>
        <v>159.05000000000001</v>
      </c>
      <c r="BL33">
        <f t="shared" si="12"/>
        <v>99.84306340238544</v>
      </c>
      <c r="BM33">
        <f t="shared" si="13"/>
        <v>96.551724137931032</v>
      </c>
      <c r="BN33">
        <f t="shared" si="53"/>
        <v>0.29763837478624883</v>
      </c>
      <c r="BS33">
        <v>3.5</v>
      </c>
      <c r="BT33">
        <v>28</v>
      </c>
      <c r="BU33">
        <f>BU32+BS33</f>
        <v>364.5</v>
      </c>
      <c r="BV33">
        <f t="shared" si="14"/>
        <v>95.606557377049185</v>
      </c>
      <c r="BW33">
        <f t="shared" si="15"/>
        <v>71.794871794871796</v>
      </c>
      <c r="BX33">
        <f t="shared" si="55"/>
        <v>0.64733081126523939</v>
      </c>
      <c r="CC33">
        <v>1</v>
      </c>
      <c r="CD33">
        <v>28</v>
      </c>
      <c r="CE33">
        <f>CE32+CC33</f>
        <v>303</v>
      </c>
      <c r="CF33">
        <f t="shared" si="16"/>
        <v>99.58915365653246</v>
      </c>
      <c r="CG33">
        <f t="shared" si="17"/>
        <v>90.322580645161281</v>
      </c>
      <c r="CH33">
        <f t="shared" si="57"/>
        <v>0.29156837278341802</v>
      </c>
      <c r="CM33">
        <v>1.5</v>
      </c>
      <c r="CN33">
        <v>28</v>
      </c>
      <c r="CO33">
        <f>CO32+CM33</f>
        <v>203.5</v>
      </c>
      <c r="CP33">
        <f t="shared" si="18"/>
        <v>97.707358060256894</v>
      </c>
      <c r="CQ33">
        <f t="shared" si="19"/>
        <v>77.777777777777786</v>
      </c>
      <c r="CR33">
        <f t="shared" si="59"/>
        <v>0.55015404313208027</v>
      </c>
      <c r="CW33">
        <v>1</v>
      </c>
      <c r="CX33">
        <v>28</v>
      </c>
      <c r="CY33">
        <f>CY32+CW33</f>
        <v>217.5</v>
      </c>
      <c r="CZ33">
        <f t="shared" si="20"/>
        <v>98.538905878355422</v>
      </c>
      <c r="DA33">
        <f t="shared" si="21"/>
        <v>77.777777777777786</v>
      </c>
      <c r="DB33">
        <f t="shared" si="61"/>
        <v>0.34608172562641237</v>
      </c>
      <c r="DG33">
        <v>0.25</v>
      </c>
      <c r="DH33">
        <v>28</v>
      </c>
      <c r="DI33">
        <f>DI32+DG33</f>
        <v>144</v>
      </c>
      <c r="DJ33">
        <f t="shared" si="22"/>
        <v>99.653979238754317</v>
      </c>
      <c r="DK33">
        <f t="shared" si="23"/>
        <v>93.333333333333329</v>
      </c>
      <c r="DL33">
        <f t="shared" si="63"/>
        <v>0.15859284890425818</v>
      </c>
      <c r="DQ33">
        <v>1</v>
      </c>
      <c r="DR33">
        <v>28</v>
      </c>
      <c r="DS33">
        <f>DS32+DQ33</f>
        <v>257</v>
      </c>
      <c r="DT33">
        <f t="shared" si="24"/>
        <v>98.618572524942422</v>
      </c>
      <c r="DU33">
        <f t="shared" si="25"/>
        <v>82.35294117647058</v>
      </c>
      <c r="DV33">
        <f t="shared" si="65"/>
        <v>0.31036973500067039</v>
      </c>
      <c r="EA33">
        <v>1.5</v>
      </c>
      <c r="EB33">
        <v>28</v>
      </c>
      <c r="EC33">
        <f>EC32+EA33</f>
        <v>190</v>
      </c>
      <c r="ED33">
        <f t="shared" si="26"/>
        <v>96.938775510204081</v>
      </c>
      <c r="EE33">
        <f t="shared" si="27"/>
        <v>82.35294117647058</v>
      </c>
      <c r="EF33">
        <f t="shared" si="67"/>
        <v>0.61899759903961293</v>
      </c>
      <c r="EK33">
        <v>1</v>
      </c>
      <c r="EL33">
        <v>28</v>
      </c>
      <c r="EM33">
        <f>EM32+EK33</f>
        <v>145.75</v>
      </c>
      <c r="EN33">
        <f t="shared" si="28"/>
        <v>98.413234301147881</v>
      </c>
      <c r="EO33">
        <f t="shared" si="29"/>
        <v>82.35294117647058</v>
      </c>
      <c r="EP33">
        <f t="shared" si="69"/>
        <v>0.54613337570004583</v>
      </c>
      <c r="EU33">
        <v>0.35</v>
      </c>
      <c r="EV33">
        <v>28</v>
      </c>
      <c r="EW33">
        <f>EW32+EU33</f>
        <v>104.85</v>
      </c>
      <c r="EX33">
        <f t="shared" si="30"/>
        <v>98.868458274398876</v>
      </c>
      <c r="EY33">
        <f t="shared" si="31"/>
        <v>82.35294117647058</v>
      </c>
      <c r="EZ33">
        <f t="shared" si="71"/>
        <v>0.26693845855173676</v>
      </c>
      <c r="FE33">
        <v>0.25</v>
      </c>
      <c r="FF33">
        <v>28</v>
      </c>
      <c r="FG33">
        <f>FG32+FE33</f>
        <v>297</v>
      </c>
      <c r="FH33">
        <f t="shared" si="32"/>
        <v>100</v>
      </c>
      <c r="FI33">
        <f t="shared" si="33"/>
        <v>100</v>
      </c>
      <c r="FJ33">
        <f t="shared" si="73"/>
        <v>8.2671957671960034E-2</v>
      </c>
      <c r="FO33">
        <v>1</v>
      </c>
      <c r="FP33">
        <v>28</v>
      </c>
      <c r="FQ33">
        <f>FQ32+FO33</f>
        <v>164.5</v>
      </c>
      <c r="FR33">
        <f t="shared" si="34"/>
        <v>99.401776542389257</v>
      </c>
      <c r="FS33">
        <f t="shared" si="35"/>
        <v>84.848484848484844</v>
      </c>
      <c r="FT33">
        <f t="shared" si="75"/>
        <v>0.5035550989989328</v>
      </c>
      <c r="FY33">
        <v>0.5</v>
      </c>
      <c r="FZ33">
        <v>28</v>
      </c>
      <c r="GA33">
        <f>GA32+FY33</f>
        <v>189</v>
      </c>
      <c r="GB33">
        <f t="shared" si="36"/>
        <v>99.499868386417489</v>
      </c>
      <c r="GC33">
        <f t="shared" si="37"/>
        <v>87.5</v>
      </c>
      <c r="GD33">
        <f t="shared" si="77"/>
        <v>0.2262108449591993</v>
      </c>
      <c r="GI33">
        <v>0.1</v>
      </c>
      <c r="GJ33">
        <v>28</v>
      </c>
      <c r="GK33">
        <f>GK32+GI33</f>
        <v>156.94999999999999</v>
      </c>
      <c r="GL33">
        <f t="shared" si="38"/>
        <v>100</v>
      </c>
      <c r="GM33">
        <f t="shared" si="39"/>
        <v>100</v>
      </c>
      <c r="GN33">
        <f t="shared" si="79"/>
        <v>6.2576798798512009E-2</v>
      </c>
    </row>
    <row r="34" spans="1:196" x14ac:dyDescent="0.2">
      <c r="A34">
        <v>1</v>
      </c>
      <c r="B34">
        <v>29</v>
      </c>
      <c r="C34">
        <f t="shared" si="40"/>
        <v>1009</v>
      </c>
      <c r="D34">
        <f t="shared" si="0"/>
        <v>100</v>
      </c>
      <c r="E34">
        <f t="shared" si="1"/>
        <v>100</v>
      </c>
      <c r="F34">
        <f>(E34+E33)/2*(D34-D33)/100</f>
        <v>9.7399268651105431E-2</v>
      </c>
      <c r="K34">
        <v>2.5</v>
      </c>
      <c r="L34">
        <v>29</v>
      </c>
      <c r="M34">
        <f t="shared" ref="M34:M38" si="80">M33+K34</f>
        <v>854.5</v>
      </c>
      <c r="N34">
        <f t="shared" si="2"/>
        <v>99.41826643397323</v>
      </c>
      <c r="O34">
        <f t="shared" si="3"/>
        <v>87.878787878787875</v>
      </c>
      <c r="P34">
        <f>(O34+O33)/2*(N34-N33)/100</f>
        <v>0.25120313078427481</v>
      </c>
      <c r="U34">
        <v>1</v>
      </c>
      <c r="V34">
        <v>29</v>
      </c>
      <c r="W34">
        <f t="shared" ref="W34:W35" si="81">W33+U34</f>
        <v>829.5</v>
      </c>
      <c r="X34">
        <f t="shared" si="4"/>
        <v>99.987945998071353</v>
      </c>
      <c r="Y34">
        <f t="shared" si="5"/>
        <v>96.666666666666671</v>
      </c>
      <c r="Z34">
        <f>(Y34+Y33)/2*(X34-X33)/100</f>
        <v>0.11451301832208856</v>
      </c>
      <c r="AE34">
        <v>2.5</v>
      </c>
      <c r="AF34">
        <v>29</v>
      </c>
      <c r="AG34">
        <f t="shared" ref="AG34:AG38" si="82">AG33+AE34</f>
        <v>851</v>
      </c>
      <c r="AH34">
        <f t="shared" si="6"/>
        <v>99.241982507288625</v>
      </c>
      <c r="AI34">
        <f t="shared" si="7"/>
        <v>87.878787878787875</v>
      </c>
      <c r="AJ34">
        <f>(AI34+AI33)/2*(AH34-AH33)/100</f>
        <v>0.25178902729922148</v>
      </c>
      <c r="AO34">
        <v>5</v>
      </c>
      <c r="AP34">
        <v>29</v>
      </c>
      <c r="AQ34">
        <f t="shared" ref="AQ34:AQ47" si="83">AQ33+AO34</f>
        <v>862.5</v>
      </c>
      <c r="AR34">
        <f t="shared" si="8"/>
        <v>97.540288379983025</v>
      </c>
      <c r="AS34">
        <f t="shared" si="9"/>
        <v>69.047619047619051</v>
      </c>
      <c r="AT34">
        <f>(AS34+AS33)/2*(AR34-AR33)/100</f>
        <v>0.38369885698129536</v>
      </c>
      <c r="AY34">
        <v>3</v>
      </c>
      <c r="AZ34">
        <v>29</v>
      </c>
      <c r="BA34">
        <f t="shared" ref="BA34:BA42" si="84">BA33+AY34</f>
        <v>687</v>
      </c>
      <c r="BB34">
        <f t="shared" si="10"/>
        <v>98.84892086330936</v>
      </c>
      <c r="BC34">
        <f t="shared" si="11"/>
        <v>78.378378378378372</v>
      </c>
      <c r="BD34">
        <f>(BC34+BC33)/2*(BB34-BB33)/100</f>
        <v>0.33249076414544654</v>
      </c>
      <c r="BI34">
        <v>0.25</v>
      </c>
      <c r="BJ34">
        <v>29</v>
      </c>
      <c r="BK34">
        <f t="shared" ref="BK34" si="85">BK33+BI34</f>
        <v>159.30000000000001</v>
      </c>
      <c r="BL34">
        <f t="shared" si="12"/>
        <v>100</v>
      </c>
      <c r="BM34">
        <f t="shared" si="13"/>
        <v>100</v>
      </c>
      <c r="BN34">
        <f>(BM34+BM33)/2*(BL34-BL33)/100</f>
        <v>0.1542307942074129</v>
      </c>
      <c r="BS34">
        <v>3</v>
      </c>
      <c r="BT34">
        <v>29</v>
      </c>
      <c r="BU34">
        <f t="shared" ref="BU34:BU44" si="86">BU33+BS34</f>
        <v>367.5</v>
      </c>
      <c r="BV34">
        <f t="shared" si="14"/>
        <v>96.393442622950815</v>
      </c>
      <c r="BW34">
        <f t="shared" si="15"/>
        <v>74.358974358974365</v>
      </c>
      <c r="BX34">
        <f>(BW34+BW33)/2*(BV34-BV33)/100</f>
        <v>0.57503152585119088</v>
      </c>
      <c r="CC34">
        <v>0.5</v>
      </c>
      <c r="CD34">
        <v>29</v>
      </c>
      <c r="CE34">
        <f t="shared" ref="CE34:CE36" si="87">CE33+CC34</f>
        <v>303.5</v>
      </c>
      <c r="CF34">
        <f t="shared" si="16"/>
        <v>99.753492193919485</v>
      </c>
      <c r="CG34">
        <f t="shared" si="17"/>
        <v>93.548387096774192</v>
      </c>
      <c r="CH34">
        <f>(CG34+CG33)/2*(CF34-CF33)/100</f>
        <v>0.15108542953323223</v>
      </c>
      <c r="CM34">
        <v>1.5</v>
      </c>
      <c r="CN34">
        <v>29</v>
      </c>
      <c r="CO34">
        <f t="shared" ref="CO34:CO41" si="88">CO33+CM34</f>
        <v>205</v>
      </c>
      <c r="CP34">
        <f t="shared" si="18"/>
        <v>98.427559716720694</v>
      </c>
      <c r="CQ34">
        <f t="shared" si="19"/>
        <v>80.555555555555557</v>
      </c>
      <c r="CR34">
        <f>(CQ34+CQ33)/2*(CP34-CP33)/100</f>
        <v>0.57015964470050839</v>
      </c>
      <c r="CW34">
        <v>1</v>
      </c>
      <c r="CX34">
        <v>29</v>
      </c>
      <c r="CY34">
        <f t="shared" ref="CY34:CY41" si="89">CY33+CW34</f>
        <v>218.5</v>
      </c>
      <c r="CZ34">
        <f t="shared" si="20"/>
        <v>98.991958319175438</v>
      </c>
      <c r="DA34">
        <f t="shared" si="21"/>
        <v>80.555555555555557</v>
      </c>
      <c r="DB34">
        <f>(DA34+DA33)/2*(CZ34-CZ33)/100</f>
        <v>0.35866651564917973</v>
      </c>
      <c r="DG34">
        <v>0.25</v>
      </c>
      <c r="DH34">
        <v>29</v>
      </c>
      <c r="DI34">
        <f t="shared" ref="DI34:DI35" si="90">DI33+DG34</f>
        <v>144.25</v>
      </c>
      <c r="DJ34">
        <f t="shared" si="22"/>
        <v>99.826989619377159</v>
      </c>
      <c r="DK34">
        <f t="shared" si="23"/>
        <v>96.666666666666671</v>
      </c>
      <c r="DL34">
        <f>(DK34+DK33)/2*(DJ34-DJ33)/100</f>
        <v>0.1643598615916993</v>
      </c>
      <c r="DQ34">
        <v>1</v>
      </c>
      <c r="DR34">
        <v>29</v>
      </c>
      <c r="DS34">
        <f t="shared" ref="DS34:DS39" si="91">DS33+DQ34</f>
        <v>258</v>
      </c>
      <c r="DT34">
        <f t="shared" si="24"/>
        <v>99.002302379125084</v>
      </c>
      <c r="DU34">
        <f t="shared" si="25"/>
        <v>85.294117647058826</v>
      </c>
      <c r="DV34">
        <f>(DU34+DU33)/2*(DT34-DT33)/100</f>
        <v>0.32165590718252479</v>
      </c>
      <c r="EA34">
        <v>1.5</v>
      </c>
      <c r="EB34">
        <v>29</v>
      </c>
      <c r="EC34">
        <f t="shared" ref="EC34:EC39" si="92">EC33+EA34</f>
        <v>191.5</v>
      </c>
      <c r="ED34">
        <f t="shared" si="26"/>
        <v>97.704081632653057</v>
      </c>
      <c r="EE34">
        <f t="shared" si="27"/>
        <v>85.294117647058826</v>
      </c>
      <c r="EF34">
        <f>(EE34+EE33)/2*(ED34-ED33)/100</f>
        <v>0.64150660264105341</v>
      </c>
      <c r="EK34">
        <v>0.75</v>
      </c>
      <c r="EL34">
        <v>29</v>
      </c>
      <c r="EM34">
        <f t="shared" ref="EM34:EM39" si="93">EM33+EK34</f>
        <v>146.5</v>
      </c>
      <c r="EN34">
        <f t="shared" si="28"/>
        <v>98.919648885887909</v>
      </c>
      <c r="EO34">
        <f t="shared" si="29"/>
        <v>85.294117647058826</v>
      </c>
      <c r="EP34">
        <f>(EO34+EO33)/2*(EN34-EN33)/100</f>
        <v>0.42449457838502369</v>
      </c>
      <c r="EU34">
        <v>0.25</v>
      </c>
      <c r="EV34">
        <v>29</v>
      </c>
      <c r="EW34">
        <f t="shared" ref="EW34:EW39" si="94">EW33+EU34</f>
        <v>105.1</v>
      </c>
      <c r="EX34">
        <f t="shared" si="30"/>
        <v>99.104196133899109</v>
      </c>
      <c r="EY34">
        <f t="shared" si="31"/>
        <v>85.294117647058826</v>
      </c>
      <c r="EZ34">
        <f>(EY34+EY33)/2*(EX34-EX33)/100</f>
        <v>0.19760379399284239</v>
      </c>
      <c r="FO34">
        <v>0.5</v>
      </c>
      <c r="FP34">
        <v>29</v>
      </c>
      <c r="FQ34">
        <f t="shared" ref="FQ34:FQ38" si="95">FQ33+FO34</f>
        <v>165</v>
      </c>
      <c r="FR34">
        <f t="shared" si="34"/>
        <v>99.703909601788624</v>
      </c>
      <c r="FS34">
        <f t="shared" si="35"/>
        <v>87.878787878787875</v>
      </c>
      <c r="FT34">
        <f t="shared" si="75"/>
        <v>0.26093309675399856</v>
      </c>
      <c r="FY34">
        <v>0.25</v>
      </c>
      <c r="FZ34">
        <v>29</v>
      </c>
      <c r="GA34">
        <f t="shared" ref="GA34:GA37" si="96">GA33+FY34</f>
        <v>189.25</v>
      </c>
      <c r="GB34">
        <f t="shared" si="36"/>
        <v>99.631481968939198</v>
      </c>
      <c r="GC34">
        <f t="shared" si="37"/>
        <v>90.625</v>
      </c>
      <c r="GD34">
        <f t="shared" si="77"/>
        <v>0.11721834693339694</v>
      </c>
    </row>
    <row r="35" spans="1:196" x14ac:dyDescent="0.2">
      <c r="K35">
        <v>2</v>
      </c>
      <c r="L35">
        <v>30</v>
      </c>
      <c r="M35">
        <f t="shared" si="80"/>
        <v>856.5</v>
      </c>
      <c r="N35">
        <f t="shared" si="2"/>
        <v>99.650959860383949</v>
      </c>
      <c r="O35">
        <f t="shared" si="3"/>
        <v>90.909090909090907</v>
      </c>
      <c r="P35">
        <f t="shared" ref="P35:P38" si="97">(O35+O34)/2*(N35-N34)/100</f>
        <v>0.2080138205792795</v>
      </c>
      <c r="U35">
        <v>0.1</v>
      </c>
      <c r="V35">
        <v>30</v>
      </c>
      <c r="W35">
        <f t="shared" si="81"/>
        <v>829.6</v>
      </c>
      <c r="X35">
        <f t="shared" si="4"/>
        <v>100</v>
      </c>
      <c r="Y35">
        <f t="shared" si="5"/>
        <v>100</v>
      </c>
      <c r="Z35">
        <f t="shared" ref="Z35" si="98">(Y35+Y34)/2*(X35-X34)/100</f>
        <v>1.1853101896502476E-2</v>
      </c>
      <c r="AE35">
        <v>2.5</v>
      </c>
      <c r="AF35">
        <v>30</v>
      </c>
      <c r="AG35">
        <f t="shared" si="82"/>
        <v>853.5</v>
      </c>
      <c r="AH35">
        <f t="shared" si="6"/>
        <v>99.533527696793001</v>
      </c>
      <c r="AI35">
        <f t="shared" si="7"/>
        <v>90.909090909090907</v>
      </c>
      <c r="AJ35">
        <f t="shared" ref="AJ35:AJ38" si="99">(AI35+AI34)/2*(AH35-AH34)/100</f>
        <v>0.26062373001148759</v>
      </c>
      <c r="AO35">
        <v>5</v>
      </c>
      <c r="AP35">
        <v>30</v>
      </c>
      <c r="AQ35">
        <f t="shared" si="83"/>
        <v>867.5</v>
      </c>
      <c r="AR35">
        <f t="shared" si="8"/>
        <v>98.105739327113369</v>
      </c>
      <c r="AS35">
        <f t="shared" si="9"/>
        <v>71.428571428571431</v>
      </c>
      <c r="AT35">
        <f t="shared" ref="AT35:AT47" si="100">(AS35+AS34)/2*(AR35-AR34)/100</f>
        <v>0.39716197477012272</v>
      </c>
      <c r="AY35">
        <v>2.5</v>
      </c>
      <c r="AZ35">
        <v>30</v>
      </c>
      <c r="BA35">
        <f t="shared" si="84"/>
        <v>689.5</v>
      </c>
      <c r="BB35">
        <f t="shared" si="10"/>
        <v>99.208633093525179</v>
      </c>
      <c r="BC35">
        <f t="shared" si="11"/>
        <v>81.081081081081081</v>
      </c>
      <c r="BD35">
        <f t="shared" ref="BD35:BD42" si="101">(BC35+BC34)/2*(BB35-BB34)/100</f>
        <v>0.28679758895585628</v>
      </c>
      <c r="BS35">
        <v>3</v>
      </c>
      <c r="BT35">
        <v>30</v>
      </c>
      <c r="BU35">
        <f t="shared" si="86"/>
        <v>370.5</v>
      </c>
      <c r="BV35">
        <f t="shared" si="14"/>
        <v>97.180327868852459</v>
      </c>
      <c r="BW35">
        <f t="shared" si="15"/>
        <v>76.923076923076934</v>
      </c>
      <c r="BX35">
        <f t="shared" ref="BX35:BX44" si="102">(BW35+BW34)/2*(BV35-BV34)/100</f>
        <v>0.59520807061791015</v>
      </c>
      <c r="CC35">
        <v>0.5</v>
      </c>
      <c r="CD35">
        <v>30</v>
      </c>
      <c r="CE35">
        <f t="shared" si="87"/>
        <v>304</v>
      </c>
      <c r="CF35">
        <f t="shared" si="16"/>
        <v>99.917830731306495</v>
      </c>
      <c r="CG35">
        <f t="shared" si="17"/>
        <v>96.774193548387103</v>
      </c>
      <c r="CH35">
        <f t="shared" ref="CH35:CH36" si="103">(CG35+CG34)/2*(CF35-CF34)/100</f>
        <v>0.15638667267473561</v>
      </c>
      <c r="CM35">
        <v>1</v>
      </c>
      <c r="CN35">
        <v>30</v>
      </c>
      <c r="CO35">
        <f t="shared" si="88"/>
        <v>206</v>
      </c>
      <c r="CP35">
        <f t="shared" si="18"/>
        <v>98.907694154363242</v>
      </c>
      <c r="CQ35">
        <f t="shared" si="19"/>
        <v>83.333333333333343</v>
      </c>
      <c r="CR35">
        <f t="shared" ref="CR35:CR41" si="104">(CQ35+CQ34)/2*(CP35-CP34)/100</f>
        <v>0.39344349751264324</v>
      </c>
      <c r="CW35">
        <v>1</v>
      </c>
      <c r="CX35">
        <v>30</v>
      </c>
      <c r="CY35">
        <f t="shared" si="89"/>
        <v>219.5</v>
      </c>
      <c r="CZ35">
        <f t="shared" si="20"/>
        <v>99.445010759995469</v>
      </c>
      <c r="DA35">
        <f t="shared" si="21"/>
        <v>83.333333333333343</v>
      </c>
      <c r="DB35">
        <f t="shared" ref="DB35:DB41" si="105">(DA35+DA34)/2*(CZ35-CZ34)/100</f>
        <v>0.37125130567196968</v>
      </c>
      <c r="DG35">
        <v>0.25</v>
      </c>
      <c r="DH35">
        <v>30</v>
      </c>
      <c r="DI35">
        <f t="shared" si="90"/>
        <v>144.5</v>
      </c>
      <c r="DJ35">
        <f t="shared" si="22"/>
        <v>100</v>
      </c>
      <c r="DK35">
        <f t="shared" si="23"/>
        <v>100</v>
      </c>
      <c r="DL35">
        <f t="shared" ref="DL35" si="106">(DK35+DK34)/2*(DJ35-DJ34)/100</f>
        <v>0.17012687427912734</v>
      </c>
      <c r="DQ35">
        <v>1</v>
      </c>
      <c r="DR35">
        <v>30</v>
      </c>
      <c r="DS35">
        <f t="shared" si="91"/>
        <v>259</v>
      </c>
      <c r="DT35">
        <f t="shared" si="24"/>
        <v>99.386032233307745</v>
      </c>
      <c r="DU35">
        <f t="shared" si="25"/>
        <v>88.235294117647058</v>
      </c>
      <c r="DV35">
        <f t="shared" ref="DV35:DV39" si="107">(DU35+DU34)/2*(DT35-DT34)/100</f>
        <v>0.33294207936436782</v>
      </c>
      <c r="EA35">
        <v>1.5</v>
      </c>
      <c r="EB35">
        <v>30</v>
      </c>
      <c r="EC35">
        <f t="shared" si="92"/>
        <v>193</v>
      </c>
      <c r="ED35">
        <f t="shared" si="26"/>
        <v>98.469387755102048</v>
      </c>
      <c r="EE35">
        <f t="shared" si="27"/>
        <v>88.235294117647058</v>
      </c>
      <c r="EF35">
        <f t="shared" ref="EF35:EF39" si="108">(EE35+EE34)/2*(ED35-ED34)/100</f>
        <v>0.66401560624250633</v>
      </c>
      <c r="EK35">
        <v>0.5</v>
      </c>
      <c r="EL35">
        <v>30</v>
      </c>
      <c r="EM35">
        <f t="shared" si="93"/>
        <v>147</v>
      </c>
      <c r="EN35">
        <f t="shared" si="28"/>
        <v>99.257258609047952</v>
      </c>
      <c r="EO35">
        <f t="shared" si="29"/>
        <v>88.235294117647058</v>
      </c>
      <c r="EP35">
        <f t="shared" ref="EP35:EP39" si="109">(EO35+EO34)/2*(EN35-EN34)/100</f>
        <v>0.29292608333003689</v>
      </c>
      <c r="EU35">
        <v>0.25</v>
      </c>
      <c r="EV35">
        <v>30</v>
      </c>
      <c r="EW35">
        <f t="shared" si="94"/>
        <v>105.35</v>
      </c>
      <c r="EX35">
        <f t="shared" si="30"/>
        <v>99.339933993399356</v>
      </c>
      <c r="EY35">
        <f t="shared" si="31"/>
        <v>88.235294117647058</v>
      </c>
      <c r="EZ35">
        <f t="shared" ref="EZ35:EZ39" si="110">(EY35+EY34)/2*(EX35-EX34)/100</f>
        <v>0.20453726044874398</v>
      </c>
      <c r="FO35">
        <v>0.25</v>
      </c>
      <c r="FP35">
        <v>30</v>
      </c>
      <c r="FQ35">
        <f t="shared" si="95"/>
        <v>165.25</v>
      </c>
      <c r="FR35">
        <f t="shared" si="34"/>
        <v>99.8549761314883</v>
      </c>
      <c r="FS35">
        <f t="shared" si="35"/>
        <v>90.909090909090907</v>
      </c>
      <c r="FT35">
        <f t="shared" si="75"/>
        <v>0.13504432200425603</v>
      </c>
      <c r="FY35">
        <v>0.25</v>
      </c>
      <c r="FZ35">
        <v>30</v>
      </c>
      <c r="GA35">
        <f t="shared" si="96"/>
        <v>189.5</v>
      </c>
      <c r="GB35">
        <f t="shared" si="36"/>
        <v>99.763095551460907</v>
      </c>
      <c r="GC35">
        <f t="shared" si="37"/>
        <v>93.75</v>
      </c>
      <c r="GD35">
        <f t="shared" si="77"/>
        <v>0.12133127138720035</v>
      </c>
    </row>
    <row r="36" spans="1:196" x14ac:dyDescent="0.2">
      <c r="K36">
        <v>1</v>
      </c>
      <c r="L36">
        <v>31</v>
      </c>
      <c r="M36">
        <f t="shared" si="80"/>
        <v>857.5</v>
      </c>
      <c r="N36">
        <f t="shared" si="2"/>
        <v>99.767306573589295</v>
      </c>
      <c r="O36">
        <f t="shared" si="3"/>
        <v>93.939393939393938</v>
      </c>
      <c r="P36">
        <f t="shared" si="97"/>
        <v>0.10753256826554659</v>
      </c>
      <c r="AE36">
        <v>2.5</v>
      </c>
      <c r="AF36">
        <v>31</v>
      </c>
      <c r="AG36">
        <f t="shared" si="82"/>
        <v>856</v>
      </c>
      <c r="AH36">
        <f t="shared" si="6"/>
        <v>99.825072886297377</v>
      </c>
      <c r="AI36">
        <f t="shared" si="7"/>
        <v>93.939393939393938</v>
      </c>
      <c r="AJ36">
        <f t="shared" si="99"/>
        <v>0.26945843272374137</v>
      </c>
      <c r="AO36">
        <v>3</v>
      </c>
      <c r="AP36">
        <v>31</v>
      </c>
      <c r="AQ36">
        <f t="shared" si="83"/>
        <v>870.5</v>
      </c>
      <c r="AR36">
        <f t="shared" si="8"/>
        <v>98.445009895391578</v>
      </c>
      <c r="AS36">
        <f t="shared" si="9"/>
        <v>73.80952380952381</v>
      </c>
      <c r="AT36">
        <f t="shared" si="100"/>
        <v>0.24637505553536632</v>
      </c>
      <c r="AY36">
        <v>2</v>
      </c>
      <c r="AZ36">
        <v>31</v>
      </c>
      <c r="BA36">
        <f t="shared" si="84"/>
        <v>691.5</v>
      </c>
      <c r="BB36">
        <f t="shared" si="10"/>
        <v>99.496402877697847</v>
      </c>
      <c r="BC36">
        <f t="shared" si="11"/>
        <v>83.78378378378379</v>
      </c>
      <c r="BD36">
        <f t="shared" si="101"/>
        <v>0.23721563289909053</v>
      </c>
      <c r="BS36">
        <v>2.5</v>
      </c>
      <c r="BT36">
        <v>31</v>
      </c>
      <c r="BU36">
        <f t="shared" si="86"/>
        <v>373</v>
      </c>
      <c r="BV36">
        <f t="shared" si="14"/>
        <v>97.836065573770497</v>
      </c>
      <c r="BW36">
        <f t="shared" si="15"/>
        <v>79.487179487179489</v>
      </c>
      <c r="BX36">
        <f t="shared" si="102"/>
        <v>0.51282051282051755</v>
      </c>
      <c r="CC36">
        <v>0.25</v>
      </c>
      <c r="CD36">
        <v>31</v>
      </c>
      <c r="CE36">
        <f t="shared" si="87"/>
        <v>304.25</v>
      </c>
      <c r="CF36">
        <f t="shared" si="16"/>
        <v>100</v>
      </c>
      <c r="CG36">
        <f t="shared" si="17"/>
        <v>100</v>
      </c>
      <c r="CH36">
        <f t="shared" si="103"/>
        <v>8.0843957908126055E-2</v>
      </c>
      <c r="CM36">
        <v>0.7</v>
      </c>
      <c r="CN36">
        <v>31</v>
      </c>
      <c r="CO36">
        <f t="shared" si="88"/>
        <v>206.7</v>
      </c>
      <c r="CP36">
        <f t="shared" si="18"/>
        <v>99.243788260713004</v>
      </c>
      <c r="CQ36">
        <f t="shared" si="19"/>
        <v>86.111111111111114</v>
      </c>
      <c r="CR36">
        <f t="shared" si="104"/>
        <v>0.28474639565743726</v>
      </c>
      <c r="CW36">
        <v>0.5</v>
      </c>
      <c r="CX36">
        <v>31</v>
      </c>
      <c r="CY36">
        <f t="shared" si="89"/>
        <v>220</v>
      </c>
      <c r="CZ36">
        <f t="shared" si="20"/>
        <v>99.671536980405477</v>
      </c>
      <c r="DA36">
        <f t="shared" si="21"/>
        <v>86.111111111111114</v>
      </c>
      <c r="DB36">
        <f t="shared" si="105"/>
        <v>0.1919180478473681</v>
      </c>
      <c r="DQ36">
        <v>1</v>
      </c>
      <c r="DR36">
        <v>31</v>
      </c>
      <c r="DS36">
        <f t="shared" si="91"/>
        <v>260</v>
      </c>
      <c r="DT36">
        <f t="shared" si="24"/>
        <v>99.769762087490392</v>
      </c>
      <c r="DU36">
        <f t="shared" si="25"/>
        <v>91.17647058823529</v>
      </c>
      <c r="DV36">
        <f t="shared" si="107"/>
        <v>0.34422825154619807</v>
      </c>
      <c r="EA36">
        <v>1</v>
      </c>
      <c r="EB36">
        <v>31</v>
      </c>
      <c r="EC36">
        <f t="shared" si="92"/>
        <v>194</v>
      </c>
      <c r="ED36">
        <f t="shared" si="26"/>
        <v>98.979591836734699</v>
      </c>
      <c r="EE36">
        <f t="shared" si="27"/>
        <v>91.17647058823529</v>
      </c>
      <c r="EF36">
        <f t="shared" si="108"/>
        <v>0.45768307322928964</v>
      </c>
      <c r="EK36">
        <v>0.5</v>
      </c>
      <c r="EL36">
        <v>31</v>
      </c>
      <c r="EM36">
        <f t="shared" si="93"/>
        <v>147.5</v>
      </c>
      <c r="EN36">
        <f t="shared" si="28"/>
        <v>99.59486833220798</v>
      </c>
      <c r="EO36">
        <f t="shared" si="29"/>
        <v>91.17647058823529</v>
      </c>
      <c r="EP36">
        <f t="shared" si="109"/>
        <v>0.30285578107002542</v>
      </c>
      <c r="EU36">
        <v>0.25</v>
      </c>
      <c r="EV36">
        <v>31</v>
      </c>
      <c r="EW36">
        <f t="shared" si="94"/>
        <v>105.6</v>
      </c>
      <c r="EX36">
        <f t="shared" si="30"/>
        <v>99.575671852899589</v>
      </c>
      <c r="EY36">
        <f t="shared" si="31"/>
        <v>91.17647058823529</v>
      </c>
      <c r="EZ36">
        <f t="shared" si="110"/>
        <v>0.21147072690462085</v>
      </c>
      <c r="FO36">
        <v>0.15</v>
      </c>
      <c r="FP36">
        <v>31</v>
      </c>
      <c r="FQ36">
        <f t="shared" si="95"/>
        <v>165.4</v>
      </c>
      <c r="FR36">
        <f t="shared" si="34"/>
        <v>99.945616049308114</v>
      </c>
      <c r="FS36">
        <f t="shared" si="35"/>
        <v>93.939393939393938</v>
      </c>
      <c r="FT36">
        <f t="shared" si="75"/>
        <v>8.3773257378919261E-2</v>
      </c>
      <c r="FY36">
        <v>0.25</v>
      </c>
      <c r="FZ36">
        <v>31</v>
      </c>
      <c r="GA36">
        <f t="shared" si="96"/>
        <v>189.75</v>
      </c>
      <c r="GB36">
        <f t="shared" si="36"/>
        <v>99.89470913398263</v>
      </c>
      <c r="GC36">
        <f t="shared" si="37"/>
        <v>96.875</v>
      </c>
      <c r="GD36">
        <f t="shared" si="77"/>
        <v>0.12544419584101729</v>
      </c>
    </row>
    <row r="37" spans="1:196" x14ac:dyDescent="0.2">
      <c r="K37">
        <v>1</v>
      </c>
      <c r="L37">
        <v>32</v>
      </c>
      <c r="M37">
        <f t="shared" si="80"/>
        <v>858.5</v>
      </c>
      <c r="N37">
        <f t="shared" si="2"/>
        <v>99.883653286794654</v>
      </c>
      <c r="O37">
        <f t="shared" si="3"/>
        <v>96.969696969696969</v>
      </c>
      <c r="P37">
        <f t="shared" si="97"/>
        <v>0.11105822624147972</v>
      </c>
      <c r="AE37">
        <v>1</v>
      </c>
      <c r="AF37">
        <v>32</v>
      </c>
      <c r="AG37">
        <f t="shared" si="82"/>
        <v>857</v>
      </c>
      <c r="AH37">
        <f t="shared" si="6"/>
        <v>99.941690962099131</v>
      </c>
      <c r="AI37">
        <f t="shared" si="7"/>
        <v>96.969696969696969</v>
      </c>
      <c r="AJ37">
        <f t="shared" si="99"/>
        <v>0.11131725417440079</v>
      </c>
      <c r="AO37">
        <v>2.5</v>
      </c>
      <c r="AP37">
        <v>32</v>
      </c>
      <c r="AQ37">
        <f t="shared" si="83"/>
        <v>873</v>
      </c>
      <c r="AR37">
        <f t="shared" si="8"/>
        <v>98.727735368956743</v>
      </c>
      <c r="AS37">
        <f t="shared" si="9"/>
        <v>76.19047619047619</v>
      </c>
      <c r="AT37">
        <f t="shared" si="100"/>
        <v>0.21204410517387373</v>
      </c>
      <c r="AY37">
        <v>1.2</v>
      </c>
      <c r="AZ37">
        <v>32</v>
      </c>
      <c r="BA37">
        <f t="shared" si="84"/>
        <v>692.7</v>
      </c>
      <c r="BB37">
        <f t="shared" si="10"/>
        <v>99.669064748201436</v>
      </c>
      <c r="BC37">
        <f t="shared" si="11"/>
        <v>86.486486486486484</v>
      </c>
      <c r="BD37">
        <f t="shared" si="101"/>
        <v>0.14699591678008248</v>
      </c>
      <c r="BS37">
        <v>2</v>
      </c>
      <c r="BT37">
        <v>32</v>
      </c>
      <c r="BU37">
        <f t="shared" si="86"/>
        <v>375</v>
      </c>
      <c r="BV37">
        <f t="shared" si="14"/>
        <v>98.360655737704917</v>
      </c>
      <c r="BW37">
        <f t="shared" si="15"/>
        <v>82.051282051282044</v>
      </c>
      <c r="BX37">
        <f t="shared" si="102"/>
        <v>0.42370744010087746</v>
      </c>
      <c r="CM37">
        <v>0.5</v>
      </c>
      <c r="CN37">
        <v>32</v>
      </c>
      <c r="CO37">
        <f t="shared" si="88"/>
        <v>207.2</v>
      </c>
      <c r="CP37">
        <f t="shared" si="18"/>
        <v>99.483855479534284</v>
      </c>
      <c r="CQ37">
        <f t="shared" si="19"/>
        <v>88.888888888888886</v>
      </c>
      <c r="CR37">
        <f t="shared" si="104"/>
        <v>0.21005881646862079</v>
      </c>
      <c r="CW37">
        <v>0.25</v>
      </c>
      <c r="CX37">
        <v>32</v>
      </c>
      <c r="CY37">
        <f t="shared" si="89"/>
        <v>220.25</v>
      </c>
      <c r="CZ37">
        <f t="shared" si="20"/>
        <v>99.784800090610489</v>
      </c>
      <c r="DA37">
        <f t="shared" si="21"/>
        <v>88.888888888888886</v>
      </c>
      <c r="DB37">
        <f t="shared" si="105"/>
        <v>9.9105221429384827E-2</v>
      </c>
      <c r="DQ37">
        <v>0.25</v>
      </c>
      <c r="DR37">
        <v>32</v>
      </c>
      <c r="DS37">
        <f t="shared" si="91"/>
        <v>260.25</v>
      </c>
      <c r="DT37">
        <f t="shared" si="24"/>
        <v>99.865694551036071</v>
      </c>
      <c r="DU37">
        <f t="shared" si="25"/>
        <v>94.117647058823522</v>
      </c>
      <c r="DV37">
        <f t="shared" si="107"/>
        <v>8.8878605932026622E-2</v>
      </c>
      <c r="EA37">
        <v>1</v>
      </c>
      <c r="EB37">
        <v>32</v>
      </c>
      <c r="EC37">
        <f t="shared" si="92"/>
        <v>195</v>
      </c>
      <c r="ED37">
        <f t="shared" si="26"/>
        <v>99.489795918367349</v>
      </c>
      <c r="EE37">
        <f t="shared" si="27"/>
        <v>94.117647058823522</v>
      </c>
      <c r="EF37">
        <f t="shared" si="108"/>
        <v>0.47268907563024987</v>
      </c>
      <c r="EK37">
        <v>0.25</v>
      </c>
      <c r="EL37">
        <v>32</v>
      </c>
      <c r="EM37">
        <f t="shared" si="93"/>
        <v>147.75</v>
      </c>
      <c r="EN37">
        <f t="shared" si="28"/>
        <v>99.76367319378798</v>
      </c>
      <c r="EO37">
        <f t="shared" si="29"/>
        <v>94.117647058823522</v>
      </c>
      <c r="EP37">
        <f t="shared" si="109"/>
        <v>0.15639273940499995</v>
      </c>
      <c r="EU37">
        <v>0.25</v>
      </c>
      <c r="EV37">
        <v>32</v>
      </c>
      <c r="EW37">
        <f t="shared" si="94"/>
        <v>105.85</v>
      </c>
      <c r="EX37">
        <f t="shared" si="30"/>
        <v>99.811409712399822</v>
      </c>
      <c r="EY37">
        <f t="shared" si="31"/>
        <v>94.117647058823522</v>
      </c>
      <c r="EZ37">
        <f t="shared" si="110"/>
        <v>0.21840419336051003</v>
      </c>
      <c r="FO37">
        <v>0.05</v>
      </c>
      <c r="FP37">
        <v>32</v>
      </c>
      <c r="FQ37">
        <f t="shared" si="95"/>
        <v>165.45000000000002</v>
      </c>
      <c r="FR37">
        <f t="shared" si="34"/>
        <v>99.975829355248052</v>
      </c>
      <c r="FS37">
        <f t="shared" si="35"/>
        <v>96.969696969696969</v>
      </c>
      <c r="FT37">
        <f t="shared" si="75"/>
        <v>2.8839973851759088E-2</v>
      </c>
      <c r="FY37">
        <v>0.2</v>
      </c>
      <c r="FZ37">
        <v>32</v>
      </c>
      <c r="GA37">
        <f t="shared" si="96"/>
        <v>189.95</v>
      </c>
      <c r="GB37">
        <f t="shared" si="36"/>
        <v>100</v>
      </c>
      <c r="GC37">
        <f t="shared" si="37"/>
        <v>100</v>
      </c>
      <c r="GD37">
        <f t="shared" si="77"/>
        <v>0.10364569623584853</v>
      </c>
    </row>
    <row r="38" spans="1:196" x14ac:dyDescent="0.2">
      <c r="K38">
        <v>1</v>
      </c>
      <c r="L38">
        <v>33</v>
      </c>
      <c r="M38">
        <f t="shared" si="80"/>
        <v>859.5</v>
      </c>
      <c r="N38">
        <f t="shared" si="2"/>
        <v>100</v>
      </c>
      <c r="O38">
        <f t="shared" si="3"/>
        <v>100</v>
      </c>
      <c r="P38">
        <f t="shared" si="97"/>
        <v>0.11458388421738572</v>
      </c>
      <c r="AE38">
        <v>0.5</v>
      </c>
      <c r="AF38">
        <v>33</v>
      </c>
      <c r="AG38">
        <f t="shared" si="82"/>
        <v>857.5</v>
      </c>
      <c r="AH38">
        <f t="shared" si="6"/>
        <v>100</v>
      </c>
      <c r="AI38">
        <f t="shared" si="7"/>
        <v>100</v>
      </c>
      <c r="AJ38">
        <f t="shared" si="99"/>
        <v>5.7425567629644202E-2</v>
      </c>
      <c r="AO38">
        <v>2.5</v>
      </c>
      <c r="AP38">
        <v>33</v>
      </c>
      <c r="AQ38">
        <f t="shared" si="83"/>
        <v>875.5</v>
      </c>
      <c r="AR38">
        <f t="shared" si="8"/>
        <v>99.010460842521908</v>
      </c>
      <c r="AS38">
        <f t="shared" si="9"/>
        <v>78.571428571428569</v>
      </c>
      <c r="AT38">
        <f t="shared" si="100"/>
        <v>0.21877566406828242</v>
      </c>
      <c r="AY38">
        <v>1</v>
      </c>
      <c r="AZ38">
        <v>33</v>
      </c>
      <c r="BA38">
        <f t="shared" si="84"/>
        <v>693.7</v>
      </c>
      <c r="BB38">
        <f t="shared" si="10"/>
        <v>99.812949640287769</v>
      </c>
      <c r="BC38">
        <f t="shared" si="11"/>
        <v>89.189189189189193</v>
      </c>
      <c r="BD38">
        <f t="shared" si="101"/>
        <v>0.12638537818394169</v>
      </c>
      <c r="BS38">
        <v>1.5</v>
      </c>
      <c r="BT38">
        <v>33</v>
      </c>
      <c r="BU38">
        <f t="shared" si="86"/>
        <v>376.5</v>
      </c>
      <c r="BV38">
        <f t="shared" si="14"/>
        <v>98.754098360655746</v>
      </c>
      <c r="BW38">
        <f t="shared" si="15"/>
        <v>84.615384615384613</v>
      </c>
      <c r="BX38">
        <f t="shared" si="102"/>
        <v>0.32786885245902408</v>
      </c>
      <c r="CM38">
        <v>0.5</v>
      </c>
      <c r="CN38">
        <v>33</v>
      </c>
      <c r="CO38">
        <f t="shared" si="88"/>
        <v>207.7</v>
      </c>
      <c r="CP38">
        <f t="shared" si="18"/>
        <v>99.723922698355551</v>
      </c>
      <c r="CQ38">
        <f t="shared" si="19"/>
        <v>91.666666666666657</v>
      </c>
      <c r="CR38">
        <f t="shared" si="104"/>
        <v>0.21672735032475465</v>
      </c>
      <c r="CW38">
        <v>0.25</v>
      </c>
      <c r="CX38">
        <v>33</v>
      </c>
      <c r="CY38">
        <f t="shared" si="89"/>
        <v>220.5</v>
      </c>
      <c r="CZ38">
        <f t="shared" si="20"/>
        <v>99.8980632008155</v>
      </c>
      <c r="DA38">
        <f t="shared" si="21"/>
        <v>91.666666666666657</v>
      </c>
      <c r="DB38">
        <f t="shared" si="105"/>
        <v>0.10225141893507958</v>
      </c>
      <c r="DQ38">
        <v>0.25</v>
      </c>
      <c r="DR38">
        <v>33</v>
      </c>
      <c r="DS38">
        <f t="shared" si="91"/>
        <v>260.5</v>
      </c>
      <c r="DT38">
        <f t="shared" si="24"/>
        <v>99.961627014581723</v>
      </c>
      <c r="DU38">
        <f t="shared" si="25"/>
        <v>97.058823529411768</v>
      </c>
      <c r="DV38">
        <f t="shared" si="107"/>
        <v>9.1700148977460622E-2</v>
      </c>
      <c r="EA38">
        <v>0.75</v>
      </c>
      <c r="EB38">
        <v>33</v>
      </c>
      <c r="EC38">
        <f t="shared" si="92"/>
        <v>195.75</v>
      </c>
      <c r="ED38">
        <f t="shared" si="26"/>
        <v>99.872448979591837</v>
      </c>
      <c r="EE38">
        <f t="shared" si="27"/>
        <v>97.058823529411768</v>
      </c>
      <c r="EF38">
        <f t="shared" si="108"/>
        <v>0.36577130852340772</v>
      </c>
      <c r="EK38">
        <v>0.25</v>
      </c>
      <c r="EL38">
        <v>33</v>
      </c>
      <c r="EM38">
        <f t="shared" si="93"/>
        <v>148</v>
      </c>
      <c r="EN38">
        <f t="shared" si="28"/>
        <v>99.932478055367994</v>
      </c>
      <c r="EO38">
        <f t="shared" si="29"/>
        <v>97.058823529411768</v>
      </c>
      <c r="EP38">
        <f t="shared" si="109"/>
        <v>0.16135758827501356</v>
      </c>
      <c r="EU38">
        <v>0.1</v>
      </c>
      <c r="EV38">
        <v>33</v>
      </c>
      <c r="EW38">
        <f t="shared" si="94"/>
        <v>105.94999999999999</v>
      </c>
      <c r="EX38">
        <f t="shared" si="30"/>
        <v>99.905704856199904</v>
      </c>
      <c r="EY38">
        <f t="shared" si="31"/>
        <v>97.058823529411768</v>
      </c>
      <c r="EZ38">
        <f t="shared" si="110"/>
        <v>9.0135063926548839E-2</v>
      </c>
      <c r="FO38">
        <v>0.04</v>
      </c>
      <c r="FP38">
        <v>33</v>
      </c>
      <c r="FQ38">
        <f t="shared" si="95"/>
        <v>165.49</v>
      </c>
      <c r="FR38">
        <f t="shared" si="34"/>
        <v>100</v>
      </c>
      <c r="FS38">
        <f t="shared" si="35"/>
        <v>100</v>
      </c>
      <c r="FT38">
        <f t="shared" si="75"/>
        <v>2.3804422861766608E-2</v>
      </c>
    </row>
    <row r="39" spans="1:196" x14ac:dyDescent="0.2">
      <c r="AO39">
        <v>1.5</v>
      </c>
      <c r="AP39">
        <v>34</v>
      </c>
      <c r="AQ39">
        <f t="shared" si="83"/>
        <v>877</v>
      </c>
      <c r="AR39">
        <f t="shared" si="8"/>
        <v>99.180096126661013</v>
      </c>
      <c r="AS39">
        <f t="shared" si="9"/>
        <v>80.952380952380949</v>
      </c>
      <c r="AT39">
        <f t="shared" si="100"/>
        <v>0.13530433377761919</v>
      </c>
      <c r="AY39">
        <v>0.5</v>
      </c>
      <c r="AZ39">
        <v>34</v>
      </c>
      <c r="BA39">
        <f t="shared" si="84"/>
        <v>694.2</v>
      </c>
      <c r="BB39">
        <f t="shared" si="10"/>
        <v>99.88489208633095</v>
      </c>
      <c r="BC39">
        <f t="shared" si="11"/>
        <v>91.891891891891902</v>
      </c>
      <c r="BD39">
        <f t="shared" si="101"/>
        <v>6.5137079525582814E-2</v>
      </c>
      <c r="BS39">
        <v>1</v>
      </c>
      <c r="BT39">
        <v>34</v>
      </c>
      <c r="BU39">
        <f t="shared" si="86"/>
        <v>377.5</v>
      </c>
      <c r="BV39">
        <f t="shared" si="14"/>
        <v>99.016393442622956</v>
      </c>
      <c r="BW39">
        <f t="shared" si="15"/>
        <v>87.179487179487182</v>
      </c>
      <c r="BX39">
        <f t="shared" si="102"/>
        <v>0.22530474989491103</v>
      </c>
      <c r="CM39">
        <v>0.25</v>
      </c>
      <c r="CN39">
        <v>34</v>
      </c>
      <c r="CO39">
        <f t="shared" si="88"/>
        <v>207.95</v>
      </c>
      <c r="CP39">
        <f t="shared" si="18"/>
        <v>99.843956307766177</v>
      </c>
      <c r="CQ39">
        <f t="shared" si="19"/>
        <v>94.444444444444443</v>
      </c>
      <c r="CR39">
        <f t="shared" si="104"/>
        <v>0.11169794209044386</v>
      </c>
      <c r="CW39">
        <v>0.1</v>
      </c>
      <c r="CX39">
        <v>34</v>
      </c>
      <c r="CY39">
        <f t="shared" si="89"/>
        <v>220.6</v>
      </c>
      <c r="CZ39">
        <f t="shared" si="20"/>
        <v>99.943368444897501</v>
      </c>
      <c r="DA39">
        <f t="shared" si="21"/>
        <v>94.444444444444443</v>
      </c>
      <c r="DB39">
        <f t="shared" si="105"/>
        <v>4.2159046576307084E-2</v>
      </c>
      <c r="DQ39">
        <v>0.1</v>
      </c>
      <c r="DR39">
        <v>34</v>
      </c>
      <c r="DS39">
        <f t="shared" si="91"/>
        <v>260.60000000000002</v>
      </c>
      <c r="DT39">
        <f t="shared" si="24"/>
        <v>100</v>
      </c>
      <c r="DU39">
        <f t="shared" si="25"/>
        <v>100</v>
      </c>
      <c r="DV39">
        <f t="shared" si="107"/>
        <v>3.7808676809185177E-2</v>
      </c>
      <c r="EA39">
        <v>0.25</v>
      </c>
      <c r="EB39">
        <v>34</v>
      </c>
      <c r="EC39">
        <f t="shared" si="92"/>
        <v>196</v>
      </c>
      <c r="ED39">
        <f t="shared" si="26"/>
        <v>100</v>
      </c>
      <c r="EE39">
        <f t="shared" si="27"/>
        <v>100</v>
      </c>
      <c r="EF39">
        <f t="shared" si="108"/>
        <v>0.12567527010804264</v>
      </c>
      <c r="EK39">
        <v>0.1</v>
      </c>
      <c r="EL39">
        <v>34</v>
      </c>
      <c r="EM39">
        <f t="shared" si="93"/>
        <v>148.1</v>
      </c>
      <c r="EN39">
        <f t="shared" si="28"/>
        <v>100</v>
      </c>
      <c r="EO39">
        <f t="shared" si="29"/>
        <v>100</v>
      </c>
      <c r="EP39">
        <f t="shared" si="109"/>
        <v>6.6528974858005588E-2</v>
      </c>
      <c r="EU39">
        <v>0.1</v>
      </c>
      <c r="EV39">
        <v>34</v>
      </c>
      <c r="EW39">
        <f t="shared" si="94"/>
        <v>106.04999999999998</v>
      </c>
      <c r="EX39">
        <f t="shared" si="30"/>
        <v>100</v>
      </c>
      <c r="EY39">
        <f t="shared" si="31"/>
        <v>100</v>
      </c>
      <c r="EZ39">
        <f t="shared" si="110"/>
        <v>9.2908450508918203E-2</v>
      </c>
    </row>
    <row r="40" spans="1:196" x14ac:dyDescent="0.2">
      <c r="AO40">
        <v>1.25</v>
      </c>
      <c r="AP40">
        <v>35</v>
      </c>
      <c r="AQ40">
        <f t="shared" si="83"/>
        <v>878.25</v>
      </c>
      <c r="AR40">
        <f t="shared" si="8"/>
        <v>99.321458863443596</v>
      </c>
      <c r="AS40">
        <f t="shared" si="9"/>
        <v>83.333333333333343</v>
      </c>
      <c r="AT40">
        <f t="shared" si="100"/>
        <v>0.11611939092854989</v>
      </c>
      <c r="AY40">
        <v>0.5</v>
      </c>
      <c r="AZ40">
        <v>35</v>
      </c>
      <c r="BA40">
        <f t="shared" si="84"/>
        <v>694.7</v>
      </c>
      <c r="BB40">
        <f t="shared" si="10"/>
        <v>99.956834532374103</v>
      </c>
      <c r="BC40">
        <f t="shared" si="11"/>
        <v>94.594594594594597</v>
      </c>
      <c r="BD40">
        <f t="shared" si="101"/>
        <v>6.7081469959155801E-2</v>
      </c>
      <c r="BS40">
        <v>1</v>
      </c>
      <c r="BT40">
        <v>35</v>
      </c>
      <c r="BU40">
        <f t="shared" si="86"/>
        <v>378.5</v>
      </c>
      <c r="BV40">
        <f t="shared" si="14"/>
        <v>99.278688524590166</v>
      </c>
      <c r="BW40">
        <f t="shared" si="15"/>
        <v>89.743589743589752</v>
      </c>
      <c r="BX40">
        <f t="shared" si="102"/>
        <v>0.2320302648171472</v>
      </c>
      <c r="CM40">
        <v>0.25</v>
      </c>
      <c r="CN40">
        <v>35</v>
      </c>
      <c r="CO40">
        <f t="shared" si="88"/>
        <v>208.2</v>
      </c>
      <c r="CP40">
        <f t="shared" si="18"/>
        <v>99.963989917176804</v>
      </c>
      <c r="CQ40">
        <f t="shared" si="19"/>
        <v>97.222222222222214</v>
      </c>
      <c r="CR40">
        <f t="shared" si="104"/>
        <v>0.1150322090185168</v>
      </c>
      <c r="CW40">
        <v>7.4999999999999997E-2</v>
      </c>
      <c r="CX40">
        <v>35</v>
      </c>
      <c r="CY40">
        <f t="shared" si="89"/>
        <v>220.67499999999998</v>
      </c>
      <c r="CZ40">
        <f t="shared" si="20"/>
        <v>99.977347377958992</v>
      </c>
      <c r="DA40">
        <f t="shared" si="21"/>
        <v>97.222222222222214</v>
      </c>
      <c r="DB40">
        <f t="shared" si="105"/>
        <v>3.2563144183928472E-2</v>
      </c>
    </row>
    <row r="41" spans="1:196" x14ac:dyDescent="0.2">
      <c r="AO41">
        <v>1</v>
      </c>
      <c r="AP41">
        <v>36</v>
      </c>
      <c r="AQ41">
        <f t="shared" si="83"/>
        <v>879.25</v>
      </c>
      <c r="AR41">
        <f t="shared" si="8"/>
        <v>99.434549052869656</v>
      </c>
      <c r="AS41">
        <f t="shared" si="9"/>
        <v>85.714285714285708</v>
      </c>
      <c r="AT41">
        <f t="shared" si="100"/>
        <v>9.5588136300598592E-2</v>
      </c>
      <c r="AY41">
        <v>0.25</v>
      </c>
      <c r="AZ41">
        <v>36</v>
      </c>
      <c r="BA41">
        <f t="shared" si="84"/>
        <v>694.95</v>
      </c>
      <c r="BB41">
        <f t="shared" si="10"/>
        <v>99.992805755395693</v>
      </c>
      <c r="BC41">
        <f t="shared" si="11"/>
        <v>97.297297297297305</v>
      </c>
      <c r="BD41">
        <f t="shared" si="101"/>
        <v>3.4512930196390894E-2</v>
      </c>
      <c r="BS41">
        <v>1</v>
      </c>
      <c r="BT41">
        <v>36</v>
      </c>
      <c r="BU41">
        <f t="shared" si="86"/>
        <v>379.5</v>
      </c>
      <c r="BV41">
        <f t="shared" si="14"/>
        <v>99.540983606557376</v>
      </c>
      <c r="BW41">
        <f t="shared" si="15"/>
        <v>92.307692307692307</v>
      </c>
      <c r="BX41">
        <f t="shared" si="102"/>
        <v>0.23875577973938331</v>
      </c>
      <c r="CM41">
        <v>7.4999999999999997E-2</v>
      </c>
      <c r="CN41">
        <v>36</v>
      </c>
      <c r="CO41">
        <f t="shared" si="88"/>
        <v>208.27499999999998</v>
      </c>
      <c r="CP41">
        <f t="shared" si="18"/>
        <v>100</v>
      </c>
      <c r="CQ41">
        <f t="shared" si="19"/>
        <v>100</v>
      </c>
      <c r="CR41">
        <f t="shared" si="104"/>
        <v>3.5509942783985338E-2</v>
      </c>
      <c r="CW41">
        <v>0.05</v>
      </c>
      <c r="CX41">
        <v>36</v>
      </c>
      <c r="CY41">
        <f t="shared" si="89"/>
        <v>220.72499999999999</v>
      </c>
      <c r="CZ41">
        <f t="shared" si="20"/>
        <v>100</v>
      </c>
      <c r="DA41">
        <f t="shared" si="21"/>
        <v>100</v>
      </c>
      <c r="DB41">
        <f t="shared" si="105"/>
        <v>2.2338002290438377E-2</v>
      </c>
    </row>
    <row r="42" spans="1:196" x14ac:dyDescent="0.2">
      <c r="AO42">
        <v>1</v>
      </c>
      <c r="AP42">
        <v>37</v>
      </c>
      <c r="AQ42">
        <f t="shared" si="83"/>
        <v>880.25</v>
      </c>
      <c r="AR42">
        <f t="shared" si="8"/>
        <v>99.54763924229573</v>
      </c>
      <c r="AS42">
        <f t="shared" si="9"/>
        <v>88.095238095238088</v>
      </c>
      <c r="AT42">
        <f t="shared" si="100"/>
        <v>9.8280759858374284E-2</v>
      </c>
      <c r="AY42">
        <v>0.05</v>
      </c>
      <c r="AZ42">
        <v>37</v>
      </c>
      <c r="BA42">
        <f t="shared" si="84"/>
        <v>695</v>
      </c>
      <c r="BB42">
        <f t="shared" si="10"/>
        <v>100</v>
      </c>
      <c r="BC42">
        <f t="shared" si="11"/>
        <v>100</v>
      </c>
      <c r="BD42">
        <f t="shared" si="101"/>
        <v>7.0970250826269113E-3</v>
      </c>
      <c r="BS42">
        <v>1</v>
      </c>
      <c r="BT42">
        <v>37</v>
      </c>
      <c r="BU42">
        <f t="shared" si="86"/>
        <v>380.5</v>
      </c>
      <c r="BV42">
        <f t="shared" si="14"/>
        <v>99.803278688524586</v>
      </c>
      <c r="BW42">
        <f t="shared" si="15"/>
        <v>94.871794871794862</v>
      </c>
      <c r="BX42">
        <f t="shared" si="102"/>
        <v>0.2454812946616195</v>
      </c>
    </row>
    <row r="43" spans="1:196" x14ac:dyDescent="0.2">
      <c r="AO43">
        <v>1</v>
      </c>
      <c r="AP43">
        <v>38</v>
      </c>
      <c r="AQ43">
        <f t="shared" si="83"/>
        <v>881.25</v>
      </c>
      <c r="AR43">
        <f t="shared" si="8"/>
        <v>99.660729431721791</v>
      </c>
      <c r="AS43">
        <f t="shared" si="9"/>
        <v>90.476190476190482</v>
      </c>
      <c r="AT43">
        <f t="shared" si="100"/>
        <v>0.10097338341612526</v>
      </c>
      <c r="BS43">
        <v>0.5</v>
      </c>
      <c r="BT43">
        <v>38</v>
      </c>
      <c r="BU43">
        <f t="shared" si="86"/>
        <v>381</v>
      </c>
      <c r="BV43">
        <f t="shared" si="14"/>
        <v>99.934426229508205</v>
      </c>
      <c r="BW43">
        <f t="shared" si="15"/>
        <v>97.435897435897431</v>
      </c>
      <c r="BX43">
        <f t="shared" si="102"/>
        <v>0.12610340479194146</v>
      </c>
    </row>
    <row r="44" spans="1:196" x14ac:dyDescent="0.2">
      <c r="AO44">
        <v>1</v>
      </c>
      <c r="AP44">
        <v>39</v>
      </c>
      <c r="AQ44">
        <f t="shared" si="83"/>
        <v>882.25</v>
      </c>
      <c r="AR44">
        <f t="shared" si="8"/>
        <v>99.773819621147865</v>
      </c>
      <c r="AS44">
        <f t="shared" si="9"/>
        <v>92.857142857142861</v>
      </c>
      <c r="AT44">
        <f t="shared" si="100"/>
        <v>0.10366600697390166</v>
      </c>
      <c r="BS44">
        <v>0.25</v>
      </c>
      <c r="BT44">
        <v>39</v>
      </c>
      <c r="BU44">
        <f t="shared" si="86"/>
        <v>381.25</v>
      </c>
      <c r="BV44">
        <f t="shared" si="14"/>
        <v>100</v>
      </c>
      <c r="BW44">
        <f t="shared" si="15"/>
        <v>100</v>
      </c>
      <c r="BX44">
        <f t="shared" si="102"/>
        <v>6.4733081126515934E-2</v>
      </c>
    </row>
    <row r="45" spans="1:196" x14ac:dyDescent="0.2">
      <c r="AO45">
        <v>1</v>
      </c>
      <c r="AP45">
        <v>40</v>
      </c>
      <c r="AQ45">
        <f t="shared" si="83"/>
        <v>883.25</v>
      </c>
      <c r="AR45">
        <f t="shared" si="8"/>
        <v>99.886909810573925</v>
      </c>
      <c r="AS45">
        <f t="shared" si="9"/>
        <v>95.238095238095227</v>
      </c>
      <c r="AT45">
        <f t="shared" si="100"/>
        <v>0.10635863053165194</v>
      </c>
    </row>
    <row r="46" spans="1:196" x14ac:dyDescent="0.2">
      <c r="AO46">
        <v>0.75</v>
      </c>
      <c r="AP46">
        <v>41</v>
      </c>
      <c r="AQ46">
        <f t="shared" si="83"/>
        <v>884</v>
      </c>
      <c r="AR46">
        <f t="shared" si="8"/>
        <v>99.971727452643492</v>
      </c>
      <c r="AS46">
        <f t="shared" si="9"/>
        <v>97.61904761904762</v>
      </c>
      <c r="AT46">
        <f t="shared" si="100"/>
        <v>8.1788440567082024E-2</v>
      </c>
    </row>
    <row r="47" spans="1:196" x14ac:dyDescent="0.2">
      <c r="AO47">
        <v>0.25</v>
      </c>
      <c r="AP47">
        <v>42</v>
      </c>
      <c r="AQ47">
        <f t="shared" si="83"/>
        <v>884.25</v>
      </c>
      <c r="AR47">
        <f t="shared" si="8"/>
        <v>100</v>
      </c>
      <c r="AS47">
        <f t="shared" si="9"/>
        <v>100</v>
      </c>
      <c r="AT47">
        <f t="shared" si="100"/>
        <v>2.7935969411787637E-2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Stata output</vt:lpstr>
      <vt:lpstr>Figure 1 and Figure 2</vt:lpstr>
      <vt:lpstr>13 14</vt:lpstr>
      <vt:lpstr>14 15</vt:lpstr>
      <vt:lpstr>15 16</vt:lpstr>
      <vt:lpstr>16 17</vt:lpstr>
      <vt:lpstr>17 18</vt:lpstr>
      <vt:lpstr>13 14 HHI</vt:lpstr>
      <vt:lpstr>14 15 HHI</vt:lpstr>
      <vt:lpstr>15 16 HHI</vt:lpstr>
      <vt:lpstr>16 17 HHI</vt:lpstr>
      <vt:lpstr>17 18 HHI</vt:lpstr>
      <vt:lpstr>13 14 Gini</vt:lpstr>
      <vt:lpstr>14 15 Gini</vt:lpstr>
      <vt:lpstr>15 16 Gini</vt:lpstr>
      <vt:lpstr>16 17 Gini</vt:lpstr>
      <vt:lpstr>17 18 Gini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Cleverley (ECO - Student)</dc:creator>
  <cp:lastModifiedBy>Elliot Cleverley (ECO - Student)</cp:lastModifiedBy>
  <dcterms:created xsi:type="dcterms:W3CDTF">2025-11-29T15:02:07Z</dcterms:created>
  <dcterms:modified xsi:type="dcterms:W3CDTF">2025-12-19T13:33:41Z</dcterms:modified>
</cp:coreProperties>
</file>